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Unit_Economics" sheetId="3" state="visible" r:id="rId5"/>
    <sheet name="Board_Pack" sheetId="4" state="visible" r:id="rId6"/>
    <sheet name="Scenario_Control" sheetId="5" state="visible" r:id="rId7"/>
    <sheet name="Scenario_Results" sheetId="6" state="visible" r:id="rId8"/>
    <sheet name="Assumptions" sheetId="7" state="visible" r:id="rId9"/>
    <sheet name="Revenue" sheetId="8" state="visible" r:id="rId10"/>
    <sheet name="Costs" sheetId="9" state="visible" r:id="rId11"/>
    <sheet name="Headcount" sheetId="10" state="visible" r:id="rId12"/>
    <sheet name="Financials" sheetId="11" state="visible" r:id="rId13"/>
    <sheet name="Approval_Matrix" sheetId="12" state="visible" r:id="rId14"/>
    <sheet name="Gate_Schedule" sheetId="13" state="visible" r:id="rId15"/>
    <sheet name="Checks"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<sst xmlns="http://schemas.openxmlformats.org/spreadsheetml/2006/main" count="2428" uniqueCount="1384">
  <si>
    <t xml:space="preserve">Semester: financial operating model (three years, monthly)</t>
  </si>
  <si>
    <t xml:space="preserve">Status</t>
  </si>
  <si>
    <t xml:space="preserve">DRAFT MODEL OF HYPOTHESES for founder decision. Not an approved budget, price book, forecast or target. It carries no company cash, revenue or customer facts; the repository evidences none.</t>
  </si>
  <si>
    <t xml:space="preserve">Not advice</t>
  </si>
  <si>
    <t xml:space="preserve">Nothing here is accounting, tax, legal, insurance or investment advice. Items marked REVIEW or listed on the Approval_Matrix need the qualified accountant, tax adviser or counsel.</t>
  </si>
  <si>
    <t xml:space="preserve">How to use</t>
  </si>
  <si>
    <t xml:space="preserve">Choose a scenario in Scenario_Control!D3. Change blue cells in Assumptions (and Scenario_Control, Headcount). Read results in Summary, Unit_Economics and Board_Pack. Confirm Checks says ALL PASS.</t>
  </si>
  <si>
    <t xml:space="preserve">Colors</t>
  </si>
  <si>
    <t xml:space="preserve">Blue = input. Black = formula. Green fill = a documented repository decision (D-134: Plus $7.99 / $59; pilots run 26 weeks). Yellow fill = enter your own figure (opening cash).</t>
  </si>
  <si>
    <t xml:space="preserve">Time axis</t>
  </si>
  <si>
    <t xml:space="preserve">Month 1 = Nov 2026. A model year runs Nov to Oct so each year holds one full academic start. Fiscal year is an accountant decision.</t>
  </si>
  <si>
    <t xml:space="preserve">Revenue streams</t>
  </si>
  <si>
    <t xml:space="preserve">Student subscription · Institutional platform (Department, Institution-wide, pilots) · Implementation services · AI usage · Marketplace · Career/employer · Alumni.</t>
  </si>
  <si>
    <t xml:space="preserve">ARR</t>
  </si>
  <si>
    <t xml:space="preserve">Recurring only: student subscriptions, Dept/Institution licences, employer fees, alumni and AI run-rate. Pilot fees, implementation and marketplace are excluded.</t>
  </si>
  <si>
    <t xml:space="preserve">Cohort logic</t>
  </si>
  <si>
    <t xml:space="preserve">Each Dept/Institution cohort lands at the scenario-adjusted ACV, is billed annually in advance, and at each anniversary some ARR churns and the survivors expand. Billings, revenue, deferred revenue and ARR all come from that one cohort schedule.</t>
  </si>
  <si>
    <t xml:space="preserve">Cash</t>
  </si>
  <si>
    <t xml:space="preserve">Cash is built directly (receipts − payments) and cross-checked against EBITDA + change in deferred revenue − change in receivables. Vendors are assumed paid in the month incurred (no payables float).</t>
  </si>
  <si>
    <t xml:space="preserve">Not modeled</t>
  </si>
  <si>
    <t xml:space="preserve">Income tax, sales/VAT, capitalized software, stock compensation, interest income, grants and cloud credits, FX, payables float, multi-year prepayments. All are flagged for the accountant.</t>
  </si>
  <si>
    <t xml:space="preserve">Financing</t>
  </si>
  <si>
    <t xml:space="preserve">Rounds in Assumptions section 9 are placeholders to test funding adequacy. A negative cash result is a finding about the plan, not a formula error.</t>
  </si>
  <si>
    <t xml:space="preserve">Snapshot</t>
  </si>
  <si>
    <t xml:space="preserve">Scenario_Results is pasted values. Re-run all nine after any assumption change (or the check on that sheet will fail for the active scenario). tools/fill_snapshot.py does this and tools/verify_scenarios.py checks it.</t>
  </si>
  <si>
    <t xml:space="preserve">Source of truth</t>
  </si>
  <si>
    <t xml:space="preserve">Once actuals exist, books and bank records are the source of truth; this workbook is the plan. Never infer cash, revenue or runway from repository activity.</t>
  </si>
  <si>
    <t xml:space="preserve">Sheet map</t>
  </si>
  <si>
    <t xml:space="preserve">Summary</t>
  </si>
  <si>
    <t xml:space="preserve">Three-year P&amp;L, cash, ARR and operating metrics</t>
  </si>
  <si>
    <t xml:space="preserve">Unit_Economics</t>
  </si>
  <si>
    <t xml:space="preserve">CAC, payback, LTV, margins, churn, NRR, burn, runway, implementation margin, with proposed guardrails</t>
  </si>
  <si>
    <t xml:space="preserve">Board_Pack</t>
  </si>
  <si>
    <t xml:space="preserve">Quarterly plan with an actuals-and-variance block for the board</t>
  </si>
  <si>
    <t xml:space="preserve">Scenario_Control</t>
  </si>
  <si>
    <t xml:space="preserve">Scenario selector and the 18 scenario drivers</t>
  </si>
  <si>
    <t xml:space="preserve">Scenario_Results</t>
  </si>
  <si>
    <t xml:space="preserve">Pasted comparison of all nine scenarios (8 and 9 apply the go/no-go gates)</t>
  </si>
  <si>
    <t xml:space="preserve">Assumptions</t>
  </si>
  <si>
    <t xml:space="preserve">Every input with basis, notes and owner to validate</t>
  </si>
  <si>
    <t xml:space="preserve">Revenue</t>
  </si>
  <si>
    <t xml:space="preserve">Monthly revenue, ARR, billings, deferred revenue, collections</t>
  </si>
  <si>
    <t xml:space="preserve">Costs</t>
  </si>
  <si>
    <t xml:space="preserve">Monthly cost of revenue and operating expenses</t>
  </si>
  <si>
    <t xml:space="preserve">Headcount</t>
  </si>
  <si>
    <t xml:space="preserve">Role-by-role hiring plan and people cost</t>
  </si>
  <si>
    <t xml:space="preserve">Financials</t>
  </si>
  <si>
    <t xml:space="preserve">Monthly income statement, cash flow, funding and runway</t>
  </si>
  <si>
    <t xml:space="preserve">Approval_Matrix</t>
  </si>
  <si>
    <t xml:space="preserve">Proposed spending authority, triggers and hiring gates</t>
  </si>
  <si>
    <t xml:space="preserve">Checks</t>
  </si>
  <si>
    <t xml:space="preserve">Integrity checks and funding warnings</t>
  </si>
  <si>
    <t xml:space="preserve">Live status</t>
  </si>
  <si>
    <t xml:space="preserve">Active scenario</t>
  </si>
  <si>
    <t xml:space="preserve">Integrity checks</t>
  </si>
  <si>
    <t xml:space="preserve">Funding under assumed rounds</t>
  </si>
  <si>
    <t xml:space="preserve">Three-year summary (model years run November to October)</t>
  </si>
  <si>
    <t xml:space="preserve">Scenario:</t>
  </si>
  <si>
    <t xml:space="preserve">Model year</t>
  </si>
  <si>
    <t xml:space="preserve">Metric</t>
  </si>
  <si>
    <t xml:space="preserve">Unit</t>
  </si>
  <si>
    <t xml:space="preserve">3-year</t>
  </si>
  <si>
    <t xml:space="preserve">Revenue by stream</t>
  </si>
  <si>
    <t xml:space="preserve">1. Student subscription</t>
  </si>
  <si>
    <t xml:space="preserve">$</t>
  </si>
  <si>
    <t xml:space="preserve">2. Institutional platform (incl. pilots)</t>
  </si>
  <si>
    <t xml:space="preserve">3. Implementation services</t>
  </si>
  <si>
    <t xml:space="preserve">4. AI usage</t>
  </si>
  <si>
    <t xml:space="preserve">5. Marketplace (net)</t>
  </si>
  <si>
    <t xml:space="preserve">6. Career / employer</t>
  </si>
  <si>
    <t xml:space="preserve">7. Alumni</t>
  </si>
  <si>
    <t xml:space="preserve">Contra-revenue: incident service credits</t>
  </si>
  <si>
    <t xml:space="preserve">Total revenue</t>
  </si>
  <si>
    <t xml:space="preserve">Revenue growth year over year</t>
  </si>
  <si>
    <t xml:space="preserve">%</t>
  </si>
  <si>
    <t xml:space="preserve">Recurring share of revenue (subscription, institutional excl. pilots, AI, employer, alumni)</t>
  </si>
  <si>
    <t xml:space="preserve">Profit and loss</t>
  </si>
  <si>
    <t xml:space="preserve">Cost of revenue</t>
  </si>
  <si>
    <t xml:space="preserve">Gross profit</t>
  </si>
  <si>
    <t xml:space="preserve">Gross margin</t>
  </si>
  <si>
    <t xml:space="preserve">R&amp;D</t>
  </si>
  <si>
    <t xml:space="preserve">Sales and marketing</t>
  </si>
  <si>
    <t xml:space="preserve">G&amp;A</t>
  </si>
  <si>
    <t xml:space="preserve">Incident response and remediation</t>
  </si>
  <si>
    <t xml:space="preserve">Insurance recovery</t>
  </si>
  <si>
    <t xml:space="preserve">EBITDA</t>
  </si>
  <si>
    <t xml:space="preserve">EBITDA margin</t>
  </si>
  <si>
    <t xml:space="preserve">Operating cash flow (net burn when negative)</t>
  </si>
  <si>
    <t xml:space="preserve">Equity financing (assumed)</t>
  </si>
  <si>
    <t xml:space="preserve">Cash, end of year</t>
  </si>
  <si>
    <t xml:space="preserve">Lowest month-end cash in year</t>
  </si>
  <si>
    <t xml:space="preserve">Runway at year end (months; 999 = not burning)</t>
  </si>
  <si>
    <t xml:space="preserve">months</t>
  </si>
  <si>
    <t xml:space="preserve">Position and operating metrics (end of year)</t>
  </si>
  <si>
    <t xml:space="preserve">ARR (recurring only)</t>
  </si>
  <si>
    <t xml:space="preserve">Contracted ARR (incl. signed, not yet live)</t>
  </si>
  <si>
    <t xml:space="preserve">Deferred revenue / contract liabilities (net)</t>
  </si>
  <si>
    <t xml:space="preserve">Receivables (institutional)</t>
  </si>
  <si>
    <t xml:space="preserve">FTE</t>
  </si>
  <si>
    <t xml:space="preserve">Total active users</t>
  </si>
  <si>
    <t xml:space="preserve">#</t>
  </si>
  <si>
    <t xml:space="preserve">Paid student subscribers</t>
  </si>
  <si>
    <t xml:space="preserve">Live institutions (Dept + Institution)</t>
  </si>
  <si>
    <t xml:space="preserve">Pilots signed in year</t>
  </si>
  <si>
    <t xml:space="preserve">Employer partners</t>
  </si>
  <si>
    <t xml:space="preserve">Margin detail</t>
  </si>
  <si>
    <t xml:space="preserve">Subscription gross margin (excl. implementation)</t>
  </si>
  <si>
    <t xml:space="preserve">Implementation margin</t>
  </si>
  <si>
    <t xml:space="preserve">AI inference as % of revenue</t>
  </si>
  <si>
    <t xml:space="preserve">Revenue per average FTE</t>
  </si>
  <si>
    <t xml:space="preserve">Unit-economics dashboard</t>
  </si>
  <si>
    <t xml:space="preserve">Guardrails in column G are steady-state thresholds proposed for the founder to accept or change (the repository sets no targets). NOT MET in early years is expected for several; trigger rules act only after two consecutive periods.</t>
  </si>
  <si>
    <t xml:space="preserve">Proposed guardrail (Y3)</t>
  </si>
  <si>
    <t xml:space="preserve">Direction</t>
  </si>
  <si>
    <t xml:space="preserve">Y3 status</t>
  </si>
  <si>
    <t xml:space="preserve">A. Growth and margin</t>
  </si>
  <si>
    <t xml:space="preserve">ARR, end of year</t>
  </si>
  <si>
    <t xml:space="preserve">ARR growth</t>
  </si>
  <si>
    <t xml:space="preserve">Gross margin, total</t>
  </si>
  <si>
    <t xml:space="preserve">&gt;=</t>
  </si>
  <si>
    <t xml:space="preserve">Contribution margin $ (revenue − cost of revenue − commissions, channel fees, paid student acquisition)</t>
  </si>
  <si>
    <t xml:space="preserve">Contribution margin %</t>
  </si>
  <si>
    <t xml:space="preserve">B. Student subscription</t>
  </si>
  <si>
    <t xml:space="preserve">New registrations (paid + organic)</t>
  </si>
  <si>
    <t xml:space="preserve">Newly activated students</t>
  </si>
  <si>
    <t xml:space="preserve">New paid subscribers</t>
  </si>
  <si>
    <t xml:space="preserve">Paid acquisition spend</t>
  </si>
  <si>
    <t xml:space="preserve">Paid CAC (paid spend ÷ new paid subscribers)</t>
  </si>
  <si>
    <t xml:space="preserve">Fully loaded student CAC (paid + growth team + half of shared marketing and brand)</t>
  </si>
  <si>
    <t xml:space="preserve">Net revenue per paid subscriber per month</t>
  </si>
  <si>
    <t xml:space="preserve">Variable platform cost per active user per month (compute, storage, bandwidth, search, notifications)</t>
  </si>
  <si>
    <t xml:space="preserve">AI cost per paid subscriber per month</t>
  </si>
  <si>
    <t xml:space="preserve">Support cost per direct user per month</t>
  </si>
  <si>
    <t xml:space="preserve">Payment and app-store fees as % of billings</t>
  </si>
  <si>
    <t xml:space="preserve">Unit gross margin per paid subscriber</t>
  </si>
  <si>
    <t xml:space="preserve">Expected paid lifetime, months (3-year cap on annual plans)</t>
  </si>
  <si>
    <t xml:space="preserve">Student LTV (gross-margin basis)</t>
  </si>
  <si>
    <t xml:space="preserve">Student LTV : fully loaded CAC</t>
  </si>
  <si>
    <t xml:space="preserve">x</t>
  </si>
  <si>
    <t xml:space="preserve">Student CAC payback, months (fully loaded)</t>
  </si>
  <si>
    <t xml:space="preserve">&lt;=</t>
  </si>
  <si>
    <t xml:space="preserve">Cost of one free active user per month</t>
  </si>
  <si>
    <t xml:space="preserve">Monthly churn, monthly plan (scenario-adjusted)</t>
  </si>
  <si>
    <t xml:space="preserve">%/mo</t>
  </si>
  <si>
    <t xml:space="preserve">Annual plan renewal, 1st anniversary (scenario-adjusted)</t>
  </si>
  <si>
    <t xml:space="preserve">C. Institutional</t>
  </si>
  <si>
    <t xml:space="preserve">Pilots signed</t>
  </si>
  <si>
    <t xml:space="preserve">Direct Dept + Institution logos signed</t>
  </si>
  <si>
    <t xml:space="preserve">New paying logos live (direct go-lives + pilot conversions)</t>
  </si>
  <si>
    <t xml:space="preserve">New ARR landed</t>
  </si>
  <si>
    <t xml:space="preserve">Average ACV landed</t>
  </si>
  <si>
    <t xml:space="preserve">Institutional S&amp;M cost (sales team, half of shared marketing and brand, programs, tools, commissions, channel fees)</t>
  </si>
  <si>
    <t xml:space="preserve">Institutional CAC per new paying logo</t>
  </si>
  <si>
    <t xml:space="preserve">Institutional CAC payback, months (subscription gross margin)</t>
  </si>
  <si>
    <t xml:space="preserve">ARR-weighted annual logo churn (Dept and Institution)</t>
  </si>
  <si>
    <t xml:space="preserve">Institutional LTV (ACV × subscription GM × lifetime, 7-year cap, no expansion credit)</t>
  </si>
  <si>
    <t xml:space="preserve">Institutional LTV : CAC</t>
  </si>
  <si>
    <t xml:space="preserve">Expansion ARR (Dept + Institution)</t>
  </si>
  <si>
    <t xml:space="preserve">Churned ARR (Dept + Institution)</t>
  </si>
  <si>
    <t xml:space="preserve">Institutional ARR at start of year</t>
  </si>
  <si>
    <t xml:space="preserve">Net revenue retention (Dept + Institution cohorts at start of year)</t>
  </si>
  <si>
    <t xml:space="preserve">Gross revenue retention</t>
  </si>
  <si>
    <t xml:space="preserve">Implementation hours delivered</t>
  </si>
  <si>
    <t xml:space="preserve">h</t>
  </si>
  <si>
    <t xml:space="preserve">Peak implied implementation FTE in year</t>
  </si>
  <si>
    <t xml:space="preserve">D. Cash efficiency</t>
  </si>
  <si>
    <t xml:space="preserve">Net burn (operating cash outflow)</t>
  </si>
  <si>
    <t xml:space="preserve">Net new ARR</t>
  </si>
  <si>
    <t xml:space="preserve">Burn multiple (net burn ÷ net new ARR)</t>
  </si>
  <si>
    <t xml:space="preserve">Runway at year end, months (999 = not burning)</t>
  </si>
  <si>
    <t xml:space="preserve">Peak cumulative funding need before financing (36 months)</t>
  </si>
  <si>
    <t xml:space="preserve">R&amp;D as % of revenue</t>
  </si>
  <si>
    <t xml:space="preserve">Sales and marketing as % of revenue</t>
  </si>
  <si>
    <t xml:space="preserve">G&amp;A as % of revenue</t>
  </si>
  <si>
    <t xml:space="preserve">Founder and board finance pack (quarterly view; plan from the model, actuals entered by Finance)</t>
  </si>
  <si>
    <t xml:space="preserve">Blue cells in the Actual block are for Finance to enter from the closed books. Leave blank until the quarter is closed and reviewed.</t>
  </si>
  <si>
    <t xml:space="preserve">Quarter #</t>
  </si>
  <si>
    <t xml:space="preserve">Plan (from the model)</t>
  </si>
  <si>
    <t xml:space="preserve">Operating expenses (R&amp;D + S&amp;M + G&amp;A + incident)</t>
  </si>
  <si>
    <t xml:space="preserve">Operating cash flow</t>
  </si>
  <si>
    <t xml:space="preserve">Financing received</t>
  </si>
  <si>
    <t xml:space="preserve">Cash, end of quarter</t>
  </si>
  <si>
    <t xml:space="preserve">Runway, months (999 = not burning)</t>
  </si>
  <si>
    <t xml:space="preserve">Below minimum-cash policy (1 = yes)</t>
  </si>
  <si>
    <t xml:space="preserve">flag</t>
  </si>
  <si>
    <t xml:space="preserve">ARR, end of quarter</t>
  </si>
  <si>
    <t xml:space="preserve">Net new ARR in quarter</t>
  </si>
  <si>
    <t xml:space="preserve">New paying institutional logos live</t>
  </si>
  <si>
    <t xml:space="preserve">Signed-not-live ACV (backlog)</t>
  </si>
  <si>
    <t xml:space="preserve">AI inference cost</t>
  </si>
  <si>
    <t xml:space="preserve">AI cost per average active user per month</t>
  </si>
  <si>
    <t xml:space="preserve">DSO (receivables ÷ last-3-month invoicing × 90)</t>
  </si>
  <si>
    <t xml:space="preserve">days</t>
  </si>
  <si>
    <t xml:space="preserve">Deferred revenue (net)</t>
  </si>
  <si>
    <t xml:space="preserve">Actual (Finance enters from closed books) and variance to plan</t>
  </si>
  <si>
    <t xml:space="preserve">Actual: Revenue</t>
  </si>
  <si>
    <t xml:space="preserve">Variance: Revenue (actual − plan)</t>
  </si>
  <si>
    <t xml:space="preserve">Actual: ARR, end of quarter</t>
  </si>
  <si>
    <t xml:space="preserve">Variance: ARR, end of quarter (actual − plan)</t>
  </si>
  <si>
    <t xml:space="preserve">Actual: Operating cash flow</t>
  </si>
  <si>
    <t xml:space="preserve">Variance: Operating cash flow (actual − plan)</t>
  </si>
  <si>
    <t xml:space="preserve">Actual: Cash, end of quarter</t>
  </si>
  <si>
    <t xml:space="preserve">Variance: Cash, end of quarter (actual − plan)</t>
  </si>
  <si>
    <t xml:space="preserve">Actual: Headcount</t>
  </si>
  <si>
    <t xml:space="preserve">Variance: Headcount (actual − plan)</t>
  </si>
  <si>
    <t xml:space="preserve">Cover note for each pack (founder completes)</t>
  </si>
  <si>
    <t xml:space="preserve">1. What changed since last pack (assumptions changed, with dates and reasons)</t>
  </si>
  <si>
    <t xml:space="preserve">2. Decisions requested from the board</t>
  </si>
  <si>
    <t xml:space="preserve">3. Top three risks and the trigger that would make each one real</t>
  </si>
  <si>
    <t xml:space="preserve">4. Items sent to counsel, the accountant or the tax adviser, with status</t>
  </si>
  <si>
    <t xml:space="preserve">Scenario control</t>
  </si>
  <si>
    <t xml:space="preserve">Active scenario (enter 1–9)</t>
  </si>
  <si>
    <t xml:space="preserve">Every sheet recalculates for the scenario chosen here. Scenario_Results holds a pasted snapshot of all nine.</t>
  </si>
  <si>
    <t xml:space="preserve">Scenario</t>
  </si>
  <si>
    <t xml:space="preserve">Driver</t>
  </si>
  <si>
    <t xml:space="preserve">Conservative</t>
  </si>
  <si>
    <t xml:space="preserve">Base</t>
  </si>
  <si>
    <t xml:space="preserve">Aggressive</t>
  </si>
  <si>
    <t xml:space="preserve">Enterprise-delayed</t>
  </si>
  <si>
    <t xml:space="preserve">High-AI-cost</t>
  </si>
  <si>
    <t xml:space="preserve">Incident-cost</t>
  </si>
  <si>
    <t xml:space="preserve">Gated plan (CFO rec.)</t>
  </si>
  <si>
    <t xml:space="preserve">Go/no-go gates (Base economics)</t>
  </si>
  <si>
    <t xml:space="preserve">Go/no-go gates + gated hiring</t>
  </si>
  <si>
    <t xml:space="preserve">ACTIVE</t>
  </si>
  <si>
    <t xml:space="preserve">S-01</t>
  </si>
  <si>
    <t xml:space="preserve">Student registrations multiplier</t>
  </si>
  <si>
    <t xml:space="preserve">S-02</t>
  </si>
  <si>
    <t xml:space="preserve">Free→paid conversion multiplier</t>
  </si>
  <si>
    <t xml:space="preserve">S-03</t>
  </si>
  <si>
    <t xml:space="preserve">Student churn multiplier (higher = worse)</t>
  </si>
  <si>
    <t xml:space="preserve">S-04</t>
  </si>
  <si>
    <t xml:space="preserve">Institutional new-logo volume multiplier</t>
  </si>
  <si>
    <t xml:space="preserve">S-05</t>
  </si>
  <si>
    <t xml:space="preserve">Institutional price realization (ACV) multiplier</t>
  </si>
  <si>
    <t xml:space="preserve">S-06</t>
  </si>
  <si>
    <t xml:space="preserve">Enterprise signing delay (Dept/Institution)</t>
  </si>
  <si>
    <t xml:space="preserve">S-07</t>
  </si>
  <si>
    <t xml:space="preserve">Extra months signing → go-live</t>
  </si>
  <si>
    <t xml:space="preserve">S-08</t>
  </si>
  <si>
    <t xml:space="preserve">Institutional logo churn multiplier (higher = worse)</t>
  </si>
  <si>
    <t xml:space="preserve">S-09</t>
  </si>
  <si>
    <t xml:space="preserve">Expansion multiplier</t>
  </si>
  <si>
    <t xml:space="preserve">S-10</t>
  </si>
  <si>
    <t xml:space="preserve">Implementation hours multiplier (overrun)</t>
  </si>
  <si>
    <t xml:space="preserve">S-11</t>
  </si>
  <si>
    <t xml:space="preserve">AI token usage multiplier</t>
  </si>
  <si>
    <t xml:space="preserve">S-12</t>
  </si>
  <si>
    <t xml:space="preserve">AI vendor price multiplier</t>
  </si>
  <si>
    <t xml:space="preserve">S-13</t>
  </si>
  <si>
    <t xml:space="preserve">Delay for flexible hires</t>
  </si>
  <si>
    <t xml:space="preserve">S-14</t>
  </si>
  <si>
    <t xml:space="preserve">Flexible-role headcount cost multiplier (capacity added)</t>
  </si>
  <si>
    <t xml:space="preserve">S-15</t>
  </si>
  <si>
    <t xml:space="preserve">Marketplace launch delay</t>
  </si>
  <si>
    <t xml:space="preserve">S-16</t>
  </si>
  <si>
    <t xml:space="preserve">Marketplace/employer/alumni/AI add-on adoption multiplier</t>
  </si>
  <si>
    <t xml:space="preserve">S-17</t>
  </si>
  <si>
    <t xml:space="preserve">Collections delay</t>
  </si>
  <si>
    <t xml:space="preserve">S-18</t>
  </si>
  <si>
    <t xml:space="preserve">Security incident occurs (1 = yes)</t>
  </si>
  <si>
    <t xml:space="preserve">S-19</t>
  </si>
  <si>
    <t xml:space="preserve">Apply the go/no-go gates (1 = yes; gate months are in Assumptions section 13)</t>
  </si>
  <si>
    <t xml:space="preserve">S-20</t>
  </si>
  <si>
    <t xml:space="preserve">Slip added to every gate month</t>
  </si>
  <si>
    <t xml:space="preserve">Scenario comparison (pasted snapshot of all nine scenarios)</t>
  </si>
  <si>
    <t xml:space="preserve">Values below were produced by recalculating the model once per scenario and pasting the results. They do not update by themselves; change an assumption, then re-run tools/fill_snapshot.py. Row 25 checks that the active scenario still matches its pasted row.</t>
  </si>
  <si>
    <t xml:space="preserve">Revenue Y1</t>
  </si>
  <si>
    <t xml:space="preserve">Revenue Y2</t>
  </si>
  <si>
    <t xml:space="preserve">Revenue Y3</t>
  </si>
  <si>
    <t xml:space="preserve">ARR end Y3</t>
  </si>
  <si>
    <t xml:space="preserve">Gross margin Y3</t>
  </si>
  <si>
    <t xml:space="preserve">Subscription GM Y3</t>
  </si>
  <si>
    <t xml:space="preserve">EBITDA Y1</t>
  </si>
  <si>
    <t xml:space="preserve">EBITDA Y2</t>
  </si>
  <si>
    <t xml:space="preserve">EBITDA Y3</t>
  </si>
  <si>
    <t xml:space="preserve">Peak funding need (36 mo, before financing)</t>
  </si>
  <si>
    <t xml:space="preserve">Lowest month-end cash with assumed rounds</t>
  </si>
  <si>
    <t xml:space="preserve">Months below minimum-cash policy</t>
  </si>
  <si>
    <t xml:space="preserve">Cash end Y3</t>
  </si>
  <si>
    <t xml:space="preserve">Headcount end Y3</t>
  </si>
  <si>
    <t xml:space="preserve">Burn multiple Y3</t>
  </si>
  <si>
    <t xml:space="preserve">Inst. NRR Y3</t>
  </si>
  <si>
    <t xml:space="preserve">Change from Base</t>
  </si>
  <si>
    <t xml:space="preserve">Check: live Y3 revenue minus pasted Y3 revenue for the active scenario (must be zero)</t>
  </si>
  <si>
    <t xml:space="preserve">What each scenario changes</t>
  </si>
  <si>
    <t xml:space="preserve">Fewer registrations, lower conversion, 40% fewer institutional logos at 15% lower ACV, signing delayed 3 months and go-live 2 months longer, higher churn, weaker expansion, 25% implementation overruns, one-month slower collections, flexible hires delayed 3 months, marketplace 6 months later.</t>
  </si>
  <si>
    <t xml:space="preserve">The assumptions as entered in the Assumptions sheet: staged hiring, ambassador-led student growth, institutional logos calibrated to 3-4 enterprise AEs.</t>
  </si>
  <si>
    <t xml:space="preserve">50% more registrations, 40% more institutional logos at 10% higher ACV, lower churn, stronger expansion, 15% extra capacity cost on flexible roles, 20% more AI usage at 10% lower vendor price.</t>
  </si>
  <si>
    <t xml:space="preserve">Dept/Institution signings arrive 6 months later and go-live takes 3 months longer, with weaker expansion, higher churn, 20% implementation overruns and slower collections. Student and AI economics unchanged.</t>
  </si>
  <si>
    <t xml:space="preserve">Token usage doubles and vendor prices rise 50% (3x cost per task). Revenue is unchanged: the question is what AI cost does to margin and cash if pricing does not move.</t>
  </si>
  <si>
    <t xml:space="preserve">A security incident in month 20: forensics, legal, notification for 30,000 people, remediation, three months of service credits, 15% fewer logos, higher churn and weaker expansion (a simplification: these drivers apply across the whole horizon, not only after the incident), insurance recovery after a retention.</t>
  </si>
  <si>
    <t xml:space="preserve">Base revenue, with 10% fewer registrations, logos and adoption (less capacity), and every flexible role released nine months late behind the gating milestones in Approval_Matrix.</t>
  </si>
  <si>
    <t xml:space="preserve">Base economics with every revenue motion behind its go/no-go gate (Assumptions section 13, from GO-NO-GO-DECISION.md): registrations and acquisition spend at 25% and no Plus sales before month 15; no paid pilot signed before month 12; no direct Department sale before month 24; no direct Institution sale before month 28. Hiring is unchanged, so this isolates what the gates do to revenue and cash.</t>
  </si>
  <si>
    <t xml:space="preserve">Scenario 8 plus every flexible role released nine months late, as in scenario 7: what it is worth to tie the sales, implementation and success hires to the gates rather than to the calendar.</t>
  </si>
  <si>
    <t xml:space="preserve">Snapshot produced 2026-10-04 by recalculating all nine scenarios on this workbook's formulas.</t>
  </si>
  <si>
    <t xml:space="preserve">Assumptions register</t>
  </si>
  <si>
    <t xml:space="preserve">Blue = input you may change. Every figure is a modeling hypothesis for founder decision, not a target, a quote, an approved price book or a fact about the company. Basis: FACT = documented repository decision · PROPOSED = design decision awaiting approval · HYPOTHESIS = estimate to validate · VENDOR = list price to verify · REVIEW = qualified professional · POLICY = proposed control.</t>
  </si>
  <si>
    <t xml:space="preserve">ID</t>
  </si>
  <si>
    <t xml:space="preserve">Assumption</t>
  </si>
  <si>
    <t xml:space="preserve">Value / Y1</t>
  </si>
  <si>
    <t xml:space="preserve">Y2</t>
  </si>
  <si>
    <t xml:space="preserve">Y3</t>
  </si>
  <si>
    <t xml:space="preserve">Basis</t>
  </si>
  <si>
    <t xml:space="preserve">Notes / owner to validate</t>
  </si>
  <si>
    <t xml:space="preserve">1. General</t>
  </si>
  <si>
    <t xml:space="preserve">A-001</t>
  </si>
  <si>
    <t xml:space="preserve">Model month 1 (first day)</t>
  </si>
  <si>
    <t xml:space="preserve">date</t>
  </si>
  <si>
    <t xml:space="preserve">PROPOSED</t>
  </si>
  <si>
    <t xml:space="preserve">Model years run Nov–Oct so each contains one full academic start (Aug–Sep). Fiscal-year choice is an accountant decision.</t>
  </si>
  <si>
    <t xml:space="preserve">A-002</t>
  </si>
  <si>
    <t xml:space="preserve">Opening cash at month 1</t>
  </si>
  <si>
    <t xml:space="preserve">HYPOTHESIS</t>
  </si>
  <si>
    <t xml:space="preserve">PLACEHOLDER. No company cash is evidenced in the repository; enter the reconciled bank balance.</t>
  </si>
  <si>
    <t xml:space="preserve">A-003</t>
  </si>
  <si>
    <t xml:space="preserve">Annual wage inflation (applied from model year 2)</t>
  </si>
  <si>
    <t xml:space="preserve">A-004</t>
  </si>
  <si>
    <t xml:space="preserve">Employer burden on base pay (taxes, benefits)</t>
  </si>
  <si>
    <t xml:space="preserve">Payroll taxes, health, 401(k) match, workers comp. PEO/payroll provider quote needed.</t>
  </si>
  <si>
    <t xml:space="preserve">2. Student subscription (direct-to-student)</t>
  </si>
  <si>
    <t xml:space="preserve">A-005</t>
  </si>
  <si>
    <t xml:space="preserve">Paid student-acquisition budget per year</t>
  </si>
  <si>
    <t xml:space="preserve">$/yr</t>
  </si>
  <si>
    <t xml:space="preserve">Management lever. Spend is gated on the CAC guardrail in Unit_Economics.</t>
  </si>
  <si>
    <t xml:space="preserve">A-006</t>
  </si>
  <si>
    <t xml:space="preserve">Cost per paid-attributed registration</t>
  </si>
  <si>
    <t xml:space="preserve">Ambassador-led channel mix (cheapest first). Rises as the cheapest audiences saturate.</t>
  </si>
  <si>
    <t xml:space="preserve">A-007</t>
  </si>
  <si>
    <t xml:space="preserve">Organic registrations per paid registration</t>
  </si>
  <si>
    <t xml:space="preserve">Referral, ambassador and word-of-mouth registrations per paid one. Validate in the first campus cohort.</t>
  </si>
  <si>
    <t xml:space="preserve">A-008</t>
  </si>
  <si>
    <t xml:space="preserve">Registration → activated (completes core job)</t>
  </si>
  <si>
    <t xml:space="preserve">Matches the repo's activation definition (own course + answered a card within 7 days).</t>
  </si>
  <si>
    <t xml:space="preserve">A-009</t>
  </si>
  <si>
    <t xml:space="preserve">Activated → paid (Plus) conversion, in month</t>
  </si>
  <si>
    <t xml:space="preserve">Freemium consumer benchmarks vary widely; validate before spend scales.</t>
  </si>
  <si>
    <t xml:space="preserve">A-010</t>
  </si>
  <si>
    <t xml:space="preserve">Share of new paid on the annual plan</t>
  </si>
  <si>
    <t xml:space="preserve">A-011</t>
  </si>
  <si>
    <t xml:space="preserve">Plus list price, monthly</t>
  </si>
  <si>
    <t xml:space="preserve">$/mo</t>
  </si>
  <si>
    <t xml:space="preserve">FACT</t>
  </si>
  <si>
    <t xml:space="preserve">D-134: Plus is $7.99 a month everywhere.</t>
  </si>
  <si>
    <t xml:space="preserve">A-012</t>
  </si>
  <si>
    <t xml:space="preserve">Plus list price, annual</t>
  </si>
  <si>
    <t xml:space="preserve">D-134: $59 a year everywhere.</t>
  </si>
  <si>
    <t xml:space="preserve">A-013</t>
  </si>
  <si>
    <t xml:space="preserve">Blended promo / campus-code discount off list</t>
  </si>
  <si>
    <t xml:space="preserve">Ambassador codes, back-to-school promos.</t>
  </si>
  <si>
    <t xml:space="preserve">A-014</t>
  </si>
  <si>
    <t xml:space="preserve">Refunds and chargebacks as % of billings</t>
  </si>
  <si>
    <t xml:space="preserve">Variable-consideration treatment is an accountant question.</t>
  </si>
  <si>
    <t xml:space="preserve">A-015</t>
  </si>
  <si>
    <t xml:space="preserve">Monthly churn, monthly-plan subscribers</t>
  </si>
  <si>
    <t xml:space="preserve">Students churn hard in summer and after exams.</t>
  </si>
  <si>
    <t xml:space="preserve">A-016</t>
  </si>
  <si>
    <t xml:space="preserve">Annual plan renewal at first anniversary</t>
  </si>
  <si>
    <t xml:space="preserve">Graduation and transfers cap renewal.</t>
  </si>
  <si>
    <t xml:space="preserve">A-017</t>
  </si>
  <si>
    <t xml:space="preserve">Annual plan renewal at second anniversary (of those renewed)</t>
  </si>
  <si>
    <t xml:space="preserve">A-018</t>
  </si>
  <si>
    <t xml:space="preserve">Monthly churn of free active users</t>
  </si>
  <si>
    <t xml:space="preserve">A-019</t>
  </si>
  <si>
    <t xml:space="preserve">Share of billings through web checkout (rest via app stores)</t>
  </si>
  <si>
    <t xml:space="preserve">App-store rules for subscriptions and education apps need counsel review.</t>
  </si>
  <si>
    <t xml:space="preserve">A-020</t>
  </si>
  <si>
    <t xml:space="preserve">Card processor fee, percent</t>
  </si>
  <si>
    <t xml:space="preserve">VENDOR</t>
  </si>
  <si>
    <t xml:space="preserve">Verify current processor price sheet and negotiated rate.</t>
  </si>
  <si>
    <t xml:space="preserve">A-021</t>
  </si>
  <si>
    <t xml:space="preserve">Card processor fee, fixed per transaction</t>
  </si>
  <si>
    <t xml:space="preserve">A-022</t>
  </si>
  <si>
    <t xml:space="preserve">App-store commission on app-store billings</t>
  </si>
  <si>
    <t xml:space="preserve">Assumes a reduced small-business commission tier; may be 30%. Verify program eligibility.</t>
  </si>
  <si>
    <t xml:space="preserve">A-023</t>
  </si>
  <si>
    <t xml:space="preserve">Premium AI add-on attach rate (of paid subscribers)</t>
  </si>
  <si>
    <t xml:space="preserve">Optional higher-cap AI tier; no surprise bills (hard cap).</t>
  </si>
  <si>
    <t xml:space="preserve">A-024</t>
  </si>
  <si>
    <t xml:space="preserve">Premium AI add-on price</t>
  </si>
  <si>
    <t xml:space="preserve">3. Institutional platform, pilots and implementation</t>
  </si>
  <si>
    <t xml:space="preserve">A-025</t>
  </si>
  <si>
    <t xml:space="preserve">Pilots signed per year (26-week design-partner pilots)</t>
  </si>
  <si>
    <t xml:space="preserve">#/yr</t>
  </si>
  <si>
    <t xml:space="preserve">Pilot length is fact (D-134). Volume is a hypothesis, not a target (no target is set).</t>
  </si>
  <si>
    <t xml:space="preserve">A-026</t>
  </si>
  <si>
    <t xml:space="preserve">Pilot software fee (whole 26 weeks)</t>
  </si>
  <si>
    <t xml:space="preserve">Repo: no approved price. 50–200 participants per the pilot offer.</t>
  </si>
  <si>
    <t xml:space="preserve">A-027</t>
  </si>
  <si>
    <t xml:space="preserve">Active students per pilot</t>
  </si>
  <si>
    <t xml:space="preserve">Midpoint of the 50–200 range in the pilot offer.</t>
  </si>
  <si>
    <t xml:space="preserve">A-028</t>
  </si>
  <si>
    <t xml:space="preserve">Pilot implementation fee</t>
  </si>
  <si>
    <t xml:space="preserve">Billed 50% at signing, 50% at go-live.</t>
  </si>
  <si>
    <t xml:space="preserve">A-029</t>
  </si>
  <si>
    <t xml:space="preserve">Pilot implementation hours</t>
  </si>
  <si>
    <t xml:space="preserve">30–60 day implementation per the pilot offer.</t>
  </si>
  <si>
    <t xml:space="preserve">A-030</t>
  </si>
  <si>
    <t xml:space="preserve">Pilot: months from signing to go-live</t>
  </si>
  <si>
    <t xml:space="preserve">mo</t>
  </si>
  <si>
    <t xml:space="preserve">30–60 days per the pilot offer.</t>
  </si>
  <si>
    <t xml:space="preserve">A-031</t>
  </si>
  <si>
    <t xml:space="preserve">Pilot → annual agreement conversion</t>
  </si>
  <si>
    <t xml:space="preserve">The repo defines this measure but has no reading.</t>
  </si>
  <si>
    <t xml:space="preserve">A-032</t>
  </si>
  <si>
    <t xml:space="preserve">Share of converting pilots that become Department (rest Institution)</t>
  </si>
  <si>
    <t xml:space="preserve">A-033</t>
  </si>
  <si>
    <t xml:space="preserve">Department/program new direct logos per year</t>
  </si>
  <si>
    <t xml:space="preserve">Calibrated so Y3 new ACV is within what 3–4 enterprise AEs can close.</t>
  </si>
  <si>
    <t xml:space="preserve">A-034</t>
  </si>
  <si>
    <t xml:space="preserve">Department: annual platform fee</t>
  </si>
  <si>
    <t xml:space="preserve">A-035</t>
  </si>
  <si>
    <t xml:space="preserve">Department: active students at land</t>
  </si>
  <si>
    <t xml:space="preserve">A-036</t>
  </si>
  <si>
    <t xml:space="preserve">Department: price per active student per year</t>
  </si>
  <si>
    <t xml:space="preserve">A-037</t>
  </si>
  <si>
    <t xml:space="preserve">Department: implementation fee</t>
  </si>
  <si>
    <t xml:space="preserve">A-038</t>
  </si>
  <si>
    <t xml:space="preserve">Department: implementation hours</t>
  </si>
  <si>
    <t xml:space="preserve">A-039</t>
  </si>
  <si>
    <t xml:space="preserve">Department: months signing → go-live</t>
  </si>
  <si>
    <t xml:space="preserve">A-040</t>
  </si>
  <si>
    <t xml:space="preserve">Department: annual logo churn at each anniversary</t>
  </si>
  <si>
    <t xml:space="preserve">A-041</t>
  </si>
  <si>
    <t xml:space="preserve">Department: expansion at 1st anniversary (of survivors)</t>
  </si>
  <si>
    <t xml:space="preserve">Seat growth as the rollout widens.</t>
  </si>
  <si>
    <t xml:space="preserve">A-042</t>
  </si>
  <si>
    <t xml:space="preserve">Department: expansion at 2nd anniversary</t>
  </si>
  <si>
    <t xml:space="preserve">A-043</t>
  </si>
  <si>
    <t xml:space="preserve">Institution-wide new direct logos per year</t>
  </si>
  <si>
    <t xml:space="preserve">Longest cycle; none in year 1.</t>
  </si>
  <si>
    <t xml:space="preserve">A-044</t>
  </si>
  <si>
    <t xml:space="preserve">Institution: annual platform fee</t>
  </si>
  <si>
    <t xml:space="preserve">A-045</t>
  </si>
  <si>
    <t xml:space="preserve">Institution: active students at land</t>
  </si>
  <si>
    <t xml:space="preserve">Phased rollout; expansion grows this.</t>
  </si>
  <si>
    <t xml:space="preserve">A-046</t>
  </si>
  <si>
    <t xml:space="preserve">Institution: price per active student per year</t>
  </si>
  <si>
    <t xml:space="preserve">A-047</t>
  </si>
  <si>
    <t xml:space="preserve">Institution: implementation fee</t>
  </si>
  <si>
    <t xml:space="preserve">A-048</t>
  </si>
  <si>
    <t xml:space="preserve">Institution: implementation hours</t>
  </si>
  <si>
    <t xml:space="preserve">Includes migration, integration, parallel run.</t>
  </si>
  <si>
    <t xml:space="preserve">A-049</t>
  </si>
  <si>
    <t xml:space="preserve">Institution: months signing → go-live</t>
  </si>
  <si>
    <t xml:space="preserve">A-050</t>
  </si>
  <si>
    <t xml:space="preserve">Institution: annual logo churn at each anniversary</t>
  </si>
  <si>
    <t xml:space="preserve">A-051</t>
  </si>
  <si>
    <t xml:space="preserve">Institution: expansion at 1st anniversary</t>
  </si>
  <si>
    <t xml:space="preserve">Land small, expand to campus.</t>
  </si>
  <si>
    <t xml:space="preserve">A-052</t>
  </si>
  <si>
    <t xml:space="preserve">Institution: expansion at 2nd anniversary</t>
  </si>
  <si>
    <t xml:space="preserve">A-053</t>
  </si>
  <si>
    <t xml:space="preserve">Collection profile: paid in month of invoice</t>
  </si>
  <si>
    <t xml:space="preserve">Public institutions commonly pay net 45–60.</t>
  </si>
  <si>
    <t xml:space="preserve">A-054</t>
  </si>
  <si>
    <t xml:space="preserve">Collection profile: month +1</t>
  </si>
  <si>
    <t xml:space="preserve">A-055</t>
  </si>
  <si>
    <t xml:space="preserve">Collection profile: month +2</t>
  </si>
  <si>
    <t xml:space="preserve">A-056</t>
  </si>
  <si>
    <t xml:space="preserve">Collection profile: month +3</t>
  </si>
  <si>
    <t xml:space="preserve">A-057</t>
  </si>
  <si>
    <t xml:space="preserve">Collection profile: month +4</t>
  </si>
  <si>
    <t xml:space="preserve">A-058</t>
  </si>
  <si>
    <t xml:space="preserve">Bad-debt allowance on institutional billings</t>
  </si>
  <si>
    <t xml:space="preserve">REVIEW</t>
  </si>
  <si>
    <t xml:space="preserve">Credit-loss method is an accountant decision.</t>
  </si>
  <si>
    <t xml:space="preserve">A-059</t>
  </si>
  <si>
    <t xml:space="preserve">Sales commission on first-year ACV of direct new logos</t>
  </si>
  <si>
    <t xml:space="preserve">Capitalization of commissions is an accountant question.</t>
  </si>
  <si>
    <t xml:space="preserve">A-060</t>
  </si>
  <si>
    <t xml:space="preserve">Cooperative-contract / channel admin fee on institutional billings</t>
  </si>
  <si>
    <t xml:space="preserve">Only applies if a cooperative contract vehicle is used.</t>
  </si>
  <si>
    <t xml:space="preserve">A-061</t>
  </si>
  <si>
    <t xml:space="preserve">Implementation: loaded cost per available hour</t>
  </si>
  <si>
    <t xml:space="preserve">$/h</t>
  </si>
  <si>
    <t xml:space="preserve">About $110k comp × 1.2 burden ÷ 2,080 h.</t>
  </si>
  <si>
    <t xml:space="preserve">A-062</t>
  </si>
  <si>
    <t xml:space="preserve">Implementation: delivery utilization</t>
  </si>
  <si>
    <t xml:space="preserve">A-063</t>
  </si>
  <si>
    <t xml:space="preserve">Implementation: productive hours per FTE-month</t>
  </si>
  <si>
    <t xml:space="preserve">Used only for the implied-FTE memo row.</t>
  </si>
  <si>
    <t xml:space="preserve">4. Career/employer, alumni and AI usage revenue</t>
  </si>
  <si>
    <t xml:space="preserve">A-064</t>
  </si>
  <si>
    <t xml:space="preserve">Employer product launch month</t>
  </si>
  <si>
    <t xml:space="preserve">month #</t>
  </si>
  <si>
    <t xml:space="preserve">Gated: student base, verified-employer controls, anti-discrimination review.</t>
  </si>
  <si>
    <t xml:space="preserve">A-065</t>
  </si>
  <si>
    <t xml:space="preserve">New employer partners per year</t>
  </si>
  <si>
    <t xml:space="preserve">A-066</t>
  </si>
  <si>
    <t xml:space="preserve">Employer partner annual fee</t>
  </si>
  <si>
    <t xml:space="preserve">A-067</t>
  </si>
  <si>
    <t xml:space="preserve">Employer annual churn</t>
  </si>
  <si>
    <t xml:space="preserve">A-068</t>
  </si>
  <si>
    <t xml:space="preserve">Employer expansion, 1st anniversary</t>
  </si>
  <si>
    <t xml:space="preserve">A-069</t>
  </si>
  <si>
    <t xml:space="preserve">Employer expansion, 2nd anniversary</t>
  </si>
  <si>
    <t xml:space="preserve">A-070</t>
  </si>
  <si>
    <t xml:space="preserve">Alumni module launch month</t>
  </si>
  <si>
    <t xml:space="preserve">Institution-sponsored only; no sale of alumni personal data.</t>
  </si>
  <si>
    <t xml:space="preserve">A-071</t>
  </si>
  <si>
    <t xml:space="preserve">Alumni module attach (share of Institution customers)</t>
  </si>
  <si>
    <t xml:space="preserve">A-072</t>
  </si>
  <si>
    <t xml:space="preserve">Alumni module annual fee per attaching institution</t>
  </si>
  <si>
    <t xml:space="preserve">A-073</t>
  </si>
  <si>
    <t xml:space="preserve">Institution AI credit packs: attach (share of active inst. students)</t>
  </si>
  <si>
    <t xml:space="preserve">Institution-managed credits with a budget guardrail.</t>
  </si>
  <si>
    <t xml:space="preserve">A-074</t>
  </si>
  <si>
    <t xml:space="preserve">Institution AI credit price per attaching student per year</t>
  </si>
  <si>
    <t xml:space="preserve">5. AI inference cost (bottom-up)</t>
  </si>
  <si>
    <t xml:space="preserve">A-075</t>
  </si>
  <si>
    <t xml:space="preserve">AI tasks per free active user per month</t>
  </si>
  <si>
    <t xml:space="preserve">A-076</t>
  </si>
  <si>
    <t xml:space="preserve">AI tasks per paid subscriber per month</t>
  </si>
  <si>
    <t xml:space="preserve">A-077</t>
  </si>
  <si>
    <t xml:space="preserve">AI tasks per premium-add-on subscriber per month</t>
  </si>
  <si>
    <t xml:space="preserve">Hard cap prevents bill shock.</t>
  </si>
  <si>
    <t xml:space="preserve">A-078</t>
  </si>
  <si>
    <t xml:space="preserve">AI tasks per institutional active student per month (included allowance)</t>
  </si>
  <si>
    <t xml:space="preserve">Included allowance with a hard monthly cap; heavier use is bought as institution AI credit packs.</t>
  </si>
  <si>
    <t xml:space="preserve">A-079</t>
  </si>
  <si>
    <t xml:space="preserve">Input tokens per task (incl. retrieved context)</t>
  </si>
  <si>
    <t xml:space="preserve">tokens</t>
  </si>
  <si>
    <t xml:space="preserve">A-080</t>
  </si>
  <si>
    <t xml:space="preserve">Output tokens per task</t>
  </si>
  <si>
    <t xml:space="preserve">A-081</t>
  </si>
  <si>
    <t xml:space="preserve">Routing mix: small model</t>
  </si>
  <si>
    <t xml:space="preserve">Cost control by routing (AI gateway).</t>
  </si>
  <si>
    <t xml:space="preserve">A-082</t>
  </si>
  <si>
    <t xml:space="preserve">Routing mix: mid model</t>
  </si>
  <si>
    <t xml:space="preserve">A-083</t>
  </si>
  <si>
    <t xml:space="preserve">Routing mix: frontier model</t>
  </si>
  <si>
    <t xml:space="preserve">A-084</t>
  </si>
  <si>
    <t xml:space="preserve">Small model: input $ per 1M tokens</t>
  </si>
  <si>
    <t xml:space="preserve">$/Mtok</t>
  </si>
  <si>
    <t xml:space="preserve">Illustrative list price. Refresh from the vendor's current price page each quarter.</t>
  </si>
  <si>
    <t xml:space="preserve">A-085</t>
  </si>
  <si>
    <t xml:space="preserve">Small model: output $ per 1M tokens</t>
  </si>
  <si>
    <t xml:space="preserve">A-086</t>
  </si>
  <si>
    <t xml:space="preserve">Mid model: input $ per 1M tokens</t>
  </si>
  <si>
    <t xml:space="preserve">A-087</t>
  </si>
  <si>
    <t xml:space="preserve">Mid model: output $ per 1M tokens</t>
  </si>
  <si>
    <t xml:space="preserve">A-088</t>
  </si>
  <si>
    <t xml:space="preserve">Frontier model: input $ per 1M tokens</t>
  </si>
  <si>
    <t xml:space="preserve">PLACEHOLDER; replace with the contracted rate.</t>
  </si>
  <si>
    <t xml:space="preserve">A-089</t>
  </si>
  <si>
    <t xml:space="preserve">Frontier model: output $ per 1M tokens</t>
  </si>
  <si>
    <t xml:space="preserve">PLACEHOLDER.</t>
  </si>
  <si>
    <t xml:space="preserve">A-090</t>
  </si>
  <si>
    <t xml:space="preserve">Input-token saving from prompt caching</t>
  </si>
  <si>
    <t xml:space="preserve">A-091</t>
  </si>
  <si>
    <t xml:space="preserve">Guardrail, retrieval, rerank and evaluation overhead on inference</t>
  </si>
  <si>
    <t xml:space="preserve">A-092</t>
  </si>
  <si>
    <t xml:space="preserve">AI platform fixed cost (eval harness, observability, red-team tooling)</t>
  </si>
  <si>
    <t xml:space="preserve">6. Marketplace</t>
  </si>
  <si>
    <t xml:space="preserve">A-093</t>
  </si>
  <si>
    <t xml:space="preserve">Marketplace launch month</t>
  </si>
  <si>
    <t xml:space="preserve">Gated on consumer protection, provider governance, refund, tax and dispute operations (audit pricing note).</t>
  </si>
  <si>
    <t xml:space="preserve">A-094</t>
  </si>
  <si>
    <t xml:space="preserve">Share of active users transacting per month</t>
  </si>
  <si>
    <t xml:space="preserve">A-095</t>
  </si>
  <si>
    <t xml:space="preserve">Orders per transacting user per month</t>
  </si>
  <si>
    <t xml:space="preserve">A-096</t>
  </si>
  <si>
    <t xml:space="preserve">Average order value</t>
  </si>
  <si>
    <t xml:space="preserve">A-097</t>
  </si>
  <si>
    <t xml:space="preserve">Take rate (net revenue as % of GMV)</t>
  </si>
  <si>
    <t xml:space="preserve">Net (agent) presentation assumed; principal-vs-agent is an accountant question.</t>
  </si>
  <si>
    <t xml:space="preserve">A-098</t>
  </si>
  <si>
    <t xml:space="preserve">Payment processing, percent of GMV</t>
  </si>
  <si>
    <t xml:space="preserve">A-099</t>
  </si>
  <si>
    <t xml:space="preserve">Payment processing, fixed per order</t>
  </si>
  <si>
    <t xml:space="preserve">A-100</t>
  </si>
  <si>
    <t xml:space="preserve">Disputes, fraud and refunds borne by Semester, percent of GMV</t>
  </si>
  <si>
    <t xml:space="preserve">A-101</t>
  </si>
  <si>
    <t xml:space="preserve">Moderation and trust-and-safety cost per order</t>
  </si>
  <si>
    <t xml:space="preserve">7. Infrastructure, support and other cost of revenue</t>
  </si>
  <si>
    <t xml:space="preserve">A-102</t>
  </si>
  <si>
    <t xml:space="preserve">Platform fixed hosting (dev, staging, prod, canary, DR)</t>
  </si>
  <si>
    <t xml:space="preserve">A-103</t>
  </si>
  <si>
    <t xml:space="preserve">Variable compute/database/cache per active user</t>
  </si>
  <si>
    <t xml:space="preserve">A-104</t>
  </si>
  <si>
    <t xml:space="preserve">Stored GB per active user (average)</t>
  </si>
  <si>
    <t xml:space="preserve">GB</t>
  </si>
  <si>
    <t xml:space="preserve">Documents, submissions, media, sync snapshots.</t>
  </si>
  <si>
    <t xml:space="preserve">A-105</t>
  </si>
  <si>
    <t xml:space="preserve">Object storage price</t>
  </si>
  <si>
    <t xml:space="preserve">$/GB-mo</t>
  </si>
  <si>
    <t xml:space="preserve">A-106</t>
  </si>
  <si>
    <t xml:space="preserve">Backup/replica/DR multiple on storage</t>
  </si>
  <si>
    <t xml:space="preserve">A-107</t>
  </si>
  <si>
    <t xml:space="preserve">Egress/CDN GB per active user per month</t>
  </si>
  <si>
    <t xml:space="preserve">A-108</t>
  </si>
  <si>
    <t xml:space="preserve">Egress/CDN price per GB</t>
  </si>
  <si>
    <t xml:space="preserve">$/GB</t>
  </si>
  <si>
    <t xml:space="preserve">A-109</t>
  </si>
  <si>
    <t xml:space="preserve">Search and vector store fixed cost</t>
  </si>
  <si>
    <t xml:space="preserve">A-110</t>
  </si>
  <si>
    <t xml:space="preserve">Search/vector variable per active user</t>
  </si>
  <si>
    <t xml:space="preserve">A-111</t>
  </si>
  <si>
    <t xml:space="preserve">Notifications (email/push/SMS) per active user</t>
  </si>
  <si>
    <t xml:space="preserve">A-112</t>
  </si>
  <si>
    <t xml:space="preserve">Connector run cost per live institution</t>
  </si>
  <si>
    <t xml:space="preserve">SIS/LMS/SSO/SCIM connectors, monitoring, vendor API fees.</t>
  </si>
  <si>
    <t xml:space="preserve">A-113</t>
  </si>
  <si>
    <t xml:space="preserve">Integration certification and partner-program fees</t>
  </si>
  <si>
    <t xml:space="preserve">LTI/1EdTech and SIS vendor programs.</t>
  </si>
  <si>
    <t xml:space="preserve">A-114</t>
  </si>
  <si>
    <t xml:space="preserve">Licensed data and content feeds (maps, dining, jobs)</t>
  </si>
  <si>
    <t xml:space="preserve">A-115</t>
  </si>
  <si>
    <t xml:space="preserve">Billing platform and bank fees on institutional billings</t>
  </si>
  <si>
    <t xml:space="preserve">A-116</t>
  </si>
  <si>
    <t xml:space="preserve">Support contacts per 100 direct users per month</t>
  </si>
  <si>
    <t xml:space="preserve">Repo defines support contact rate as tickets per 100 active users.</t>
  </si>
  <si>
    <t xml:space="preserve">A-117</t>
  </si>
  <si>
    <t xml:space="preserve">Semester-handled contacts per 100 institutional students per month</t>
  </si>
  <si>
    <t xml:space="preserve">Institution help desk takes first line.</t>
  </si>
  <si>
    <t xml:space="preserve">A-118</t>
  </si>
  <si>
    <t xml:space="preserve">Blended cost per support contact</t>
  </si>
  <si>
    <t xml:space="preserve">Tier-1 BPO plus escalation.</t>
  </si>
  <si>
    <t xml:space="preserve">A-119</t>
  </si>
  <si>
    <t xml:space="preserve">Support tooling (help desk, status page, telephony)</t>
  </si>
  <si>
    <t xml:space="preserve">8. Operating expenses (non-people)</t>
  </si>
  <si>
    <t xml:space="preserve">A-120</t>
  </si>
  <si>
    <t xml:space="preserve">Institutional demand generation and events</t>
  </si>
  <si>
    <t xml:space="preserve">A-121</t>
  </si>
  <si>
    <t xml:space="preserve">Brand, content, PR and community</t>
  </si>
  <si>
    <t xml:space="preserve">A-122</t>
  </si>
  <si>
    <t xml:space="preserve">Sales tools, RFP and procurement-response support</t>
  </si>
  <si>
    <t xml:space="preserve">A-123</t>
  </si>
  <si>
    <t xml:space="preserve">Security and compliance program (tools, pen test, SOC 2 readiness/audit)</t>
  </si>
  <si>
    <t xml:space="preserve">Pen test, SOC 2, bug bounty; timing lumpy in practice.</t>
  </si>
  <si>
    <t xml:space="preserve">A-124</t>
  </si>
  <si>
    <t xml:space="preserve">Third-party accessibility audits and VPAT</t>
  </si>
  <si>
    <t xml:space="preserve">A-125</t>
  </si>
  <si>
    <t xml:space="preserve">Outside counsel (formation, privacy, contracts, marketplace terms)</t>
  </si>
  <si>
    <t xml:space="preserve">Counsel quotes needed.</t>
  </si>
  <si>
    <t xml:space="preserve">A-126</t>
  </si>
  <si>
    <t xml:space="preserve">Insurance premiums (cyber, tech E&amp;O, GL, D&amp;O, crime, WC)</t>
  </si>
  <si>
    <t xml:space="preserve">Broker quote needed; institutional buyers ask for certificates.</t>
  </si>
  <si>
    <t xml:space="preserve">A-127</t>
  </si>
  <si>
    <t xml:space="preserve">Accounting, bookkeeping, tax and (year 3) first audit</t>
  </si>
  <si>
    <t xml:space="preserve">A-128</t>
  </si>
  <si>
    <t xml:space="preserve">Board, advisors and miscellaneous</t>
  </si>
  <si>
    <t xml:space="preserve">A-129</t>
  </si>
  <si>
    <t xml:space="preserve">Software per head</t>
  </si>
  <si>
    <t xml:space="preserve">A-130</t>
  </si>
  <si>
    <t xml:space="preserve">Workspace per head</t>
  </si>
  <si>
    <t xml:space="preserve">A-131</t>
  </si>
  <si>
    <t xml:space="preserve">Payroll/HRIS per head</t>
  </si>
  <si>
    <t xml:space="preserve">A-132</t>
  </si>
  <si>
    <t xml:space="preserve">Travel and entertainment per head</t>
  </si>
  <si>
    <t xml:space="preserve">A-133</t>
  </si>
  <si>
    <t xml:space="preserve">Onboarding cost per new hire (equipment, setup)</t>
  </si>
  <si>
    <t xml:space="preserve">A-134</t>
  </si>
  <si>
    <t xml:space="preserve">Recruiting fee, % of base (roles flagged)</t>
  </si>
  <si>
    <t xml:space="preserve">A-135</t>
  </si>
  <si>
    <t xml:space="preserve">Contingency reserve, % of non-people operating spend</t>
  </si>
  <si>
    <t xml:space="preserve">POLICY</t>
  </si>
  <si>
    <t xml:space="preserve">Explicit reserve; spend only with CFO approval.</t>
  </si>
  <si>
    <t xml:space="preserve">A-136</t>
  </si>
  <si>
    <t xml:space="preserve">Legal and closing cost on equity raises</t>
  </si>
  <si>
    <t xml:space="preserve">9. Financing (assumptions, not commitments)</t>
  </si>
  <si>
    <t xml:space="preserve">A-137</t>
  </si>
  <si>
    <t xml:space="preserve">Round 1 amount (seed)</t>
  </si>
  <si>
    <t xml:space="preserve">Illustrative. Counsel and board decide structure.</t>
  </si>
  <si>
    <t xml:space="preserve">A-138</t>
  </si>
  <si>
    <t xml:space="preserve">Round 1 month</t>
  </si>
  <si>
    <t xml:space="preserve">A-139</t>
  </si>
  <si>
    <t xml:space="preserve">Round 2 amount (Series A)</t>
  </si>
  <si>
    <t xml:space="preserve">A-140</t>
  </si>
  <si>
    <t xml:space="preserve">Round 2 month</t>
  </si>
  <si>
    <t xml:space="preserve">A-141</t>
  </si>
  <si>
    <t xml:space="preserve">Round 3 amount (Series B / extension)</t>
  </si>
  <si>
    <t xml:space="preserve">A-142</t>
  </si>
  <si>
    <t xml:space="preserve">Round 3 month</t>
  </si>
  <si>
    <t xml:space="preserve">A-143</t>
  </si>
  <si>
    <t xml:space="preserve">Minimum cash policy (months of net burn)</t>
  </si>
  <si>
    <t xml:space="preserve">Below this, the trigger register in the approval matrix fires.</t>
  </si>
  <si>
    <t xml:space="preserve">10. Incident scenario parameters (used only when the incident flag is on)</t>
  </si>
  <si>
    <t xml:space="preserve">A-144</t>
  </si>
  <si>
    <t xml:space="preserve">Incident month</t>
  </si>
  <si>
    <t xml:space="preserve">A-145</t>
  </si>
  <si>
    <t xml:space="preserve">Forensics and incident-response retainer</t>
  </si>
  <si>
    <t xml:space="preserve">A-146</t>
  </si>
  <si>
    <t xml:space="preserve">Legal and regulatory response</t>
  </si>
  <si>
    <t xml:space="preserve">Counsel decides notification duties.</t>
  </si>
  <si>
    <t xml:space="preserve">A-147</t>
  </si>
  <si>
    <t xml:space="preserve">People affected (notification population)</t>
  </si>
  <si>
    <t xml:space="preserve">A-148</t>
  </si>
  <si>
    <t xml:space="preserve">Notification, call-centre and monitoring cost per person</t>
  </si>
  <si>
    <t xml:space="preserve">A-149</t>
  </si>
  <si>
    <t xml:space="preserve">Other remediation and customer-support surge</t>
  </si>
  <si>
    <t xml:space="preserve">A-150</t>
  </si>
  <si>
    <t xml:space="preserve">Service credits, % of monthly Dept/Institution revenue, 3 months</t>
  </si>
  <si>
    <t xml:space="preserve">Contract-dependent.</t>
  </si>
  <si>
    <t xml:space="preserve">A-151</t>
  </si>
  <si>
    <t xml:space="preserve">Insurance retention (deductible)</t>
  </si>
  <si>
    <t xml:space="preserve">A-152</t>
  </si>
  <si>
    <t xml:space="preserve">Insurance recovery on direct costs above retention</t>
  </si>
  <si>
    <t xml:space="preserve">Coverage not assumed to apply; broker and counsel to confirm.</t>
  </si>
  <si>
    <t xml:space="preserve">A-153</t>
  </si>
  <si>
    <t xml:space="preserve">Months from last incident cost to recovery</t>
  </si>
  <si>
    <t xml:space="preserve">11. Seasonality (index by calendar month; each column must average 1.00)</t>
  </si>
  <si>
    <t xml:space="preserve">Month</t>
  </si>
  <si>
    <t xml:space="preserve">Student reg.</t>
  </si>
  <si>
    <t xml:space="preserve">Inst. signings</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</si>
  <si>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</si>
  <si>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</si>
  <si>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</si>
  <si>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</si>
  <si>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</si>
  <si>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</si>
  <si>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</si>
  <si>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</si>
  <si>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</si>
  <si>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</si>
  <si>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</si>
  <si>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</si>
  <si>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Sum (must be 12.00)</t>
  </si>
  <si>
    <t xml:space="preserve">12. Derived values (formulas; do not overwrite)</t>
  </si>
  <si>
    <t xml:space="preserve">Plus monthly net price after discount</t>
  </si>
  <si>
    <t xml:space="preserve">Plus annual net price after discount</t>
  </si>
  <si>
    <t xml:space="preserve">Monthly-plan churn, scenario-adjusted</t>
  </si>
  <si>
    <t xml:space="preserve">Annual renewal at 1st anniversary, scenario-adjusted</t>
  </si>
  <si>
    <t xml:space="preserve">Annual renewal at 2nd anniversary, scenario-adjusted</t>
  </si>
  <si>
    <t xml:space="preserve">Blended inference cost per AI task (list prices, after routing and caching)</t>
  </si>
  <si>
    <t xml:space="preserve">$/task</t>
  </si>
  <si>
    <t xml:space="preserve">Inference cost per task, scenario-adjusted</t>
  </si>
  <si>
    <t xml:space="preserve">Implementation cost per delivered hour</t>
  </si>
  <si>
    <t xml:space="preserve">Segment D: list ACV at land</t>
  </si>
  <si>
    <t xml:space="preserve">Segment D: ACV at land, scenario-adjusted</t>
  </si>
  <si>
    <t xml:space="preserve">Segment I: list ACV at land</t>
  </si>
  <si>
    <t xml:space="preserve">Segment I: ACV at land, scenario-adjusted</t>
  </si>
  <si>
    <t xml:space="preserve">Segment P: signing → go-live months, scenario-adjusted</t>
  </si>
  <si>
    <t xml:space="preserve">Segment D: signing → go-live months, scenario-adjusted</t>
  </si>
  <si>
    <t xml:space="preserve">Segment I: signing → go-live months, scenario-adjusted</t>
  </si>
  <si>
    <t xml:space="preserve">Segment D: annual churn, scenario-adjusted</t>
  </si>
  <si>
    <t xml:space="preserve">Segment D: expansion at 1st anniversary, scenario-adjusted</t>
  </si>
  <si>
    <t xml:space="preserve">Segment D: expansion at 2nd anniversary, scenario-adjusted</t>
  </si>
  <si>
    <t xml:space="preserve">Segment D: cohort ARR multiple after 1st anniversary</t>
  </si>
  <si>
    <t xml:space="preserve">Segment D: cohort ARR multiple after 2nd anniversary</t>
  </si>
  <si>
    <t xml:space="preserve">Segment I: annual churn, scenario-adjusted</t>
  </si>
  <si>
    <t xml:space="preserve">Segment I: expansion at 1st anniversary, scenario-adjusted</t>
  </si>
  <si>
    <t xml:space="preserve">Segment I: expansion at 2nd anniversary, scenario-adjusted</t>
  </si>
  <si>
    <t xml:space="preserve">Segment I: cohort ARR multiple after 1st anniversary</t>
  </si>
  <si>
    <t xml:space="preserve">Segment I: cohort ARR multiple after 2nd anniversary</t>
  </si>
  <si>
    <t xml:space="preserve">Segment E: annual churn, scenario-adjusted</t>
  </si>
  <si>
    <t xml:space="preserve">Segment E: expansion at 1st anniversary, scenario-adjusted</t>
  </si>
  <si>
    <t xml:space="preserve">Segment E: expansion at 2nd anniversary, scenario-adjusted</t>
  </si>
  <si>
    <t xml:space="preserve">Segment E: cohort ARR multiple after 1st anniversary</t>
  </si>
  <si>
    <t xml:space="preserve">Segment E: cohort ARR multiple after 2nd anniversary</t>
  </si>
  <si>
    <t xml:space="preserve">Incident direct costs (before insurance)</t>
  </si>
  <si>
    <t xml:space="preserve">Insurance recovery assumed</t>
  </si>
  <si>
    <t xml:space="preserve">13. Go / no-go gates (controlling document: GO-NO-GO-DECISION.md, 3 Oct 2026; used only where Scenario_Control S-19 = 1)</t>
  </si>
  <si>
    <t xml:space="preserve">A-160</t>
  </si>
  <si>
    <t xml:space="preserve">First month broad / paid individual acquisition may begin (Plus checkout for new subscribers, paid acquisition)</t>
  </si>
  <si>
    <t xml:space="preserve">Today NO-GO (INDIVIDUAL_PAID_ACQUISITION_ENABLED = false). Needs the invitation-only closeout and a separate broad-rollout decision.</t>
  </si>
  <si>
    <t xml:space="preserve">A-161</t>
  </si>
  <si>
    <t xml:space="preserve">Share of registrations and acquisition spend allowed before that gate (invitation-only, unpaid validation)</t>
  </si>
  <si>
    <t xml:space="preserve">Conditional GO covers invitation-only, unpaid validation cohorts only.</t>
  </si>
  <si>
    <t xml:space="preserve">A-162</t>
  </si>
  <si>
    <t xml:space="preserve">First month a PAID institutional pilot may be signed (it goes live two months later)</t>
  </si>
  <si>
    <t xml:space="preserve">Today NO-GO. Reconsidered only after a design-partner pilot has an approved activation record and a measured 26-week closeout.</t>
  </si>
  <si>
    <t xml:space="preserve">A-163</t>
  </si>
  <si>
    <t xml:space="preserve">First month direct Department annual sales may begin</t>
  </si>
  <si>
    <t xml:space="preserve">After the first pilot-to-annual conversions are evidenced.</t>
  </si>
  <si>
    <t xml:space="preserve">A-164</t>
  </si>
  <si>
    <t xml:space="preserve">First month direct Institution-segment sales may begin (broad enterprise sale)</t>
  </si>
  <si>
    <t xml:space="preserve">Last motion to reconsider: repeated deployments and independent assurance first.</t>
  </si>
  <si>
    <t xml:space="preserve">Revenue build, ARR, billings, deferred revenue and collections (monthly)</t>
  </si>
  <si>
    <t xml:space="preserve">Month #</t>
  </si>
  <si>
    <t xml:space="preserve">Month starting</t>
  </si>
  <si>
    <t xml:space="preserve">Model year (Nov–Oct)</t>
  </si>
  <si>
    <t xml:space="preserve">Calendar month</t>
  </si>
  <si>
    <t xml:space="preserve">36-mo total / end</t>
  </si>
  <si>
    <t xml:space="preserve">A. Student subscription funnel (direct-to-student)</t>
  </si>
  <si>
    <t xml:space="preserve">Registration seasonality index</t>
  </si>
  <si>
    <t xml:space="preserve">idx</t>
  </si>
  <si>
    <t xml:space="preserve">Paid student-acquisition spend (gated: invitation-only before A-160)</t>
  </si>
  <si>
    <t xml:space="preserve">Paid-attributed registrations</t>
  </si>
  <si>
    <t xml:space="preserve">Total new registrations (paid + organic)</t>
  </si>
  <si>
    <t xml:space="preserve">New paid subscribers (gated: none before A-160)</t>
  </si>
  <si>
    <t xml:space="preserve">  of which annual plan</t>
  </si>
  <si>
    <t xml:space="preserve">  of which monthly plan</t>
  </si>
  <si>
    <t xml:space="preserve">Free active users (direct), end of month</t>
  </si>
  <si>
    <t xml:space="preserve">Monthly-plan subscribers, end of month</t>
  </si>
  <si>
    <t xml:space="preserve">Annual plan: renewals at 1st anniversary</t>
  </si>
  <si>
    <t xml:space="preserve">Annual plan: renewals at 2nd anniversary</t>
  </si>
  <si>
    <t xml:space="preserve">Annual-plan subscribers, end of month</t>
  </si>
  <si>
    <t xml:space="preserve">Total paid subscribers</t>
  </si>
  <si>
    <t xml:space="preserve">Billings: monthly plans</t>
  </si>
  <si>
    <t xml:space="preserve">Billings: annual plans (new + renewals)</t>
  </si>
  <si>
    <t xml:space="preserve">Billings: premium AI add-on (student)</t>
  </si>
  <si>
    <t xml:space="preserve">Gross student billings</t>
  </si>
  <si>
    <t xml:space="preserve">Refunds and chargebacks</t>
  </si>
  <si>
    <t xml:space="preserve">Net student billings</t>
  </si>
  <si>
    <t xml:space="preserve">Revenue: monthly plans</t>
  </si>
  <si>
    <t xml:space="preserve">Revenue: annual plans (ratable)</t>
  </si>
  <si>
    <t xml:space="preserve">Revenue: premium AI add-on</t>
  </si>
  <si>
    <t xml:space="preserve">Deferred revenue: student annual plans</t>
  </si>
  <si>
    <t xml:space="preserve">Card transactions</t>
  </si>
  <si>
    <t xml:space="preserve">Payment and app-store fees on student billings</t>
  </si>
  <si>
    <t xml:space="preserve">Cash received: student billings (app-store share lags one month)</t>
  </si>
  <si>
    <t xml:space="preserve">Receivable: app-store proceeds in transit</t>
  </si>
  <si>
    <t xml:space="preserve">B. Institutional: signings, go-lives and ARR</t>
  </si>
  <si>
    <t xml:space="preserve">Signing seasonality index</t>
  </si>
  <si>
    <t xml:space="preserve">Pilot: base signings (before delay) (gated: none before A-162)</t>
  </si>
  <si>
    <t xml:space="preserve">Pilot: signings</t>
  </si>
  <si>
    <t xml:space="preserve">Pilot: cumulative signings</t>
  </si>
  <si>
    <t xml:space="preserve">Pilot: go-lives (signed pilot reaches production)</t>
  </si>
  <si>
    <t xml:space="preserve">Pilot: cumulative go-lives</t>
  </si>
  <si>
    <t xml:space="preserve">Pilot: deals in implementation window</t>
  </si>
  <si>
    <t xml:space="preserve">Department: base signings (before delay) (gated: none before A-163)</t>
  </si>
  <si>
    <t xml:space="preserve">Department: signings (after enterprise delay)</t>
  </si>
  <si>
    <t xml:space="preserve">Department: cumulative signings</t>
  </si>
  <si>
    <t xml:space="preserve">Department: go-lives (signed department reaches production)</t>
  </si>
  <si>
    <t xml:space="preserve">Department: cumulative go-lives</t>
  </si>
  <si>
    <t xml:space="preserve">Department: deals in implementation window</t>
  </si>
  <si>
    <t xml:space="preserve">Institution: base signings (before delay) (gated: none before A-164)</t>
  </si>
  <si>
    <t xml:space="preserve">Institution: signings (after enterprise delay)</t>
  </si>
  <si>
    <t xml:space="preserve">Institution: cumulative signings</t>
  </si>
  <si>
    <t xml:space="preserve">Institution: go-lives (signed institution reaches production)</t>
  </si>
  <si>
    <t xml:space="preserve">Institution: cumulative go-lives</t>
  </si>
  <si>
    <t xml:space="preserve">Institution: deals in implementation window</t>
  </si>
  <si>
    <t xml:space="preserve">B1. Pilots (26 weeks; fee is non-recurring and excluded from ARR)</t>
  </si>
  <si>
    <t xml:space="preserve">Pilots active</t>
  </si>
  <si>
    <t xml:space="preserve">Pilots converting to annual</t>
  </si>
  <si>
    <t xml:space="preserve">  converting to Department</t>
  </si>
  <si>
    <t xml:space="preserve">  converting to Institution</t>
  </si>
  <si>
    <t xml:space="preserve">Billings: pilot fees (invoiced at go-live)</t>
  </si>
  <si>
    <t xml:space="preserve">Revenue: pilot fees (ratable over 6 months)</t>
  </si>
  <si>
    <t xml:space="preserve">Deferred revenue: pilots</t>
  </si>
  <si>
    <t xml:space="preserve">B2. Department / program annual licenses (ARR cohorts; renewal at each anniversary)</t>
  </si>
  <si>
    <t xml:space="preserve">D: new logos live (direct go-lives + pilot conversions)</t>
  </si>
  <si>
    <t xml:space="preserve">D: new ARR landed</t>
  </si>
  <si>
    <t xml:space="preserve">D: churned ARR at 1st anniversary</t>
  </si>
  <si>
    <t xml:space="preserve">D: churned ARR at 2nd anniversary</t>
  </si>
  <si>
    <t xml:space="preserve">D: expansion ARR at 1st anniversary</t>
  </si>
  <si>
    <t xml:space="preserve">D: expansion ARR at 2nd anniversary</t>
  </si>
  <si>
    <t xml:space="preserve">D: ARR, end of month</t>
  </si>
  <si>
    <t xml:space="preserve">D: live logos, end of month</t>
  </si>
  <si>
    <t xml:space="preserve">D: billings (annual in advance)</t>
  </si>
  <si>
    <t xml:space="preserve">D: revenue (ARR ÷ 12)</t>
  </si>
  <si>
    <t xml:space="preserve">D: deferred revenue</t>
  </si>
  <si>
    <t xml:space="preserve">D: active students on platform</t>
  </si>
  <si>
    <t xml:space="preserve">D: signed-not-live ACV (backlog)</t>
  </si>
  <si>
    <t xml:space="preserve">B3. Institution-wide annual licenses (ARR cohorts; renewal at each anniversary)</t>
  </si>
  <si>
    <t xml:space="preserve">I: new logos live (direct go-lives + pilot conversions)</t>
  </si>
  <si>
    <t xml:space="preserve">I: new ARR landed</t>
  </si>
  <si>
    <t xml:space="preserve">I: churned ARR at 1st anniversary</t>
  </si>
  <si>
    <t xml:space="preserve">I: churned ARR at 2nd anniversary</t>
  </si>
  <si>
    <t xml:space="preserve">I: expansion ARR at 1st anniversary</t>
  </si>
  <si>
    <t xml:space="preserve">I: expansion ARR at 2nd anniversary</t>
  </si>
  <si>
    <t xml:space="preserve">I: ARR, end of month</t>
  </si>
  <si>
    <t xml:space="preserve">I: live logos, end of month</t>
  </si>
  <si>
    <t xml:space="preserve">I: billings (annual in advance)</t>
  </si>
  <si>
    <t xml:space="preserve">I: revenue (ARR ÷ 12)</t>
  </si>
  <si>
    <t xml:space="preserve">I: deferred revenue</t>
  </si>
  <si>
    <t xml:space="preserve">I: active students on platform</t>
  </si>
  <si>
    <t xml:space="preserve">I: signed-not-live ACV (backlog)</t>
  </si>
  <si>
    <t xml:space="preserve">C. Implementation services (billed 50% at signing, 50% at go-live; recognized over the implementation window)</t>
  </si>
  <si>
    <t xml:space="preserve">Pilot: implementation billings</t>
  </si>
  <si>
    <t xml:space="preserve">Pilot: implementation revenue</t>
  </si>
  <si>
    <t xml:space="preserve">Department: implementation billings</t>
  </si>
  <si>
    <t xml:space="preserve">Department: implementation revenue</t>
  </si>
  <si>
    <t xml:space="preserve">Institution: implementation billings</t>
  </si>
  <si>
    <t xml:space="preserve">Institution: implementation revenue</t>
  </si>
  <si>
    <t xml:space="preserve">Implementation billings, total</t>
  </si>
  <si>
    <t xml:space="preserve">Implementation revenue, total</t>
  </si>
  <si>
    <t xml:space="preserve">Deferred revenue / (unbilled contract asset): implementation</t>
  </si>
  <si>
    <t xml:space="preserve">D. Career/employer, alumni and AI usage (institution)</t>
  </si>
  <si>
    <t xml:space="preserve">Employers: new partners</t>
  </si>
  <si>
    <t xml:space="preserve">Employers: new ARR</t>
  </si>
  <si>
    <t xml:space="preserve">Employers: churned ARR (1st + 2nd anniversary)</t>
  </si>
  <si>
    <t xml:space="preserve">Employers: expansion ARR</t>
  </si>
  <si>
    <t xml:space="preserve">Employers: ARR, end of month</t>
  </si>
  <si>
    <t xml:space="preserve">Employers: live partners</t>
  </si>
  <si>
    <t xml:space="preserve">Employers: billings (annual in advance)</t>
  </si>
  <si>
    <t xml:space="preserve">Employers: revenue</t>
  </si>
  <si>
    <t xml:space="preserve">Employers: deferred revenue</t>
  </si>
  <si>
    <t xml:space="preserve">Alumni module revenue (Institution customers × attach × fee)</t>
  </si>
  <si>
    <t xml:space="preserve">Institutional active students (pilots + Dept + Institution)</t>
  </si>
  <si>
    <t xml:space="preserve">Institution AI credit revenue</t>
  </si>
  <si>
    <t xml:space="preserve">E. Marketplace</t>
  </si>
  <si>
    <t xml:space="preserve">Total active users (free + paid + institutional)</t>
  </si>
  <si>
    <t xml:space="preserve">Marketplace live (1 = yes)</t>
  </si>
  <si>
    <t xml:space="preserve">Marketplace orders</t>
  </si>
  <si>
    <t xml:space="preserve">Marketplace GMV</t>
  </si>
  <si>
    <t xml:space="preserve">Marketplace net revenue (take rate)</t>
  </si>
  <si>
    <t xml:space="preserve">F. Revenue by stream (the seven streams)</t>
  </si>
  <si>
    <t xml:space="preserve">2. Institutional platform (incl. pilot fees)</t>
  </si>
  <si>
    <t xml:space="preserve">4. AI usage (student add-on + institution credits)</t>
  </si>
  <si>
    <t xml:space="preserve">G. ARR (recurring only; excludes pilots, implementation, marketplace)</t>
  </si>
  <si>
    <t xml:space="preserve">Student subscription ARR</t>
  </si>
  <si>
    <t xml:space="preserve">Institutional ARR (Dept + Institution)</t>
  </si>
  <si>
    <t xml:space="preserve">AI usage ARR (run-rate)</t>
  </si>
  <si>
    <t xml:space="preserve">Career/employer ARR</t>
  </si>
  <si>
    <t xml:space="preserve">Alumni ARR (run-rate)</t>
  </si>
  <si>
    <t xml:space="preserve">Total ARR</t>
  </si>
  <si>
    <t xml:space="preserve">Contracted ARR (ARR + signed-not-live Dept/Institution ACV)</t>
  </si>
  <si>
    <t xml:space="preserve">H. Invoicing, collections and receivables (institutional and business customers)</t>
  </si>
  <si>
    <t xml:space="preserve">Invoiced: pilots, Dept/Institution, implementation, employers, alumni, AI credits</t>
  </si>
  <si>
    <t xml:space="preserve">Cash collected: institutional invoices</t>
  </si>
  <si>
    <t xml:space="preserve">Accounts receivable (net of allowance), end of month</t>
  </si>
  <si>
    <t xml:space="preserve">Bad-debt expense</t>
  </si>
  <si>
    <t xml:space="preserve">Total deferred revenue / contract liabilities (net)</t>
  </si>
  <si>
    <t xml:space="preserve">Cost model: cost of revenue and operating expenses (monthly)</t>
  </si>
  <si>
    <t xml:space="preserve">Drivers</t>
  </si>
  <si>
    <t xml:space="preserve">Free active users</t>
  </si>
  <si>
    <t xml:space="preserve">Paid subscribers</t>
  </si>
  <si>
    <t xml:space="preserve">Institutional active students</t>
  </si>
  <si>
    <t xml:space="preserve">AI tasks per month</t>
  </si>
  <si>
    <t xml:space="preserve">Support contacts per month</t>
  </si>
  <si>
    <t xml:space="preserve">Live institutions (pilots + Dept + Institution)</t>
  </si>
  <si>
    <t xml:space="preserve">Implied implementation FTE (hours ÷ productive hours)</t>
  </si>
  <si>
    <t xml:space="preserve">AI inference and AI platform</t>
  </si>
  <si>
    <t xml:space="preserve">Hosting and compute</t>
  </si>
  <si>
    <t xml:space="preserve">Storage and backup</t>
  </si>
  <si>
    <t xml:space="preserve">Bandwidth and CDN</t>
  </si>
  <si>
    <t xml:space="preserve">Search and vector store</t>
  </si>
  <si>
    <t xml:space="preserve">Notifications</t>
  </si>
  <si>
    <t xml:space="preserve">Integrations (connectors, certification, licensed feeds)</t>
  </si>
  <si>
    <t xml:space="preserve">Payment, app-store and billing fees</t>
  </si>
  <si>
    <t xml:space="preserve">Marketplace processing, disputes and moderation</t>
  </si>
  <si>
    <t xml:space="preserve">Support (contacts × cost + tooling)</t>
  </si>
  <si>
    <t xml:space="preserve">Implementation delivery</t>
  </si>
  <si>
    <t xml:space="preserve">Customer success, support and trust people</t>
  </si>
  <si>
    <t xml:space="preserve">Total cost of revenue</t>
  </si>
  <si>
    <t xml:space="preserve">Operating expenses</t>
  </si>
  <si>
    <t xml:space="preserve">R&amp;D people</t>
  </si>
  <si>
    <t xml:space="preserve">Sales and marketing people</t>
  </si>
  <si>
    <t xml:space="preserve">G&amp;A people</t>
  </si>
  <si>
    <t xml:space="preserve">Paid student acquisition</t>
  </si>
  <si>
    <t xml:space="preserve">Institutional demand generation, brand and content</t>
  </si>
  <si>
    <t xml:space="preserve">Sales commissions</t>
  </si>
  <si>
    <t xml:space="preserve">Sales tools and RFP support</t>
  </si>
  <si>
    <t xml:space="preserve">Cooperative-contract / channel admin fees</t>
  </si>
  <si>
    <t xml:space="preserve">Security, compliance and accessibility audits</t>
  </si>
  <si>
    <t xml:space="preserve">Legal (retainer, contracts) and financing costs</t>
  </si>
  <si>
    <t xml:space="preserve">Insurance</t>
  </si>
  <si>
    <t xml:space="preserve">Accounting, tax and audit</t>
  </si>
  <si>
    <t xml:space="preserve">Tools, workspace, T&amp;E, payroll admin, onboarding, recruiting, board</t>
  </si>
  <si>
    <t xml:space="preserve">Contingency reserve (CFO-controlled)</t>
  </si>
  <si>
    <t xml:space="preserve">Incident response and remediation (incident scenario)</t>
  </si>
  <si>
    <t xml:space="preserve">Total operating expenses</t>
  </si>
  <si>
    <t xml:space="preserve">Headcount plan and people cost (plan of record = full-scope build; flexible roles are the management lever)</t>
  </si>
  <si>
    <t xml:space="preserve">Qty</t>
  </si>
  <si>
    <t xml:space="preserve">Start month</t>
  </si>
  <si>
    <t xml:space="preserve">Flex (1=delayable)</t>
  </si>
  <si>
    <t xml:space="preserve">Recruiter fee (1=yes)</t>
  </si>
  <si>
    <t xml:space="preserve">Base salary $</t>
  </si>
  <si>
    <t xml:space="preserve">Function</t>
  </si>
  <si>
    <t xml:space="preserve">Segment</t>
  </si>
  <si>
    <t xml:space="preserve">Gate</t>
  </si>
  <si>
    <t xml:space="preserve">Effective start month</t>
  </si>
  <si>
    <t xml:space="preserve">CEO / founder</t>
  </si>
  <si>
    <t xml:space="preserve">-</t>
  </si>
  <si>
    <t xml:space="preserve">CTO / co-founder</t>
  </si>
  <si>
    <t xml:space="preserve">Staff platform engineer (identity, policy, audit)</t>
  </si>
  <si>
    <t xml:space="preserve">Product manager</t>
  </si>
  <si>
    <t xml:space="preserve">Backend and API engineers</t>
  </si>
  <si>
    <t xml:space="preserve">Frontend engineers</t>
  </si>
  <si>
    <t xml:space="preserve">Product designer</t>
  </si>
  <si>
    <t xml:space="preserve">Head of Marketing and Growth</t>
  </si>
  <si>
    <t xml:space="preserve">S&amp;M</t>
  </si>
  <si>
    <t xml:space="preserve">Shared</t>
  </si>
  <si>
    <t xml:space="preserve">G9</t>
  </si>
  <si>
    <t xml:space="preserve">Head of Sales / CRO</t>
  </si>
  <si>
    <t xml:space="preserve">Inst</t>
  </si>
  <si>
    <t xml:space="preserve">Data / AI platform engineer</t>
  </si>
  <si>
    <t xml:space="preserve">Mobile and offline engineers</t>
  </si>
  <si>
    <t xml:space="preserve">G1</t>
  </si>
  <si>
    <t xml:space="preserve">SRE / DevOps</t>
  </si>
  <si>
    <t xml:space="preserve">Account executive #1</t>
  </si>
  <si>
    <t xml:space="preserve">Security engineer</t>
  </si>
  <si>
    <t xml:space="preserve">Support and trust lead</t>
  </si>
  <si>
    <t xml:space="preserve">COGS</t>
  </si>
  <si>
    <t xml:space="preserve">Head of Finance and RevOps</t>
  </si>
  <si>
    <t xml:space="preserve">Solutions engineer #1</t>
  </si>
  <si>
    <t xml:space="preserve">G2</t>
  </si>
  <si>
    <t xml:space="preserve">Customer success manager #1</t>
  </si>
  <si>
    <t xml:space="preserve">Integration engineers</t>
  </si>
  <si>
    <t xml:space="preserve">Accessibility and design-systems lead</t>
  </si>
  <si>
    <t xml:space="preserve">Lifecycle and content marketer</t>
  </si>
  <si>
    <t xml:space="preserve">Student</t>
  </si>
  <si>
    <t xml:space="preserve">G7</t>
  </si>
  <si>
    <t xml:space="preserve">Privacy and compliance operations lead</t>
  </si>
  <si>
    <t xml:space="preserve">G3</t>
  </si>
  <si>
    <t xml:space="preserve">QA / SDET</t>
  </si>
  <si>
    <t xml:space="preserve">SDR #1</t>
  </si>
  <si>
    <t xml:space="preserve">G5</t>
  </si>
  <si>
    <t xml:space="preserve">Partnerships manager (employers, marketplace)</t>
  </si>
  <si>
    <t xml:space="preserve">Partner</t>
  </si>
  <si>
    <t xml:space="preserve">Backend / frontend engineer (wave 2)</t>
  </si>
  <si>
    <t xml:space="preserve">G4</t>
  </si>
  <si>
    <t xml:space="preserve">Account executive #2</t>
  </si>
  <si>
    <t xml:space="preserve">Learning scientist / academic integrity</t>
  </si>
  <si>
    <t xml:space="preserve">Community and ambassador manager</t>
  </si>
  <si>
    <t xml:space="preserve">Trust and safety analyst</t>
  </si>
  <si>
    <t xml:space="preserve">Security / GRC engineer</t>
  </si>
  <si>
    <t xml:space="preserve">Customer success manager #2</t>
  </si>
  <si>
    <t xml:space="preserve">G6</t>
  </si>
  <si>
    <t xml:space="preserve">AI / ML evaluation engineer</t>
  </si>
  <si>
    <t xml:space="preserve">Marketplace and employer sales</t>
  </si>
  <si>
    <t xml:space="preserve">Account executive #3</t>
  </si>
  <si>
    <t xml:space="preserve">People and recruiting operations</t>
  </si>
  <si>
    <t xml:space="preserve">G8</t>
  </si>
  <si>
    <t xml:space="preserve">Solutions engineer #2</t>
  </si>
  <si>
    <t xml:space="preserve">Data / analytics engineer</t>
  </si>
  <si>
    <t xml:space="preserve">Controller (full-time)</t>
  </si>
  <si>
    <t xml:space="preserve">Engineering manager</t>
  </si>
  <si>
    <t xml:space="preserve">Engineers (wave 3)</t>
  </si>
  <si>
    <t xml:space="preserve">Customer success manager #3</t>
  </si>
  <si>
    <t xml:space="preserve">Account executive #4</t>
  </si>
  <si>
    <t xml:space="preserve">G10</t>
  </si>
  <si>
    <t xml:space="preserve">SDR #2</t>
  </si>
  <si>
    <t xml:space="preserve">People cost by P&amp;L function (fully loaded)</t>
  </si>
  <si>
    <t xml:space="preserve">General and administrative</t>
  </si>
  <si>
    <t xml:space="preserve">Customer success and support (cost of revenue)</t>
  </si>
  <si>
    <t xml:space="preserve">Total people cost</t>
  </si>
  <si>
    <t xml:space="preserve">Sales and marketing people cost by segment (for CAC)</t>
  </si>
  <si>
    <t xml:space="preserve">S&amp;M: institutional sales team</t>
  </si>
  <si>
    <t xml:space="preserve">S&amp;M: student growth team</t>
  </si>
  <si>
    <t xml:space="preserve">S&amp;M: employer/marketplace partnerships</t>
  </si>
  <si>
    <t xml:space="preserve">S&amp;M: shared (marketing leadership)</t>
  </si>
  <si>
    <t xml:space="preserve">Headcount (end of month)</t>
  </si>
  <si>
    <t xml:space="preserve">Customer success and support</t>
  </si>
  <si>
    <t xml:space="preserve">Total headcount</t>
  </si>
  <si>
    <t xml:space="preserve">Hiring events</t>
  </si>
  <si>
    <t xml:space="preserve">New hires in month</t>
  </si>
  <si>
    <t xml:space="preserve">Recruiting fees (cash, month of hire)</t>
  </si>
  <si>
    <t xml:space="preserve">Income statement, cash flow and funding (monthly)</t>
  </si>
  <si>
    <t xml:space="preserve">Income statement</t>
  </si>
  <si>
    <t xml:space="preserve">Student subscription</t>
  </si>
  <si>
    <t xml:space="preserve">Institutional platform (incl. pilots)</t>
  </si>
  <si>
    <t xml:space="preserve">Implementation services</t>
  </si>
  <si>
    <t xml:space="preserve">AI usage</t>
  </si>
  <si>
    <t xml:space="preserve">Marketplace (net)</t>
  </si>
  <si>
    <t xml:space="preserve">Career / employer</t>
  </si>
  <si>
    <t xml:space="preserve">Alumni</t>
  </si>
  <si>
    <t xml:space="preserve">Gross margin %</t>
  </si>
  <si>
    <t xml:space="preserve">G&amp;A (incl. contingency, bad debt)</t>
  </si>
  <si>
    <t xml:space="preserve">Insurance recovery (incident scenario)</t>
  </si>
  <si>
    <t xml:space="preserve">EBITDA (operating result before D&amp;A, interest, tax; software costs expensed)</t>
  </si>
  <si>
    <t xml:space="preserve">Cash flow (direct method)</t>
  </si>
  <si>
    <t xml:space="preserve">Receipts: student billings</t>
  </si>
  <si>
    <t xml:space="preserve">Receipts: institutional and business invoices</t>
  </si>
  <si>
    <t xml:space="preserve">Receipts: marketplace net revenue</t>
  </si>
  <si>
    <t xml:space="preserve">Service credits paid</t>
  </si>
  <si>
    <t xml:space="preserve">Total receipts</t>
  </si>
  <si>
    <t xml:space="preserve">Payments: cost of revenue, operating expenses and incident costs (excl. non-cash bad debt)</t>
  </si>
  <si>
    <t xml:space="preserve">Operating cash flow (= net burn when negative)</t>
  </si>
  <si>
    <t xml:space="preserve">Equity financing (assumption)</t>
  </si>
  <si>
    <t xml:space="preserve">Net change in cash</t>
  </si>
  <si>
    <t xml:space="preserve">Cash, end of month</t>
  </si>
  <si>
    <t xml:space="preserve">Cumulative operating cash flow before financing</t>
  </si>
  <si>
    <t xml:space="preserve">Trailing 3-month average net burn (positive = burning)</t>
  </si>
  <si>
    <t xml:space="preserve">Runway (months of trailing burn covered by cash)</t>
  </si>
  <si>
    <t xml:space="preserve">Funding gap flag (cash below zero)</t>
  </si>
  <si>
    <t xml:space="preserve">Below minimum-cash policy flag</t>
  </si>
  <si>
    <t xml:space="preserve">Cross-check: indirect method</t>
  </si>
  <si>
    <t xml:space="preserve">EBITDA + change in deferred revenue − change in receivables</t>
  </si>
  <si>
    <t xml:space="preserve">Difference (must be zero)</t>
  </si>
  <si>
    <t xml:space="preserve">Operating metrics</t>
  </si>
  <si>
    <t xml:space="preserve">Contracted ARR</t>
  </si>
  <si>
    <t xml:space="preserve">Live institutions (Dept + Institution; excl. pilots)</t>
  </si>
  <si>
    <t xml:space="preserve">Budget governance and spending approval matrix (PROPOSED, not in force until the founder and board adopt it)</t>
  </si>
  <si>
    <t xml:space="preserve">docs/company/EXPENSE-APPROVAL-POLICY.md keeps thresholds blank on purpose. These figures are proposals sized for a seed-stage company and should be reviewed with the accountant and counsel.</t>
  </si>
  <si>
    <t xml:space="preserve">Decision</t>
  </si>
  <si>
    <t xml:space="preserve">Initiator</t>
  </si>
  <si>
    <t xml:space="preserve">Approver(s)</t>
  </si>
  <si>
    <t xml:space="preserve">Required reviews</t>
  </si>
  <si>
    <t xml:space="preserve">Threshold / trigger</t>
  </si>
  <si>
    <t xml:space="preserve">Record kept</t>
  </si>
  <si>
    <t xml:space="preserve">Budgeted spend, small</t>
  </si>
  <si>
    <t xml:space="preserve">Budget owner</t>
  </si>
  <si>
    <t xml:space="preserve">None unless it touches data or access (then security/privacy)</t>
  </si>
  <si>
    <t xml:space="preserve">Up to $2,500 per item; no splitting</t>
  </si>
  <si>
    <t xml:space="preserve">Card/expense record with receipt and budget line</t>
  </si>
  <si>
    <t xml:space="preserve">Budgeted spend, medium</t>
  </si>
  <si>
    <t xml:space="preserve">Budget owner + Finance lead</t>
  </si>
  <si>
    <t xml:space="preserve">Security/privacy review if vendor touches student, institutional or payment data</t>
  </si>
  <si>
    <t xml:space="preserve">$2,500 to $15,000</t>
  </si>
  <si>
    <t xml:space="preserve">PO or approved invoice in the AP system</t>
  </si>
  <si>
    <t xml:space="preserve">Budgeted spend, large</t>
  </si>
  <si>
    <t xml:space="preserve">CEO + CFO/Finance lead</t>
  </si>
  <si>
    <t xml:space="preserve">Vendor risk assessment; counsel for non-standard terms</t>
  </si>
  <si>
    <t xml:space="preserve">$15,000 to $75,000</t>
  </si>
  <si>
    <t xml:space="preserve">Signed approval, vendor register entry, contract on file</t>
  </si>
  <si>
    <t xml:space="preserve">Major commitment</t>
  </si>
  <si>
    <t xml:space="preserve">CEO</t>
  </si>
  <si>
    <t xml:space="preserve">CEO + CFO + Board (written consent)</t>
  </si>
  <si>
    <t xml:space="preserve">Counsel; security; insurance broker where relevant</t>
  </si>
  <si>
    <t xml:space="preserve">Above $75,000, or any commitment over 12 months with total above $50,000, or above 3% of cash</t>
  </si>
  <si>
    <t xml:space="preserve">Board consent and contract register entry</t>
  </si>
  <si>
    <t xml:space="preserve">Unbudgeted spend or reallocation</t>
  </si>
  <si>
    <t xml:space="preserve">Within one function and up to 5% of its budget: Finance. Across functions or above 5%: CEO + CFO. Above 10% of annual opex: Board</t>
  </si>
  <si>
    <t xml:space="preserve">CFO checks runway impact</t>
  </si>
  <si>
    <t xml:space="preserve">Any amount not in the approved budget</t>
  </si>
  <si>
    <t xml:space="preserve">Reforecast entry with reason</t>
  </si>
  <si>
    <t xml:space="preserve">Hire inside approved plan</t>
  </si>
  <si>
    <t xml:space="preserve">Hiring manager</t>
  </si>
  <si>
    <t xml:space="preserve">CEO; Finance confirms the budget line</t>
  </si>
  <si>
    <t xml:space="preserve">Compensation band check; recruiter fee approved separately</t>
  </si>
  <si>
    <t xml:space="preserve">Role and start month in the headcount plan</t>
  </si>
  <si>
    <t xml:space="preserve">Offer approval record</t>
  </si>
  <si>
    <t xml:space="preserve">Hire outside plan or release of a flexible role</t>
  </si>
  <si>
    <t xml:space="preserve">CEO + CFO; Board if it adds more than $250,000 of annual cost</t>
  </si>
  <si>
    <t xml:space="preserve">Gate evidence for flexible roles (see gating milestones)</t>
  </si>
  <si>
    <t xml:space="preserve">Any role not in the plan, or a flexible role before its gate is met</t>
  </si>
  <si>
    <t xml:space="preserve">Gate checklist signed by CEO and CFO</t>
  </si>
  <si>
    <t xml:space="preserve">Compensation and equity grants</t>
  </si>
  <si>
    <t xml:space="preserve">Board</t>
  </si>
  <si>
    <t xml:space="preserve">Counsel; independent valuation where required</t>
  </si>
  <si>
    <t xml:space="preserve">Every grant</t>
  </si>
  <si>
    <t xml:space="preserve">Board minutes; cap table update</t>
  </si>
  <si>
    <t xml:space="preserve">Contractors and statements of work</t>
  </si>
  <si>
    <t xml:space="preserve">CFO + Legal</t>
  </si>
  <si>
    <t xml:space="preserve">Worker-classification review; IP assignment</t>
  </si>
  <si>
    <t xml:space="preserve">SOW above $25,000 or longer than 6 months</t>
  </si>
  <si>
    <t xml:space="preserve">SOW, W-9, IP assignment on file</t>
  </si>
  <si>
    <t xml:space="preserve">Vendor contracts and renewals</t>
  </si>
  <si>
    <t xml:space="preserve">Per spend tiers above</t>
  </si>
  <si>
    <t xml:space="preserve">Security and privacy for data vendors; counsel for auto-renewal, liability and data terms</t>
  </si>
  <si>
    <t xml:space="preserve">Any auto-renewing or multi-year term</t>
  </si>
  <si>
    <t xml:space="preserve">Vendor register with renewal date</t>
  </si>
  <si>
    <t xml:space="preserve">List price, package and entitlement changes</t>
  </si>
  <si>
    <t xml:space="preserve">CEO / Product</t>
  </si>
  <si>
    <t xml:space="preserve">CEO + CFO</t>
  </si>
  <si>
    <t xml:space="preserve">Counsel for consumer terms, renewals and cancellation; tax adviser where it changes taxability</t>
  </si>
  <si>
    <t xml:space="preserve">Any change to the price book or free-tier limits</t>
  </si>
  <si>
    <t xml:space="preserve">Dated pricing decision; billing config and public page reconciled</t>
  </si>
  <si>
    <t xml:space="preserve">Discounts and free pilots</t>
  </si>
  <si>
    <t xml:space="preserve">Account executive</t>
  </si>
  <si>
    <t xml:space="preserve">Up to 10%: AE. Up to 20%: Head of Sales (above the margin floor). Up to 30%: CEO + CFO. Above 30%, below the margin floor, or multi-year price lock: CEO + CFO + Board</t>
  </si>
  <si>
    <t xml:space="preserve">Margin floor check by Finance</t>
  </si>
  <si>
    <t xml:space="preserve">Discount off the approved price book</t>
  </si>
  <si>
    <t xml:space="preserve">Quote with approval trail in the CRM</t>
  </si>
  <si>
    <t xml:space="preserve">Non-standard contract terms</t>
  </si>
  <si>
    <t xml:space="preserve">Counsel + CFO + CEO (+ security lead where data or uptime is involved)</t>
  </si>
  <si>
    <t xml:space="preserve">Revenue-recognition note from the accountant when terms change payment, refund or acceptance</t>
  </si>
  <si>
    <t xml:space="preserve">Termination for convenience, non-appropriation, uncapped or super-cap liability, most-favored pricing, source-code escrow, SLA above 99.9%, data residency, payment terms beyond net 60, acceptance clauses</t>
  </si>
  <si>
    <t xml:space="preserve">Deviation log attached to the contract</t>
  </si>
  <si>
    <t xml:space="preserve">Customer refunds and credits, individual students</t>
  </si>
  <si>
    <t xml:space="preserve">Support agent</t>
  </si>
  <si>
    <t xml:space="preserve">Agent up to $25; support lead up to $100; Finance up to $1,000; CFO above</t>
  </si>
  <si>
    <t xml:space="preserve">App-store refunds follow the store's rules</t>
  </si>
  <si>
    <t xml:space="preserve">Per case</t>
  </si>
  <si>
    <t xml:space="preserve">Refund register</t>
  </si>
  <si>
    <t xml:space="preserve">Customer credits and refunds, institutions</t>
  </si>
  <si>
    <t xml:space="preserve">Customer success</t>
  </si>
  <si>
    <t xml:space="preserve">CFO up to $10,000; CEO + CFO above</t>
  </si>
  <si>
    <t xml:space="preserve">Counsel if the contract's termination or SLA terms are in play</t>
  </si>
  <si>
    <t xml:space="preserve">Per case; SLA credits calculated by Finance</t>
  </si>
  <si>
    <t xml:space="preserve">Credit memo and contract reference</t>
  </si>
  <si>
    <t xml:space="preserve">Bad-debt write-offs</t>
  </si>
  <si>
    <t xml:space="preserve">Finance</t>
  </si>
  <si>
    <t xml:space="preserve">CFO up to $5,000; CEO + CFO above; Board informed above $25,000</t>
  </si>
  <si>
    <t xml:space="preserve">Collections history; customer status</t>
  </si>
  <si>
    <t xml:space="preserve">Receivable over 120 days or customer insolvency</t>
  </si>
  <si>
    <t xml:space="preserve">Write-off memo</t>
  </si>
  <si>
    <t xml:space="preserve">Payment release</t>
  </si>
  <si>
    <t xml:space="preserve">AP preparer</t>
  </si>
  <si>
    <t xml:space="preserve">Preparer is not the approver or the releaser. Wires above $25,000 need CEO + CFO</t>
  </si>
  <si>
    <t xml:space="preserve">Out-of-band callback for any new payee or bank-detail change</t>
  </si>
  <si>
    <t xml:space="preserve">Every payment above $5,000; every payee change</t>
  </si>
  <si>
    <t xml:space="preserve">Bank and AP audit trail</t>
  </si>
  <si>
    <t xml:space="preserve">AI cost controls</t>
  </si>
  <si>
    <t xml:space="preserve">CTO</t>
  </si>
  <si>
    <t xml:space="preserve">CTO + CFO; add CISO and counsel for a new provider</t>
  </si>
  <si>
    <t xml:space="preserve">Model-eval results; data-processing terms</t>
  </si>
  <si>
    <t xml:space="preserve">Provider or routing change that moves AI cost per active user by more than 10%, or any new AI vendor</t>
  </si>
  <si>
    <t xml:space="preserve">AI system inventory and cost register</t>
  </si>
  <si>
    <t xml:space="preserve">Per-tenant AI budget changes</t>
  </si>
  <si>
    <t xml:space="preserve">CFO</t>
  </si>
  <si>
    <t xml:space="preserve">Margin check</t>
  </si>
  <si>
    <t xml:space="preserve">Any institution above its monthly AI cap or requesting a higher cap</t>
  </si>
  <si>
    <t xml:space="preserve">Tenant entitlement record</t>
  </si>
  <si>
    <t xml:space="preserve">Marketplace take rate, payout rules and launch gate</t>
  </si>
  <si>
    <t xml:space="preserve">Partnerships</t>
  </si>
  <si>
    <t xml:space="preserve">CEO + CFO + Legal; launch also needs tax adviser sign-off</t>
  </si>
  <si>
    <t xml:space="preserve">Consumer-protection, tax, refund and dispute operations review</t>
  </si>
  <si>
    <t xml:space="preserve">Any change to take rate or payout terms; launch of a new category</t>
  </si>
  <si>
    <t xml:space="preserve">Gate record and counsel memo</t>
  </si>
  <si>
    <t xml:space="preserve">Public claims about price, savings or ROI</t>
  </si>
  <si>
    <t xml:space="preserve">Marketing / Sales</t>
  </si>
  <si>
    <t xml:space="preserve">CEO + Legal</t>
  </si>
  <si>
    <t xml:space="preserve">Evidence in the public claims register</t>
  </si>
  <si>
    <t xml:space="preserve">Every new claim</t>
  </si>
  <si>
    <t xml:space="preserve">Claims register entry</t>
  </si>
  <si>
    <t xml:space="preserve">Equity, debt, SAFE or convertible financing</t>
  </si>
  <si>
    <t xml:space="preserve">Counsel</t>
  </si>
  <si>
    <t xml:space="preserve">Every instrument</t>
  </si>
  <si>
    <t xml:space="preserve">Board minutes; signed documents</t>
  </si>
  <si>
    <t xml:space="preserve">Insurance changes</t>
  </si>
  <si>
    <t xml:space="preserve">Broker</t>
  </si>
  <si>
    <t xml:space="preserve">Any new policy, limit change or cancellation</t>
  </si>
  <si>
    <t xml:space="preserve">Policy file; certificate log</t>
  </si>
  <si>
    <t xml:space="preserve">Revenue-recognition policy, tax elections and filings</t>
  </si>
  <si>
    <t xml:space="preserve">CFO, on the written advice of the qualified accountant or tax adviser</t>
  </si>
  <si>
    <t xml:space="preserve">Accountant or tax adviser</t>
  </si>
  <si>
    <t xml:space="preserve">Every policy, election and filing</t>
  </si>
  <si>
    <t xml:space="preserve">Memo and filing receipt</t>
  </si>
  <si>
    <t xml:space="preserve">Incident emergency spend</t>
  </si>
  <si>
    <t xml:space="preserve">Incident commander</t>
  </si>
  <si>
    <t xml:space="preserve">Incident commander up to $50,000 (CEO and CFO told within 24 hours); CEO + CFO above</t>
  </si>
  <si>
    <t xml:space="preserve">Counsel directs forensics where privilege matters</t>
  </si>
  <si>
    <t xml:space="preserve">Per incident</t>
  </si>
  <si>
    <t xml:space="preserve">Incident record with cost log</t>
  </si>
  <si>
    <t xml:space="preserve">Budget reforecast</t>
  </si>
  <si>
    <t xml:space="preserve">CFO monthly; Board when full-year opex moves more than 10%</t>
  </si>
  <si>
    <t xml:space="preserve">None</t>
  </si>
  <si>
    <t xml:space="preserve">Monthly close</t>
  </si>
  <si>
    <t xml:space="preserve">Versioned forecast</t>
  </si>
  <si>
    <t xml:space="preserve">Cash and performance triggers</t>
  </si>
  <si>
    <t xml:space="preserve">Trigger</t>
  </si>
  <si>
    <t xml:space="preserve">Threshold</t>
  </si>
  <si>
    <t xml:space="preserve">Action</t>
  </si>
  <si>
    <t xml:space="preserve">Authority</t>
  </si>
  <si>
    <t xml:space="preserve">Runway below 12 months at normalized burn</t>
  </si>
  <si>
    <t xml:space="preserve">Cash ÷ trailing 3-month burn &lt; 12</t>
  </si>
  <si>
    <t xml:space="preserve">Start financing preparation; board told at the next meeting</t>
  </si>
  <si>
    <t xml:space="preserve">Runway below 9 months</t>
  </si>
  <si>
    <t xml:space="preserve">&lt; 9</t>
  </si>
  <si>
    <t xml:space="preserve">Freeze unplanned hires and discretionary spend; close all flexible-role gates</t>
  </si>
  <si>
    <t xml:space="preserve">CEO + CFO; Board informed</t>
  </si>
  <si>
    <t xml:space="preserve">Runway below 6 months (minimum-cash policy)</t>
  </si>
  <si>
    <t xml:space="preserve">&lt; 6</t>
  </si>
  <si>
    <t xml:space="preserve">CFO delivers a cost-reduction plan to the board within 10 business days; vendor and scope cuts</t>
  </si>
  <si>
    <t xml:space="preserve">Runway below 3 months</t>
  </si>
  <si>
    <t xml:space="preserve">&lt; 3</t>
  </si>
  <si>
    <t xml:space="preserve">Activate the continuity plan; board decides among bridge, sale, or orderly wind-down</t>
  </si>
  <si>
    <t xml:space="preserve">Monthly spend variance</t>
  </si>
  <si>
    <t xml:space="preserve">More than 10% or $25,000 over budget on a line</t>
  </si>
  <si>
    <t xml:space="preserve">Written explanation within 5 business days; reforecast</t>
  </si>
  <si>
    <t xml:space="preserve">Budget owner + CFO</t>
  </si>
  <si>
    <t xml:space="preserve">AI cost per active user</t>
  </si>
  <si>
    <t xml:space="preserve">More than 125% of plan for 2 consecutive months</t>
  </si>
  <si>
    <t xml:space="preserve">Routing and caching review; consider tenant caps</t>
  </si>
  <si>
    <t xml:space="preserve">CTO + CFO</t>
  </si>
  <si>
    <t xml:space="preserve">Student paid-acquisition payback</t>
  </si>
  <si>
    <t xml:space="preserve">CAC payback above 12 months (loaded) for 2 consecutive quarters</t>
  </si>
  <si>
    <t xml:space="preserve">Pause paid student acquisition spend until fixed</t>
  </si>
  <si>
    <t xml:space="preserve">Subscription gross margin</t>
  </si>
  <si>
    <t xml:space="preserve">More than 5 points below the plan of record for 2 consecutive months (and below 70% once the plan reaches it)</t>
  </si>
  <si>
    <t xml:space="preserve">Pricing and cost review; no new discounts</t>
  </si>
  <si>
    <t xml:space="preserve">Below 20% on any project, or portfolio below 30%</t>
  </si>
  <si>
    <t xml:space="preserve">Re-scope, change order, or stop-work review</t>
  </si>
  <si>
    <t xml:space="preserve">COO/CS lead + CFO</t>
  </si>
  <si>
    <t xml:space="preserve">Collections</t>
  </si>
  <si>
    <t xml:space="preserve">DSO above 75 days, or any receivable older than 90 days</t>
  </si>
  <si>
    <t xml:space="preserve">Escalate to executive sponsor; hold new work if contract allows</t>
  </si>
  <si>
    <t xml:space="preserve">CFO + CS lead</t>
  </si>
  <si>
    <t xml:space="preserve">Revenue leakage</t>
  </si>
  <si>
    <t xml:space="preserve">Any active entitlement without a paid order, or usage above contract cap</t>
  </si>
  <si>
    <t xml:space="preserve">Reconcile within 5 business days; correct entitlement or bill</t>
  </si>
  <si>
    <t xml:space="preserve">Finance + RevOps</t>
  </si>
  <si>
    <t xml:space="preserve">Gating milestones for flexible hires (the gated plan)</t>
  </si>
  <si>
    <t xml:space="preserve">Roles released</t>
  </si>
  <si>
    <t xml:space="preserve">Release authority</t>
  </si>
  <si>
    <t xml:space="preserve">Mobile and offline engineers; accessibility lead; QA</t>
  </si>
  <si>
    <t xml:space="preserve">At least 1 signed design-partner agreement and the web core passing the critical-journey tests</t>
  </si>
  <si>
    <t xml:space="preserve">CEO + CTO</t>
  </si>
  <si>
    <t xml:space="preserve">Integration engineers; solutions engineer #1</t>
  </si>
  <si>
    <t xml:space="preserve">At least 2 pilots live and one named SIS/LMS integration scoped with a customer</t>
  </si>
  <si>
    <t xml:space="preserve">CEO + CRO</t>
  </si>
  <si>
    <t xml:space="preserve">Privacy and compliance lead; security/GRC engineer</t>
  </si>
  <si>
    <t xml:space="preserve">First institutional contract in legal review that requires a DPA or security questionnaire</t>
  </si>
  <si>
    <t xml:space="preserve">Wave 2 engineers; learning scientist</t>
  </si>
  <si>
    <t xml:space="preserve">Seed-round close plus 3 pilots with measured activation</t>
  </si>
  <si>
    <t xml:space="preserve">CEO + CTO + CFO</t>
  </si>
  <si>
    <t xml:space="preserve">AEs #2 to #4; SDRs; second solutions engineer</t>
  </si>
  <si>
    <t xml:space="preserve">Pipeline coverage of at least 3x next-two-quarter new-ACV plan, and the first AE ramped to quota</t>
  </si>
  <si>
    <t xml:space="preserve">CRO + CFO</t>
  </si>
  <si>
    <t xml:space="preserve">Customer success managers #2 and #3</t>
  </si>
  <si>
    <t xml:space="preserve">ARR per CSM above $1.0M or implementation backlog above 4 projects per implementer</t>
  </si>
  <si>
    <t xml:space="preserve">Marketplace and employer sales; community manager</t>
  </si>
  <si>
    <t xml:space="preserve">Launch gates for those products signed off by counsel and the tax adviser</t>
  </si>
  <si>
    <t xml:space="preserve">Engineering manager; wave 3 engineers; controller</t>
  </si>
  <si>
    <t xml:space="preserve">Series A closed</t>
  </si>
  <si>
    <t xml:space="preserve">Hiring gates: release schedule and cash effect</t>
  </si>
  <si>
    <t xml:space="preserve">Every flexible role belongs to one gate. Columns F to J are live for the active scenario; columns K to N are pasted values comparing scenario 8 (go/no-go gates, hiring unchanged) with scenario 9 (the same, flexible hires released nine months late). A gate month is a model assumption, not a prediction of when the evidence will exist.</t>
  </si>
  <si>
    <t xml:space="preserve">Name</t>
  </si>
  <si>
    <t xml:space="preserve">Evidence required before release</t>
  </si>
  <si>
    <t xml:space="preserve">Base release month (earliest)</t>
  </si>
  <si>
    <t xml:space="preserve">Release month, active scenario (earliest)</t>
  </si>
  <si>
    <t xml:space="preserve">Annual run-rate people cost (year-1 pay, loaded)</t>
  </si>
  <si>
    <t xml:space="preserve">36-month people cost, active scenario</t>
  </si>
  <si>
    <t xml:space="preserve">Linked go/no-go item</t>
  </si>
  <si>
    <t xml:space="preserve">36-month cost, scenario 8 (pasted)</t>
  </si>
  <si>
    <t xml:space="preserve">36-month cost, scenario 9 (pasted)</t>
  </si>
  <si>
    <t xml:space="preserve">Cash saved by gating (pasted)</t>
  </si>
  <si>
    <t xml:space="preserve">Platform maturity and accessibility</t>
  </si>
  <si>
    <t xml:space="preserve">Mobile and offline engineers; Accessibility and design-systems lead; QA / SDET</t>
  </si>
  <si>
    <t xml:space="preserve">Authorized candidate frozen and the hosted release matrix green; web core passes the critical-journey tests.</t>
  </si>
  <si>
    <t xml:space="preserve">Go/no-go priorities 1 and 3</t>
  </si>
  <si>
    <t xml:space="preserve">Integration capacity</t>
  </si>
  <si>
    <t xml:space="preserve">Integration engineers; Solutions engineer #1</t>
  </si>
  <si>
    <t xml:space="preserve">A design partner has approved a connector scope in non-activation discovery; the connector framework passes sandbox tests.</t>
  </si>
  <si>
    <t xml:space="preserve">Go/no-go priority 8</t>
  </si>
  <si>
    <t xml:space="preserve">Trust and compliance operations</t>
  </si>
  <si>
    <t xml:space="preserve">Privacy and compliance operations lead; Security / GRC engineer</t>
  </si>
  <si>
    <t xml:space="preserve">Counsel engaged; independent security assessment and qualified accessibility review scheduled.</t>
  </si>
  <si>
    <t xml:space="preserve">Go/no-go priorities 2 to 4</t>
  </si>
  <si>
    <t xml:space="preserve">Product depth and measurement</t>
  </si>
  <si>
    <t xml:space="preserve">Backend / frontend engineer (wave 2); Learning scientist / academic integrity; AI / ML evaluation engineer; Data / analytics engineer</t>
  </si>
  <si>
    <t xml:space="preserve">Seed closed, and the invitation-only validation closeout meets its agreed continue criteria (activation, return rate, task success).</t>
  </si>
  <si>
    <t xml:space="preserve">A-160 evidence</t>
  </si>
  <si>
    <t xml:space="preserve">Sales capacity for paid pilots</t>
  </si>
  <si>
    <t xml:space="preserve">Account executive #2; Account executive #3; SDR #1; Solutions engineer #2</t>
  </si>
  <si>
    <t xml:space="preserve">First paid institutional pilot signed (A-162) and pipeline coverage of at least 3x the next two quarters of new-ACV plan.</t>
  </si>
  <si>
    <t xml:space="preserve">Customer-success capacity</t>
  </si>
  <si>
    <t xml:space="preserve">Customer success manager #2; Customer success manager #3</t>
  </si>
  <si>
    <t xml:space="preserve">At least two institutions live and ARR per CSM above $1.0M, or implementation backlog above 4 projects per implementer.</t>
  </si>
  <si>
    <t xml:space="preserve">A-162 and A-163</t>
  </si>
  <si>
    <t xml:space="preserve">Community, marketplace and employer</t>
  </si>
  <si>
    <t xml:space="preserve">Lifecycle and content marketer; Community and ambassador manager; Partnerships manager (employers, marketplace); Marketplace and employer sales; Trust and safety analyst</t>
  </si>
  <si>
    <t xml:space="preserve">Launch gates for those products signed off by counsel and the tax adviser, and the broad-rollout decision for student-facing growth.</t>
  </si>
  <si>
    <t xml:space="preserve">Scale organization</t>
  </si>
  <si>
    <t xml:space="preserve">Engineering manager; Engineers (wave 3); Controller (full-time); People and recruiting operations</t>
  </si>
  <si>
    <t xml:space="preserve">Series A closed.</t>
  </si>
  <si>
    <t xml:space="preserve">Seed-stage platform and finance</t>
  </si>
  <si>
    <t xml:space="preserve">Head of Marketing and Growth; Head of Finance and RevOps; Data / AI platform engineer; SRE / DevOps; Security engineer</t>
  </si>
  <si>
    <t xml:space="preserve">Seed closed and a design-partner discovery programme under way (the only motion authorized today).</t>
  </si>
  <si>
    <t xml:space="preserve">Enterprise sales</t>
  </si>
  <si>
    <t xml:space="preserve">Account executive #4; SDR #2</t>
  </si>
  <si>
    <t xml:space="preserve">Broad-enterprise sale decision taken after repeated customer deployments.</t>
  </si>
  <si>
    <t xml:space="preserve">CEO + CRO + Board</t>
  </si>
  <si>
    <t xml:space="preserve">Flexible roles</t>
  </si>
  <si>
    <t xml:space="preserve">Core roles (no gate)</t>
  </si>
  <si>
    <t xml:space="preserve">Total people cost, Headcount sheet</t>
  </si>
  <si>
    <t xml:space="preserve">Reconciliation: gates + core = Headcount total (must be PASS)</t>
  </si>
  <si>
    <t xml:space="preserve">Reading the pasted columns: the cash saved by gating is the 36-month people cost avoided by releasing each gate's roles nine months later; a role released after month 36 costs nothing inside the horizon. Delaying one gate by one month saves about its run-rate cost divided by 12.</t>
  </si>
  <si>
    <t xml:space="preserve">Model integrity checks</t>
  </si>
  <si>
    <t xml:space="preserve">Check</t>
  </si>
  <si>
    <t xml:space="preserve">Value</t>
  </si>
  <si>
    <t xml:space="preserve">Result</t>
  </si>
  <si>
    <t xml:space="preserve">What it proves</t>
  </si>
  <si>
    <t xml:space="preserve">Scenario selector is 1–9</t>
  </si>
  <si>
    <t xml:space="preserve">A valid scenario drives the model</t>
  </si>
  <si>
    <t xml:space="preserve">Cash flow: direct method equals indirect method (max abs difference, $)</t>
  </si>
  <si>
    <t xml:space="preserve">Revenue, deferred revenue, receivables and cost lines reconcile to cash</t>
  </si>
  <si>
    <t xml:space="preserve">Deferred revenue, student annual plans never negative (min $)</t>
  </si>
  <si>
    <t xml:space="preserve">Annual plans are billed before they are recognized</t>
  </si>
  <si>
    <t xml:space="preserve">Deferred revenue, pilots never negative (min $)</t>
  </si>
  <si>
    <t xml:space="preserve">Pilot fees are billed before recognition</t>
  </si>
  <si>
    <t xml:space="preserve">Deferred revenue, Department never negative (min $)</t>
  </si>
  <si>
    <t xml:space="preserve">Annual licences are billed in advance</t>
  </si>
  <si>
    <t xml:space="preserve">Deferred revenue, Institution never negative (min $)</t>
  </si>
  <si>
    <t xml:space="preserve">Deferred revenue, employers never negative (min $)</t>
  </si>
  <si>
    <t xml:space="preserve">Employer fees are billed in advance</t>
  </si>
  <si>
    <t xml:space="preserve">Receivables never negative (min $)</t>
  </si>
  <si>
    <t xml:space="preserve">Collections never exceed invoicing</t>
  </si>
  <si>
    <t xml:space="preserve">Live logos never negative (min)</t>
  </si>
  <si>
    <t xml:space="preserve">Churn never exceeds customers</t>
  </si>
  <si>
    <t xml:space="preserve">Subscribers never negative (min)</t>
  </si>
  <si>
    <t xml:space="preserve">Churn never exceeds subscribers</t>
  </si>
  <si>
    <t xml:space="preserve">Summary revenue equals sum of monthly revenue ($ difference)</t>
  </si>
  <si>
    <t xml:space="preserve">Annual roll-up ties to the monthly build</t>
  </si>
  <si>
    <t xml:space="preserve">Revenue streams sum to total revenue ($ difference)</t>
  </si>
  <si>
    <t xml:space="preserve">Stream build ties to the income statement</t>
  </si>
  <si>
    <t xml:space="preserve">Collection profile sums to 100%</t>
  </si>
  <si>
    <t xml:space="preserve">All invoices are collected or written off</t>
  </si>
  <si>
    <t xml:space="preserve">Student seasonality sums to 12</t>
  </si>
  <si>
    <t xml:space="preserve">Seasonality redistributes volume, never creates it</t>
  </si>
  <si>
    <t xml:space="preserve">Institutional seasonality sums to 12</t>
  </si>
  <si>
    <t xml:space="preserve">AI routing mix sums to 100%</t>
  </si>
  <si>
    <t xml:space="preserve">Every AI task is priced</t>
  </si>
  <si>
    <t xml:space="preserve">Pilot split and plan mix are between 0% and 100%</t>
  </si>
  <si>
    <t xml:space="preserve">Shares are valid</t>
  </si>
  <si>
    <t xml:space="preserve">Planned hire start months are valid (latest base start month; must be 1–36)</t>
  </si>
  <si>
    <t xml:space="preserve">Delayed hires may fall past month 36 in a scenario; their cost then sits outside the horizon</t>
  </si>
  <si>
    <t xml:space="preserve">Scenario snapshot row matches live model (Y3 revenue difference, $)</t>
  </si>
  <si>
    <t xml:space="preserve">Snapshot is current for the active scenario</t>
  </si>
  <si>
    <t xml:space="preserve">WARNING: cash stays above zero with assumed financing (lowest month-end cash, $)</t>
  </si>
  <si>
    <t xml:space="preserve">A fail means the plan is not funded under the assumed rounds (a finding, not a formula error)</t>
  </si>
  <si>
    <t xml:space="preserve">WARNING: cash stays above the minimum-cash policy (months below policy)</t>
  </si>
  <si>
    <t xml:space="preserve">A fail means the trigger register would have fired</t>
  </si>
  <si>
    <t xml:space="preserve">Integrity status (first 19 checks plus the two gate checks; the funding rows are warnings)</t>
  </si>
  <si>
    <t xml:space="preserve">Funding warnings</t>
  </si>
  <si>
    <t xml:space="preserve">Gates: new paid subscribers before the broad/paid-individual gate (must be 0 when gates are on)</t>
  </si>
  <si>
    <t xml:space="preserve">Plus is not sold before its gate (GO-NO-GO-DECISION.md)</t>
  </si>
  <si>
    <t xml:space="preserve">Gates: paid pilots and direct sales signed before their gates (must be 0 when gates are on)</t>
  </si>
  <si>
    <t xml:space="preserve">Paid pilots, Department and Institution sales do not precede their gates</t>
  </si>
</sst>
</file>

<file path=xl/styles.xml><?xml version="1.0" encoding="utf-8"?>
<styleSheet xmlns="http://schemas.openxmlformats.org/spreadsheetml/2006/main">
  <numFmts count="21">
    <numFmt numFmtId="164" formatCode="General"/>
    <numFmt numFmtId="165" formatCode="\$#,##0;&quot;($&quot;#,##0\);\-"/>
    <numFmt numFmtId="166" formatCode="0.0%;\(0.0%\);\-"/>
    <numFmt numFmtId="167" formatCode="#,##0.0;\(#,##0.0\);\-"/>
    <numFmt numFmtId="168" formatCode="#,##0;\(#,##0\);\-"/>
    <numFmt numFmtId="169" formatCode="General"/>
    <numFmt numFmtId="170" formatCode="\$#,##0.00;&quot;($&quot;#,##0.00\);\-"/>
    <numFmt numFmtId="171" formatCode="0.0\x"/>
    <numFmt numFmtId="172" formatCode="#,##0.00;\(#,##0.00\);\-"/>
    <numFmt numFmtId="173" formatCode="\$#,##0"/>
    <numFmt numFmtId="174" formatCode="0.0%"/>
    <numFmt numFmtId="175" formatCode="\$#,##0;&quot;($&quot;#,##0\)"/>
    <numFmt numFmtId="176" formatCode="0"/>
    <numFmt numFmtId="177" formatCode="0.0"/>
    <numFmt numFmtId="178" formatCode="\$#,##0.00"/>
    <numFmt numFmtId="179" formatCode="mmm\ yyyy"/>
    <numFmt numFmtId="180" formatCode="0.00"/>
    <numFmt numFmtId="181" formatCode="\$#,##0.0000"/>
    <numFmt numFmtId="182" formatCode="mmm\-yy"/>
    <numFmt numFmtId="183" formatCode="\$#,##0;&quot;($&quot;#,##0\);\-"/>
    <numFmt numFmtId="184"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b val="true"/>
      <sz val="10"/>
      <color rgb="FFFFFFFF"/>
      <name val="Arial"/>
      <family val="0"/>
      <charset val="1"/>
    </font>
    <font>
      <i val="true"/>
      <sz val="9"/>
      <color rgb="FF595959"/>
      <name val="Arial"/>
      <family val="0"/>
      <charset val="1"/>
    </font>
    <font>
      <sz val="10"/>
      <color rgb="FF0000FF"/>
      <name val="Arial"/>
      <family val="0"/>
      <charset val="1"/>
    </font>
  </fonts>
  <fills count="7">
    <fill>
      <patternFill patternType="none"/>
    </fill>
    <fill>
      <patternFill patternType="gray125"/>
    </fill>
    <fill>
      <patternFill patternType="solid">
        <fgColor rgb="FF1F3A5F"/>
        <bgColor rgb="FF333333"/>
      </patternFill>
    </fill>
    <fill>
      <patternFill patternType="solid">
        <fgColor rgb="FFD9E2F3"/>
        <bgColor rgb="FFE2EFDA"/>
      </patternFill>
    </fill>
    <fill>
      <patternFill patternType="solid">
        <fgColor rgb="FFF2F2F2"/>
        <bgColor rgb="FFE2EFDA"/>
      </patternFill>
    </fill>
    <fill>
      <patternFill patternType="solid">
        <fgColor rgb="FFFFFF00"/>
        <bgColor rgb="FFFFFF00"/>
      </patternFill>
    </fill>
    <fill>
      <patternFill patternType="solid">
        <fgColor rgb="FFE2EFDA"/>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5" fillId="4"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5"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77" fontId="6" fillId="0" borderId="0" xfId="0" applyFont="true" applyBorder="false" applyAlignment="true" applyProtection="false">
      <alignment horizontal="general" vertical="bottom" textRotation="0" wrapText="false" indent="0" shrinkToFit="false"/>
      <protection locked="true" hidden="false"/>
    </xf>
    <xf numFmtId="178"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79" fontId="9" fillId="0" borderId="0" xfId="0" applyFont="true" applyBorder="false" applyAlignment="true" applyProtection="false">
      <alignment horizontal="general" vertical="bottom" textRotation="0" wrapText="false" indent="0" shrinkToFit="false"/>
      <protection locked="true" hidden="false"/>
    </xf>
    <xf numFmtId="165" fontId="9"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0" fontId="9" fillId="6" borderId="0" xfId="0" applyFont="true" applyBorder="false" applyAlignment="true" applyProtection="false">
      <alignment horizontal="general" vertical="bottom" textRotation="0" wrapText="false" indent="0" shrinkToFit="false"/>
      <protection locked="true" hidden="false"/>
    </xf>
    <xf numFmtId="168" fontId="9" fillId="6" borderId="0" xfId="0" applyFont="true" applyBorder="false" applyAlignment="true" applyProtection="false">
      <alignment horizontal="general" vertical="bottom" textRotation="0" wrapText="false" indent="0" shrinkToFit="false"/>
      <protection locked="true" hidden="false"/>
    </xf>
    <xf numFmtId="180" fontId="9" fillId="0" borderId="0" xfId="0" applyFont="true" applyBorder="false" applyAlignment="true" applyProtection="false">
      <alignment horizontal="general" vertical="bottom" textRotation="0" wrapText="false" indent="0" shrinkToFit="false"/>
      <protection locked="true" hidden="false"/>
    </xf>
    <xf numFmtId="180" fontId="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82" fontId="5"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83" fontId="6"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77" fontId="5" fillId="4" borderId="0" xfId="0" applyFont="true" applyBorder="false" applyAlignment="false" applyProtection="false">
      <alignment horizontal="general" vertical="bottom" textRotation="0" wrapText="false" indent="0" shrinkToFit="false"/>
      <protection locked="true" hidden="false"/>
    </xf>
    <xf numFmtId="183" fontId="5"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8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C7CE"/>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2EFD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3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23.25" hidden="false" customHeight="true" outlineLevel="0" collapsed="false">
      <c r="A5" s="3" t="s">
        <v>5</v>
      </c>
      <c r="B5" s="4" t="s">
        <v>6</v>
      </c>
    </row>
    <row r="6" customFormat="false" ht="1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23.2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1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3" t="s">
        <v>25</v>
      </c>
      <c r="B15" s="4" t="s">
        <v>26</v>
      </c>
    </row>
    <row r="17" customFormat="false" ht="15" hidden="false" customHeight="true" outlineLevel="0" collapsed="false">
      <c r="A17" s="3" t="s">
        <v>27</v>
      </c>
    </row>
    <row r="18" customFormat="false" ht="15" hidden="false" customHeight="true" outlineLevel="0" collapsed="false">
      <c r="A18" s="5" t="s">
        <v>28</v>
      </c>
      <c r="B18" s="5" t="s">
        <v>29</v>
      </c>
    </row>
    <row r="19" customFormat="false" ht="15" hidden="false" customHeight="true" outlineLevel="0" collapsed="false">
      <c r="A19" s="5" t="s">
        <v>30</v>
      </c>
      <c r="B19" s="5" t="s">
        <v>31</v>
      </c>
    </row>
    <row r="20" customFormat="false" ht="15" hidden="false" customHeight="true" outlineLevel="0" collapsed="false">
      <c r="A20" s="5" t="s">
        <v>32</v>
      </c>
      <c r="B20" s="5" t="s">
        <v>33</v>
      </c>
    </row>
    <row r="21" customFormat="false" ht="15" hidden="false" customHeight="true" outlineLevel="0" collapsed="false">
      <c r="A21" s="5" t="s">
        <v>34</v>
      </c>
      <c r="B21" s="5" t="s">
        <v>35</v>
      </c>
    </row>
    <row r="22" customFormat="false" ht="15" hidden="false" customHeight="true" outlineLevel="0" collapsed="false">
      <c r="A22" s="5" t="s">
        <v>36</v>
      </c>
      <c r="B22" s="5" t="s">
        <v>37</v>
      </c>
    </row>
    <row r="23" customFormat="false" ht="15" hidden="false" customHeight="true" outlineLevel="0" collapsed="false">
      <c r="A23" s="5" t="s">
        <v>38</v>
      </c>
      <c r="B23" s="5" t="s">
        <v>39</v>
      </c>
    </row>
    <row r="24" customFormat="false" ht="15" hidden="false" customHeight="true" outlineLevel="0" collapsed="false">
      <c r="A24" s="5" t="s">
        <v>40</v>
      </c>
      <c r="B24" s="5" t="s">
        <v>41</v>
      </c>
    </row>
    <row r="25" customFormat="false" ht="15" hidden="false" customHeight="true" outlineLevel="0" collapsed="false">
      <c r="A25" s="5" t="s">
        <v>42</v>
      </c>
      <c r="B25" s="5" t="s">
        <v>43</v>
      </c>
    </row>
    <row r="26" customFormat="false" ht="15" hidden="false" customHeight="true" outlineLevel="0" collapsed="false">
      <c r="A26" s="5" t="s">
        <v>44</v>
      </c>
      <c r="B26" s="5" t="s">
        <v>45</v>
      </c>
    </row>
    <row r="27" customFormat="false" ht="15" hidden="false" customHeight="true" outlineLevel="0" collapsed="false">
      <c r="A27" s="5" t="s">
        <v>46</v>
      </c>
      <c r="B27" s="5" t="s">
        <v>47</v>
      </c>
    </row>
    <row r="28" customFormat="false" ht="15" hidden="false" customHeight="true" outlineLevel="0" collapsed="false">
      <c r="A28" s="5" t="s">
        <v>48</v>
      </c>
      <c r="B28" s="5" t="s">
        <v>49</v>
      </c>
    </row>
    <row r="29" customFormat="false" ht="15" hidden="false" customHeight="true" outlineLevel="0" collapsed="false">
      <c r="A29" s="5" t="s">
        <v>50</v>
      </c>
      <c r="B29" s="5" t="s">
        <v>51</v>
      </c>
    </row>
    <row r="31" customFormat="false" ht="15" hidden="false" customHeight="true" outlineLevel="0" collapsed="false">
      <c r="A31" s="3" t="s">
        <v>52</v>
      </c>
    </row>
    <row r="32" customFormat="false" ht="15" hidden="false" customHeight="true" outlineLevel="0" collapsed="false">
      <c r="A32" s="5" t="s">
        <v>53</v>
      </c>
      <c r="B32" s="3" t="str">
        <f aca="false">Scenario_Control!$E$3</f>
        <v>Base</v>
      </c>
    </row>
    <row r="33" customFormat="false" ht="15" hidden="false" customHeight="true" outlineLevel="0" collapsed="false">
      <c r="A33" s="5" t="s">
        <v>54</v>
      </c>
      <c r="B33" s="3" t="str">
        <f aca="false">Checks!$C$26</f>
        <v>ALL PASS</v>
      </c>
    </row>
    <row r="34" customFormat="false" ht="15" hidden="false" customHeight="true" outlineLevel="0" collapsed="false">
      <c r="A34" s="5" t="s">
        <v>55</v>
      </c>
      <c r="B34" s="3" t="str">
        <f aca="false">Checks!$C$27</f>
        <v>1 WARNING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s>
  <sheetData>
    <row r="1" customFormat="false" ht="17.25" hidden="false" customHeight="true" outlineLevel="0" collapsed="false">
      <c r="A1" s="2" t="s">
        <v>56</v>
      </c>
    </row>
    <row r="2" customFormat="false" ht="15" hidden="false" customHeight="true" outlineLevel="0" collapsed="false">
      <c r="A2" s="3" t="s">
        <v>57</v>
      </c>
      <c r="B2" s="3" t="str">
        <f aca="false">Scenario_Control!$E$3</f>
        <v>Base</v>
      </c>
    </row>
    <row r="4" customFormat="false" ht="15" hidden="false" customHeight="true" outlineLevel="0" collapsed="false">
      <c r="A4" s="3" t="s">
        <v>58</v>
      </c>
      <c r="C4" s="6" t="n">
        <v>1</v>
      </c>
      <c r="D4" s="6" t="n">
        <v>2</v>
      </c>
      <c r="E4" s="6" t="n">
        <v>3</v>
      </c>
    </row>
    <row r="6" customFormat="false" ht="1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row>
    <row r="7" customFormat="false" ht="15" hidden="false" customHeight="true" outlineLevel="0" collapsed="false">
      <c r="A7" s="8" t="s">
        <v>62</v>
      </c>
      <c r="B7" s="9"/>
      <c r="C7" s="9"/>
      <c r="D7" s="9"/>
      <c r="E7" s="9"/>
      <c r="F7" s="9"/>
    </row>
    <row r="8" customFormat="false" ht="15" hidden="false" customHeight="true" outlineLevel="0" collapsed="false">
      <c r="A8" s="5" t="s">
        <v>63</v>
      </c>
      <c r="B8" s="10" t="s">
        <v>64</v>
      </c>
      <c r="C8" s="11" t="n">
        <f aca="false">SUMIF(Financials!$D$5:$AM$5,C$4,Financials!$D$10:$AM$10)</f>
        <v>14101.913562216</v>
      </c>
      <c r="D8" s="11" t="n">
        <f aca="false">SUMIF(Financials!$D$5:$AM$5,D$4,Financials!$D$10:$AM$10)</f>
        <v>71841.8221930427</v>
      </c>
      <c r="E8" s="11" t="n">
        <f aca="false">SUMIF(Financials!$D$5:$AM$5,E$4,Financials!$D$10:$AM$10)</f>
        <v>183664.1620825</v>
      </c>
      <c r="F8" s="12" t="n">
        <f aca="false">SUM(C8:E8)</f>
        <v>269607.897837759</v>
      </c>
    </row>
    <row r="9" customFormat="false" ht="15" hidden="false" customHeight="true" outlineLevel="0" collapsed="false">
      <c r="A9" s="5" t="s">
        <v>65</v>
      </c>
      <c r="B9" s="10" t="s">
        <v>64</v>
      </c>
      <c r="C9" s="11" t="n">
        <f aca="false">SUMIF(Financials!$D$5:$AM$5,C$4,Financials!$D$11:$AM$11)</f>
        <v>52933.3333333333</v>
      </c>
      <c r="D9" s="11" t="n">
        <f aca="false">SUMIF(Financials!$D$5:$AM$5,D$4,Financials!$D$11:$AM$11)</f>
        <v>462053.294444445</v>
      </c>
      <c r="E9" s="11" t="n">
        <f aca="false">SUMIF(Financials!$D$5:$AM$5,E$4,Financials!$D$11:$AM$11)</f>
        <v>1971827.21015556</v>
      </c>
      <c r="F9" s="12" t="n">
        <f aca="false">SUM(C9:E9)</f>
        <v>2486813.83793333</v>
      </c>
    </row>
    <row r="10" customFormat="false" ht="15" hidden="false" customHeight="true" outlineLevel="0" collapsed="false">
      <c r="A10" s="5" t="s">
        <v>66</v>
      </c>
      <c r="B10" s="10" t="s">
        <v>64</v>
      </c>
      <c r="C10" s="11" t="n">
        <f aca="false">SUMIF(Financials!$D$5:$AM$5,C$4,Financials!$D$12:$AM$12)</f>
        <v>91333.3333333333</v>
      </c>
      <c r="D10" s="11" t="n">
        <f aca="false">SUMIF(Financials!$D$5:$AM$5,D$4,Financials!$D$12:$AM$12)</f>
        <v>712333.333333333</v>
      </c>
      <c r="E10" s="11" t="n">
        <f aca="false">SUMIF(Financials!$D$5:$AM$5,E$4,Financials!$D$12:$AM$12)</f>
        <v>1801333.33333333</v>
      </c>
      <c r="F10" s="12" t="n">
        <f aca="false">SUM(C10:E10)</f>
        <v>2605000</v>
      </c>
    </row>
    <row r="11" customFormat="false" ht="15" hidden="false" customHeight="true" outlineLevel="0" collapsed="false">
      <c r="A11" s="5" t="s">
        <v>67</v>
      </c>
      <c r="B11" s="10" t="s">
        <v>64</v>
      </c>
      <c r="C11" s="11" t="n">
        <f aca="false">SUMIF(Financials!$D$5:$AM$5,C$4,Financials!$D$13:$AM$13)</f>
        <v>593.477554972769</v>
      </c>
      <c r="D11" s="11" t="n">
        <f aca="false">SUMIF(Financials!$D$5:$AM$5,D$4,Financials!$D$13:$AM$13)</f>
        <v>11674.0955600282</v>
      </c>
      <c r="E11" s="11" t="n">
        <f aca="false">SUMIF(Financials!$D$5:$AM$5,E$4,Financials!$D$13:$AM$13)</f>
        <v>73682.7859032746</v>
      </c>
      <c r="F11" s="12" t="n">
        <f aca="false">SUM(C11:E11)</f>
        <v>85950.3590182756</v>
      </c>
    </row>
    <row r="12" customFormat="false" ht="15" hidden="false" customHeight="true" outlineLevel="0" collapsed="false">
      <c r="A12" s="5" t="s">
        <v>68</v>
      </c>
      <c r="B12" s="10" t="s">
        <v>64</v>
      </c>
      <c r="C12" s="11" t="n">
        <f aca="false">SUMIF(Financials!$D$5:$AM$5,C$4,Financials!$D$14:$AM$14)</f>
        <v>0</v>
      </c>
      <c r="D12" s="11" t="n">
        <f aca="false">SUMIF(Financials!$D$5:$AM$5,D$4,Financials!$D$14:$AM$14)</f>
        <v>9667.75376947718</v>
      </c>
      <c r="E12" s="11" t="n">
        <f aca="false">SUMIF(Financials!$D$5:$AM$5,E$4,Financials!$D$14:$AM$14)</f>
        <v>121987.007336984</v>
      </c>
      <c r="F12" s="12" t="n">
        <f aca="false">SUM(C12:E12)</f>
        <v>131654.761106461</v>
      </c>
    </row>
    <row r="13" customFormat="false" ht="15" hidden="false" customHeight="true" outlineLevel="0" collapsed="false">
      <c r="A13" s="5" t="s">
        <v>69</v>
      </c>
      <c r="B13" s="10" t="s">
        <v>64</v>
      </c>
      <c r="C13" s="11" t="n">
        <f aca="false">SUMIF(Financials!$D$5:$AM$5,C$4,Financials!$D$15:$AM$15)</f>
        <v>0</v>
      </c>
      <c r="D13" s="11" t="n">
        <f aca="false">SUMIF(Financials!$D$5:$AM$5,D$4,Financials!$D$15:$AM$15)</f>
        <v>117000</v>
      </c>
      <c r="E13" s="11" t="n">
        <f aca="false">SUMIF(Financials!$D$5:$AM$5,E$4,Financials!$D$15:$AM$15)</f>
        <v>540090</v>
      </c>
      <c r="F13" s="12" t="n">
        <f aca="false">SUM(C13:E13)</f>
        <v>657090</v>
      </c>
    </row>
    <row r="14" customFormat="false" ht="15" hidden="false" customHeight="true" outlineLevel="0" collapsed="false">
      <c r="A14" s="5" t="s">
        <v>70</v>
      </c>
      <c r="B14" s="10" t="s">
        <v>64</v>
      </c>
      <c r="C14" s="11" t="n">
        <f aca="false">SUMIF(Financials!$D$5:$AM$5,C$4,Financials!$D$16:$AM$16)</f>
        <v>0</v>
      </c>
      <c r="D14" s="11" t="n">
        <f aca="false">SUMIF(Financials!$D$5:$AM$5,D$4,Financials!$D$16:$AM$16)</f>
        <v>1674.49166666667</v>
      </c>
      <c r="E14" s="11" t="n">
        <f aca="false">SUMIF(Financials!$D$5:$AM$5,E$4,Financials!$D$16:$AM$16)</f>
        <v>23915.9141666667</v>
      </c>
      <c r="F14" s="12" t="n">
        <f aca="false">SUM(C14:E14)</f>
        <v>25590.4058333333</v>
      </c>
    </row>
    <row r="15" customFormat="false" ht="15" hidden="false" customHeight="true" outlineLevel="0" collapsed="false">
      <c r="A15" s="5" t="s">
        <v>71</v>
      </c>
      <c r="B15" s="10" t="s">
        <v>64</v>
      </c>
      <c r="C15" s="11" t="n">
        <f aca="false">SUMIF(Financials!$D$5:$AM$5,C$4,Financials!$D$17:$AM$17)</f>
        <v>0</v>
      </c>
      <c r="D15" s="11" t="n">
        <f aca="false">SUMIF(Financials!$D$5:$AM$5,D$4,Financials!$D$17:$AM$17)</f>
        <v>0</v>
      </c>
      <c r="E15" s="11" t="n">
        <f aca="false">SUMIF(Financials!$D$5:$AM$5,E$4,Financials!$D$17:$AM$17)</f>
        <v>0</v>
      </c>
      <c r="F15" s="12" t="n">
        <f aca="false">SUM(C15:E15)</f>
        <v>0</v>
      </c>
    </row>
    <row r="16" customFormat="false" ht="15" hidden="false" customHeight="true" outlineLevel="0" collapsed="false">
      <c r="A16" s="13" t="s">
        <v>72</v>
      </c>
      <c r="B16" s="14" t="s">
        <v>64</v>
      </c>
      <c r="C16" s="15" t="n">
        <f aca="false">SUMIF(Financials!$D$5:$AM$5,C$4,Financials!$D$18:$AM$18)</f>
        <v>158962.057783855</v>
      </c>
      <c r="D16" s="15" t="n">
        <f aca="false">SUMIF(Financials!$D$5:$AM$5,D$4,Financials!$D$18:$AM$18)</f>
        <v>1386244.79096699</v>
      </c>
      <c r="E16" s="15" t="n">
        <f aca="false">SUMIF(Financials!$D$5:$AM$5,E$4,Financials!$D$18:$AM$18)</f>
        <v>4716500.41297831</v>
      </c>
      <c r="F16" s="15" t="n">
        <f aca="false">SUM(C16:E16)</f>
        <v>6261707.26172916</v>
      </c>
    </row>
    <row r="17" customFormat="false" ht="15" hidden="false" customHeight="true" outlineLevel="0" collapsed="false">
      <c r="A17" s="5" t="s">
        <v>73</v>
      </c>
      <c r="B17" s="10" t="s">
        <v>74</v>
      </c>
      <c r="D17" s="16" t="n">
        <f aca="false">IF(C16=0,0,D16/C16-1)</f>
        <v>7.72060169761959</v>
      </c>
      <c r="E17" s="16" t="n">
        <f aca="false">IF(D16=0,0,E16/D16-1)</f>
        <v>2.40235753721986</v>
      </c>
      <c r="F17" s="17"/>
    </row>
    <row r="18" customFormat="false" ht="15" hidden="false" customHeight="true" outlineLevel="0" collapsed="false">
      <c r="A18" s="5" t="s">
        <v>75</v>
      </c>
      <c r="B18" s="10" t="s">
        <v>74</v>
      </c>
      <c r="C18" s="16" t="n">
        <f aca="false">IF(C16=0,0,(SUMIF(Revenue!$D$5:$AM$5,C$4,Revenue!$D$30:$AM$30)+SUMIF(Revenue!$D$5:$AM$5,C$4,Revenue!$D$31:$AM$31)+SUMIF(Revenue!$D$5:$AM$5,C$4,Revenue!$D$79:$AM$79)+SUMIF(Revenue!$D$5:$AM$5,C$4,Revenue!$D$94:$AM$94)+SUMIF(Revenue!$D$5:$AM$5,C$4,Revenue!$D$32:$AM$32)+SUMIF(Revenue!$D$5:$AM$5,C$4,Revenue!$D$122:$AM$122)+SUMIF(Revenue!$D$5:$AM$5,C$4,Revenue!$D$118:$AM$118)+SUMIF(Revenue!$D$5:$AM$5,C$4,Revenue!$D$120:$AM$120))/C16)</f>
        <v>0.219100865552958</v>
      </c>
      <c r="D18" s="16" t="n">
        <f aca="false">IF(D16=0,0,(SUMIF(Revenue!$D$5:$AM$5,D$4,Revenue!$D$30:$AM$30)+SUMIF(Revenue!$D$5:$AM$5,D$4,Revenue!$D$31:$AM$31)+SUMIF(Revenue!$D$5:$AM$5,D$4,Revenue!$D$79:$AM$79)+SUMIF(Revenue!$D$5:$AM$5,D$4,Revenue!$D$94:$AM$94)+SUMIF(Revenue!$D$5:$AM$5,D$4,Revenue!$D$32:$AM$32)+SUMIF(Revenue!$D$5:$AM$5,D$4,Revenue!$D$122:$AM$122)+SUMIF(Revenue!$D$5:$AM$5,D$4,Revenue!$D$118:$AM$118)+SUMIF(Revenue!$D$5:$AM$5,D$4,Revenue!$D$120:$AM$120))/D16)</f>
        <v>0.409050196299482</v>
      </c>
      <c r="E18" s="16" t="n">
        <f aca="false">IF(E16=0,0,(SUMIF(Revenue!$D$5:$AM$5,E$4,Revenue!$D$30:$AM$30)+SUMIF(Revenue!$D$5:$AM$5,E$4,Revenue!$D$31:$AM$31)+SUMIF(Revenue!$D$5:$AM$5,E$4,Revenue!$D$79:$AM$79)+SUMIF(Revenue!$D$5:$AM$5,E$4,Revenue!$D$94:$AM$94)+SUMIF(Revenue!$D$5:$AM$5,E$4,Revenue!$D$32:$AM$32)+SUMIF(Revenue!$D$5:$AM$5,E$4,Revenue!$D$122:$AM$122)+SUMIF(Revenue!$D$5:$AM$5,E$4,Revenue!$D$118:$AM$118)+SUMIF(Revenue!$D$5:$AM$5,E$4,Revenue!$D$120:$AM$120))/E16)</f>
        <v>0.559817627714504</v>
      </c>
      <c r="F18" s="17"/>
    </row>
    <row r="20" customFormat="false" ht="15" hidden="false" customHeight="true" outlineLevel="0" collapsed="false">
      <c r="A20" s="8" t="s">
        <v>76</v>
      </c>
      <c r="B20" s="9"/>
      <c r="C20" s="9"/>
      <c r="D20" s="9"/>
      <c r="E20" s="9"/>
      <c r="F20" s="9"/>
    </row>
    <row r="21" customFormat="false" ht="15" hidden="false" customHeight="true" outlineLevel="0" collapsed="false">
      <c r="A21" s="5" t="s">
        <v>77</v>
      </c>
      <c r="B21" s="10" t="s">
        <v>64</v>
      </c>
      <c r="C21" s="11" t="n">
        <f aca="false">SUMIF(Financials!$D$5:$AM$5,C$4,Financials!$D$19:$AM$19)</f>
        <v>-276477.360081434</v>
      </c>
      <c r="D21" s="11" t="n">
        <f aca="false">SUMIF(Financials!$D$5:$AM$5,D$4,Financials!$D$19:$AM$19)</f>
        <v>-1346296.18202154</v>
      </c>
      <c r="E21" s="11" t="n">
        <f aca="false">SUMIF(Financials!$D$5:$AM$5,E$4,Financials!$D$19:$AM$19)</f>
        <v>-3023418.44949418</v>
      </c>
      <c r="F21" s="12" t="n">
        <f aca="false">SUM(C21:E21)</f>
        <v>-4646191.99159715</v>
      </c>
    </row>
    <row r="22" customFormat="false" ht="15" hidden="false" customHeight="true" outlineLevel="0" collapsed="false">
      <c r="A22" s="13" t="s">
        <v>78</v>
      </c>
      <c r="B22" s="14" t="s">
        <v>64</v>
      </c>
      <c r="C22" s="15" t="n">
        <f aca="false">SUMIF(Financials!$D$5:$AM$5,C$4,Financials!$D$20:$AM$20)</f>
        <v>-117515.302297578</v>
      </c>
      <c r="D22" s="15" t="n">
        <f aca="false">SUMIF(Financials!$D$5:$AM$5,D$4,Financials!$D$20:$AM$20)</f>
        <v>39948.6089454538</v>
      </c>
      <c r="E22" s="15" t="n">
        <f aca="false">SUMIF(Financials!$D$5:$AM$5,E$4,Financials!$D$20:$AM$20)</f>
        <v>1693081.96348414</v>
      </c>
      <c r="F22" s="15" t="n">
        <f aca="false">SUM(C22:E22)</f>
        <v>1615515.27013201</v>
      </c>
    </row>
    <row r="23" customFormat="false" ht="15" hidden="false" customHeight="true" outlineLevel="0" collapsed="false">
      <c r="A23" s="5" t="s">
        <v>79</v>
      </c>
      <c r="B23" s="10" t="s">
        <v>74</v>
      </c>
      <c r="C23" s="16" t="n">
        <f aca="false">IF(C16=0,0,C22/C16)</f>
        <v>-0.739266362903824</v>
      </c>
      <c r="D23" s="16" t="n">
        <f aca="false">IF(D16=0,0,D22/D16)</f>
        <v>0.0288178604570894</v>
      </c>
      <c r="E23" s="16" t="n">
        <f aca="false">IF(E16=0,0,E22/E16)</f>
        <v>0.35896995976621</v>
      </c>
      <c r="F23" s="17"/>
    </row>
    <row r="24" customFormat="false" ht="15" hidden="false" customHeight="true" outlineLevel="0" collapsed="false">
      <c r="A24" s="5" t="s">
        <v>80</v>
      </c>
      <c r="B24" s="10" t="s">
        <v>64</v>
      </c>
      <c r="C24" s="11" t="n">
        <f aca="false">SUMIF(Financials!$D$5:$AM$5,C$4,Financials!$D$22:$AM$22)</f>
        <v>-1512000</v>
      </c>
      <c r="D24" s="11" t="n">
        <f aca="false">SUMIF(Financials!$D$5:$AM$5,D$4,Financials!$D$22:$AM$22)</f>
        <v>-4221970</v>
      </c>
      <c r="E24" s="11" t="n">
        <f aca="false">SUMIF(Financials!$D$5:$AM$5,E$4,Financials!$D$22:$AM$22)</f>
        <v>-5514558.2</v>
      </c>
      <c r="F24" s="12" t="n">
        <f aca="false">SUM(C24:E24)</f>
        <v>-11248528.2</v>
      </c>
    </row>
    <row r="25" customFormat="false" ht="15" hidden="false" customHeight="true" outlineLevel="0" collapsed="false">
      <c r="A25" s="5" t="s">
        <v>81</v>
      </c>
      <c r="B25" s="10" t="s">
        <v>64</v>
      </c>
      <c r="C25" s="11" t="n">
        <f aca="false">SUMIF(Financials!$D$5:$AM$5,C$4,Financials!$D$23:$AM$23)</f>
        <v>-387211.164236111</v>
      </c>
      <c r="D25" s="11" t="n">
        <f aca="false">SUMIF(Financials!$D$5:$AM$5,D$4,Financials!$D$23:$AM$23)</f>
        <v>-1904589.37578889</v>
      </c>
      <c r="E25" s="11" t="n">
        <f aca="false">SUMIF(Financials!$D$5:$AM$5,E$4,Financials!$D$23:$AM$23)</f>
        <v>-2997738.04537123</v>
      </c>
      <c r="F25" s="12" t="n">
        <f aca="false">SUM(C25:E25)</f>
        <v>-5289538.58539623</v>
      </c>
    </row>
    <row r="26" customFormat="false" ht="15" hidden="false" customHeight="true" outlineLevel="0" collapsed="false">
      <c r="A26" s="5" t="s">
        <v>82</v>
      </c>
      <c r="B26" s="10" t="s">
        <v>64</v>
      </c>
      <c r="C26" s="11" t="n">
        <f aca="false">SUMIF(Financials!$D$5:$AM$5,C$4,Financials!$D$24:$AM$24)</f>
        <v>-1312828.16423611</v>
      </c>
      <c r="D26" s="11" t="n">
        <f aca="false">SUMIF(Financials!$D$5:$AM$5,D$4,Financials!$D$24:$AM$24)</f>
        <v>-2570696.37578889</v>
      </c>
      <c r="E26" s="11" t="n">
        <f aca="false">SUMIF(Financials!$D$5:$AM$5,E$4,Financials!$D$24:$AM$24)</f>
        <v>-3147974.04537123</v>
      </c>
      <c r="F26" s="12" t="n">
        <f aca="false">SUM(C26:E26)</f>
        <v>-7031498.58539623</v>
      </c>
    </row>
    <row r="27" customFormat="false" ht="15" hidden="false" customHeight="true" outlineLevel="0" collapsed="false">
      <c r="A27" s="5" t="s">
        <v>83</v>
      </c>
      <c r="B27" s="10" t="s">
        <v>64</v>
      </c>
      <c r="C27" s="11" t="n">
        <f aca="false">SUMIF(Financials!$D$5:$AM$5,C$4,Financials!$D$25:$AM$25)</f>
        <v>0</v>
      </c>
      <c r="D27" s="11" t="n">
        <f aca="false">SUMIF(Financials!$D$5:$AM$5,D$4,Financials!$D$25:$AM$25)</f>
        <v>0</v>
      </c>
      <c r="E27" s="11" t="n">
        <f aca="false">SUMIF(Financials!$D$5:$AM$5,E$4,Financials!$D$25:$AM$25)</f>
        <v>0</v>
      </c>
      <c r="F27" s="12" t="n">
        <f aca="false">SUM(C27:E27)</f>
        <v>0</v>
      </c>
    </row>
    <row r="28" customFormat="false" ht="15" hidden="false" customHeight="true" outlineLevel="0" collapsed="false">
      <c r="A28" s="5" t="s">
        <v>84</v>
      </c>
      <c r="B28" s="10" t="s">
        <v>64</v>
      </c>
      <c r="C28" s="11" t="n">
        <f aca="false">SUMIF(Financials!$D$5:$AM$5,C$4,Financials!$D$26:$AM$26)</f>
        <v>0</v>
      </c>
      <c r="D28" s="11" t="n">
        <f aca="false">SUMIF(Financials!$D$5:$AM$5,D$4,Financials!$D$26:$AM$26)</f>
        <v>0</v>
      </c>
      <c r="E28" s="11" t="n">
        <f aca="false">SUMIF(Financials!$D$5:$AM$5,E$4,Financials!$D$26:$AM$26)</f>
        <v>0</v>
      </c>
      <c r="F28" s="12" t="n">
        <f aca="false">SUM(C28:E28)</f>
        <v>0</v>
      </c>
    </row>
    <row r="29" customFormat="false" ht="15" hidden="false" customHeight="true" outlineLevel="0" collapsed="false">
      <c r="A29" s="13" t="s">
        <v>85</v>
      </c>
      <c r="B29" s="14" t="s">
        <v>64</v>
      </c>
      <c r="C29" s="15" t="n">
        <f aca="false">SUMIF(Financials!$D$5:$AM$5,C$4,Financials!$D$27:$AM$27)</f>
        <v>-3329554.6307698</v>
      </c>
      <c r="D29" s="15" t="n">
        <f aca="false">SUMIF(Financials!$D$5:$AM$5,D$4,Financials!$D$27:$AM$27)</f>
        <v>-8657307.14263232</v>
      </c>
      <c r="E29" s="15" t="n">
        <f aca="false">SUMIF(Financials!$D$5:$AM$5,E$4,Financials!$D$27:$AM$27)</f>
        <v>-9967188.32725833</v>
      </c>
      <c r="F29" s="15" t="n">
        <f aca="false">SUM(C29:E29)</f>
        <v>-21954050.1006605</v>
      </c>
    </row>
    <row r="30" customFormat="false" ht="15" hidden="false" customHeight="true" outlineLevel="0" collapsed="false">
      <c r="A30" s="5" t="s">
        <v>86</v>
      </c>
      <c r="B30" s="10" t="s">
        <v>74</v>
      </c>
      <c r="C30" s="16" t="n">
        <f aca="false">IF(C16=0,0,C29/C16)</f>
        <v>-20.9455934151096</v>
      </c>
      <c r="D30" s="16" t="n">
        <f aca="false">IF(D16=0,0,D29/D16)</f>
        <v>-6.24515035082174</v>
      </c>
      <c r="E30" s="16" t="n">
        <f aca="false">IF(E16=0,0,E29/E16)</f>
        <v>-2.11325929280782</v>
      </c>
      <c r="F30" s="17"/>
    </row>
    <row r="32" customFormat="false" ht="15" hidden="false" customHeight="true" outlineLevel="0" collapsed="false">
      <c r="A32" s="8" t="s">
        <v>17</v>
      </c>
      <c r="B32" s="9"/>
      <c r="C32" s="9"/>
      <c r="D32" s="9"/>
      <c r="E32" s="9"/>
      <c r="F32" s="9"/>
    </row>
    <row r="33" customFormat="false" ht="15" hidden="false" customHeight="true" outlineLevel="0" collapsed="false">
      <c r="A33" s="13" t="s">
        <v>87</v>
      </c>
      <c r="B33" s="14" t="s">
        <v>64</v>
      </c>
      <c r="C33" s="15" t="n">
        <f aca="false">SUMIF(Financials!$D$5:$AM$5,C$4,Financials!$D$38:$AM$38)</f>
        <v>-3304160.13228691</v>
      </c>
      <c r="D33" s="15" t="n">
        <f aca="false">SUMIF(Financials!$D$5:$AM$5,D$4,Financials!$D$38:$AM$38)</f>
        <v>-8457907.53776866</v>
      </c>
      <c r="E33" s="15" t="n">
        <f aca="false">SUMIF(Financials!$D$5:$AM$5,E$4,Financials!$D$38:$AM$38)</f>
        <v>-9371957.4486816</v>
      </c>
      <c r="F33" s="15" t="n">
        <f aca="false">SUM(C33:E33)</f>
        <v>-21134025.1187372</v>
      </c>
    </row>
    <row r="34" customFormat="false" ht="15" hidden="false" customHeight="true" outlineLevel="0" collapsed="false">
      <c r="A34" s="5" t="s">
        <v>88</v>
      </c>
      <c r="B34" s="10" t="s">
        <v>64</v>
      </c>
      <c r="C34" s="11" t="n">
        <f aca="false">SUMIF(Financials!$D$5:$AM$5,C$4,Financials!$D$39:$AM$39)</f>
        <v>4500000</v>
      </c>
      <c r="D34" s="11" t="n">
        <f aca="false">SUMIF(Financials!$D$5:$AM$5,D$4,Financials!$D$39:$AM$39)</f>
        <v>14000000</v>
      </c>
      <c r="E34" s="11" t="n">
        <f aca="false">SUMIF(Financials!$D$5:$AM$5,E$4,Financials!$D$39:$AM$39)</f>
        <v>9000000</v>
      </c>
      <c r="F34" s="12" t="n">
        <f aca="false">SUM(C34:E34)</f>
        <v>27500000</v>
      </c>
    </row>
    <row r="35" customFormat="false" ht="15" hidden="false" customHeight="true" outlineLevel="0" collapsed="false">
      <c r="A35" s="13" t="s">
        <v>89</v>
      </c>
      <c r="B35" s="14" t="s">
        <v>64</v>
      </c>
      <c r="C35" s="15" t="n">
        <f aca="false">INDEX(Financials!$D$41:$AM$41,1,12*C$4)</f>
        <v>1195839.86771309</v>
      </c>
      <c r="D35" s="15" t="n">
        <f aca="false">INDEX(Financials!$D$41:$AM$41,1,12*D$4)</f>
        <v>6737932.32994443</v>
      </c>
      <c r="E35" s="15" t="n">
        <f aca="false">INDEX(Financials!$D$41:$AM$41,1,12*E$4)</f>
        <v>6365974.88126283</v>
      </c>
      <c r="F35" s="15" t="n">
        <f aca="false">E35</f>
        <v>6365974.88126283</v>
      </c>
    </row>
    <row r="36" customFormat="false" ht="15" hidden="false" customHeight="true" outlineLevel="0" collapsed="false">
      <c r="A36" s="5" t="s">
        <v>90</v>
      </c>
      <c r="B36" s="10" t="s">
        <v>64</v>
      </c>
      <c r="C36" s="11" t="n">
        <f aca="false">MIN(INDEX(Financials!$D$41:$AM$41,1,12*C$4-11):INDEX(Financials!$D$41:$AM$41,1,12*C$4))</f>
        <v>1195839.86771309</v>
      </c>
      <c r="D36" s="11" t="n">
        <f aca="false">MIN(INDEX(Financials!$D$41:$AM$41,1,12*D$4-11):INDEX(Financials!$D$41:$AM$41,1,12*D$4))</f>
        <v>6737932.32994443</v>
      </c>
      <c r="E36" s="11" t="n">
        <f aca="false">MIN(INDEX(Financials!$D$41:$AM$41,1,12*E$4-11):INDEX(Financials!$D$41:$AM$41,1,12*E$4))</f>
        <v>5958550.82264069</v>
      </c>
      <c r="F36" s="12"/>
    </row>
    <row r="37" customFormat="false" ht="15" hidden="false" customHeight="true" outlineLevel="0" collapsed="false">
      <c r="A37" s="5" t="s">
        <v>91</v>
      </c>
      <c r="B37" s="10" t="s">
        <v>92</v>
      </c>
      <c r="C37" s="18" t="n">
        <f aca="false">INDEX(Financials!$D$44:$AM$44,1,12*C$4)</f>
        <v>2.59632562104882</v>
      </c>
      <c r="D37" s="18" t="n">
        <f aca="false">INDEX(Financials!$D$44:$AM$44,1,12*D$4)</f>
        <v>9.78890573094503</v>
      </c>
      <c r="E37" s="18" t="n">
        <f aca="false">INDEX(Financials!$D$44:$AM$44,1,12*E$4)</f>
        <v>10.4012448745652</v>
      </c>
      <c r="F37" s="19"/>
    </row>
    <row r="39" customFormat="false" ht="15" hidden="false" customHeight="true" outlineLevel="0" collapsed="false">
      <c r="A39" s="8" t="s">
        <v>93</v>
      </c>
      <c r="B39" s="9"/>
      <c r="C39" s="9"/>
      <c r="D39" s="9"/>
      <c r="E39" s="9"/>
      <c r="F39" s="9"/>
    </row>
    <row r="40" customFormat="false" ht="15" hidden="false" customHeight="true" outlineLevel="0" collapsed="false">
      <c r="A40" s="13" t="s">
        <v>94</v>
      </c>
      <c r="B40" s="14" t="s">
        <v>64</v>
      </c>
      <c r="C40" s="15" t="n">
        <f aca="false">INDEX(Revenue!$D$148:$AM$148,1,12*C$4)</f>
        <v>116792.567253205</v>
      </c>
      <c r="D40" s="15" t="n">
        <f aca="false">INDEX(Revenue!$D$148:$AM$148,1,12*D$4)</f>
        <v>1244957.74237832</v>
      </c>
      <c r="E40" s="15" t="n">
        <f aca="false">INDEX(Revenue!$D$148:$AM$148,1,12*E$4)</f>
        <v>4339103.43019746</v>
      </c>
      <c r="F40" s="15" t="n">
        <f aca="false">E40</f>
        <v>4339103.43019746</v>
      </c>
    </row>
    <row r="41" customFormat="false" ht="15" hidden="false" customHeight="true" outlineLevel="0" collapsed="false">
      <c r="A41" s="5" t="s">
        <v>95</v>
      </c>
      <c r="B41" s="10" t="s">
        <v>64</v>
      </c>
      <c r="C41" s="11" t="n">
        <f aca="false">INDEX(Revenue!$D$149:$AM$149,1,12*C$4)</f>
        <v>127209.233919872</v>
      </c>
      <c r="D41" s="11" t="n">
        <f aca="false">INDEX(Revenue!$D$149:$AM$149,1,12*D$4)</f>
        <v>1545791.07571166</v>
      </c>
      <c r="E41" s="11" t="n">
        <f aca="false">INDEX(Revenue!$D$149:$AM$149,1,12*E$4)</f>
        <v>5179103.43019746</v>
      </c>
      <c r="F41" s="12" t="n">
        <f aca="false">E41</f>
        <v>5179103.43019746</v>
      </c>
    </row>
    <row r="42" customFormat="false" ht="15" hidden="false" customHeight="true" outlineLevel="0" collapsed="false">
      <c r="A42" s="5" t="s">
        <v>96</v>
      </c>
      <c r="B42" s="10" t="s">
        <v>64</v>
      </c>
      <c r="C42" s="11" t="n">
        <f aca="false">INDEX(Revenue!$D$156:$AM$156,1,12*C$4)</f>
        <v>87532.016234375</v>
      </c>
      <c r="D42" s="11" t="n">
        <f aca="false">INDEX(Revenue!$D$156:$AM$156,1,12*D$4)</f>
        <v>741120.804096962</v>
      </c>
      <c r="E42" s="11" t="n">
        <f aca="false">INDEX(Revenue!$D$156:$AM$156,1,12*E$4)</f>
        <v>2339125.57666836</v>
      </c>
      <c r="F42" s="12" t="n">
        <f aca="false">E42</f>
        <v>2339125.57666836</v>
      </c>
    </row>
    <row r="43" customFormat="false" ht="15" hidden="false" customHeight="true" outlineLevel="0" collapsed="false">
      <c r="A43" s="5" t="s">
        <v>97</v>
      </c>
      <c r="B43" s="10" t="s">
        <v>64</v>
      </c>
      <c r="C43" s="11" t="n">
        <f aca="false">INDEX(Revenue!$D$154:$AM$154,1,12*C$4)</f>
        <v>61190.577421875</v>
      </c>
      <c r="D43" s="11" t="n">
        <f aca="false">INDEX(Revenue!$D$154:$AM$154,1,12*D$4)</f>
        <v>512487.336233125</v>
      </c>
      <c r="E43" s="11" t="n">
        <f aca="false">INDEX(Revenue!$D$154:$AM$154,1,12*E$4)</f>
        <v>1510697.14947232</v>
      </c>
      <c r="F43" s="12" t="n">
        <f aca="false">E43</f>
        <v>1510697.14947232</v>
      </c>
    </row>
    <row r="44" customFormat="false" ht="15" hidden="false" customHeight="true" outlineLevel="0" collapsed="false">
      <c r="A44" s="5" t="s">
        <v>44</v>
      </c>
      <c r="B44" s="10" t="s">
        <v>98</v>
      </c>
      <c r="C44" s="18" t="n">
        <f aca="false">INDEX(Headcount!$D$72:$AM$72,1,12*C$4)</f>
        <v>25</v>
      </c>
      <c r="D44" s="18" t="n">
        <f aca="false">INDEX(Headcount!$D$72:$AM$72,1,12*D$4)</f>
        <v>44</v>
      </c>
      <c r="E44" s="18" t="n">
        <f aca="false">INDEX(Headcount!$D$72:$AM$72,1,12*E$4)</f>
        <v>50</v>
      </c>
      <c r="F44" s="19" t="n">
        <f aca="false">E44</f>
        <v>50</v>
      </c>
    </row>
    <row r="45" customFormat="false" ht="15" hidden="false" customHeight="true" outlineLevel="0" collapsed="false">
      <c r="A45" s="5" t="s">
        <v>99</v>
      </c>
      <c r="B45" s="10" t="s">
        <v>100</v>
      </c>
      <c r="C45" s="20" t="n">
        <f aca="false">INDEX(Revenue!$D$125:$AM$125,1,12*C$4)</f>
        <v>10688.1687626046</v>
      </c>
      <c r="D45" s="20" t="n">
        <f aca="false">INDEX(Revenue!$D$125:$AM$125,1,12*D$4)</f>
        <v>57788.247467253</v>
      </c>
      <c r="E45" s="20" t="n">
        <f aca="false">INDEX(Revenue!$D$125:$AM$125,1,12*E$4)</f>
        <v>160338.650730896</v>
      </c>
      <c r="F45" s="21" t="n">
        <f aca="false">E45</f>
        <v>160338.650730896</v>
      </c>
    </row>
    <row r="46" customFormat="false" ht="15" hidden="false" customHeight="true" outlineLevel="0" collapsed="false">
      <c r="A46" s="5" t="s">
        <v>101</v>
      </c>
      <c r="B46" s="10" t="s">
        <v>100</v>
      </c>
      <c r="C46" s="20" t="n">
        <f aca="false">INDEX(Revenue!$D$23:$AM$23,1,12*C$4)</f>
        <v>509.70107475697</v>
      </c>
      <c r="D46" s="20" t="n">
        <f aca="false">INDEX(Revenue!$D$23:$AM$23,1,12*D$4)</f>
        <v>2021.02940577755</v>
      </c>
      <c r="E46" s="20" t="n">
        <f aca="false">INDEX(Revenue!$D$23:$AM$23,1,12*E$4)</f>
        <v>4371.04966871702</v>
      </c>
      <c r="F46" s="21" t="n">
        <f aca="false">E46</f>
        <v>4371.04966871702</v>
      </c>
    </row>
    <row r="47" customFormat="false" ht="15" hidden="false" customHeight="true" outlineLevel="0" collapsed="false">
      <c r="A47" s="5" t="s">
        <v>102</v>
      </c>
      <c r="B47" s="10" t="s">
        <v>100</v>
      </c>
      <c r="C47" s="18" t="n">
        <f aca="false">INDEX(Revenue!$D$77:$AM$77,1,12*C$4)+INDEX(Revenue!$D$92:$AM$92,1,12*C$4)</f>
        <v>1.29166666666667</v>
      </c>
      <c r="D47" s="18" t="n">
        <f aca="false">INDEX(Revenue!$D$77:$AM$77,1,12*D$4)+INDEX(Revenue!$D$92:$AM$92,1,12*D$4)</f>
        <v>11.9363333333333</v>
      </c>
      <c r="E47" s="18" t="n">
        <f aca="false">INDEX(Revenue!$D$77:$AM$77,1,12*E$4)+INDEX(Revenue!$D$92:$AM$92,1,12*E$4)</f>
        <v>38.032</v>
      </c>
      <c r="F47" s="19" t="n">
        <f aca="false">E47</f>
        <v>38.032</v>
      </c>
    </row>
    <row r="48" customFormat="false" ht="15" hidden="false" customHeight="true" outlineLevel="0" collapsed="false">
      <c r="A48" s="5" t="s">
        <v>103</v>
      </c>
      <c r="B48" s="10" t="s">
        <v>100</v>
      </c>
      <c r="C48" s="18" t="n">
        <f aca="false">SUMIF(Revenue!$D$5:$AM$5,C$4,Revenue!$D$42:$AM$42)</f>
        <v>4</v>
      </c>
      <c r="D48" s="18" t="n">
        <f aca="false">SUMIF(Revenue!$D$5:$AM$5,D$4,Revenue!$D$42:$AM$42)</f>
        <v>10</v>
      </c>
      <c r="E48" s="18" t="n">
        <f aca="false">SUMIF(Revenue!$D$5:$AM$5,E$4,Revenue!$D$42:$AM$42)</f>
        <v>14</v>
      </c>
      <c r="F48" s="19" t="n">
        <f aca="false">SUM(C48:E48)</f>
        <v>28</v>
      </c>
    </row>
    <row r="49" customFormat="false" ht="15" hidden="false" customHeight="true" outlineLevel="0" collapsed="false">
      <c r="A49" s="5" t="s">
        <v>104</v>
      </c>
      <c r="B49" s="10" t="s">
        <v>100</v>
      </c>
      <c r="C49" s="18" t="n">
        <f aca="false">INDEX(Revenue!$D$116:$AM$116,1,12*C$4)</f>
        <v>0</v>
      </c>
      <c r="D49" s="18" t="n">
        <f aca="false">INDEX(Revenue!$D$116:$AM$116,1,12*D$4)</f>
        <v>60</v>
      </c>
      <c r="E49" s="18" t="n">
        <f aca="false">INDEX(Revenue!$D$116:$AM$116,1,12*E$4)</f>
        <v>222</v>
      </c>
      <c r="F49" s="19" t="n">
        <f aca="false">E49</f>
        <v>222</v>
      </c>
    </row>
    <row r="51" customFormat="false" ht="15" hidden="false" customHeight="true" outlineLevel="0" collapsed="false">
      <c r="A51" s="8" t="s">
        <v>105</v>
      </c>
      <c r="B51" s="9"/>
      <c r="C51" s="9"/>
      <c r="D51" s="9"/>
      <c r="E51" s="9"/>
      <c r="F51" s="9"/>
    </row>
    <row r="52" customFormat="false" ht="15" hidden="false" customHeight="true" outlineLevel="0" collapsed="false">
      <c r="A52" s="5" t="s">
        <v>106</v>
      </c>
      <c r="B52" s="10" t="s">
        <v>74</v>
      </c>
      <c r="C52" s="16" t="n">
        <f aca="false">IF((C16-C10)=0,0,(C16-C10-(SUMIF(Costs!$D$5:$AM$5,C$4,Costs!$D$33:$AM$33)-SUMIF(Costs!$D$5:$AM$5,C$4,Costs!$D$31:$AM$31)))/(C16-C10))</f>
        <v>-2.15436869826041</v>
      </c>
      <c r="D52" s="16" t="n">
        <f aca="false">IF((D16-D10)=0,0,(D16-D10-(SUMIF(Costs!$D$5:$AM$5,D$4,Costs!$D$33:$AM$33)-SUMIF(Costs!$D$5:$AM$5,D$4,Costs!$D$31:$AM$31)))/(D16-D10))</f>
        <v>-0.301500976399143</v>
      </c>
      <c r="E52" s="16" t="n">
        <f aca="false">IF((E16-E10)=0,0,(E16-E10-(SUMIF(Costs!$D$5:$AM$5,E$4,Costs!$D$33:$AM$33)-SUMIF(Costs!$D$5:$AM$5,E$4,Costs!$D$31:$AM$31)))/(E16-E10))</f>
        <v>0.364797374477411</v>
      </c>
      <c r="F52" s="17"/>
    </row>
    <row r="53" customFormat="false" ht="15" hidden="false" customHeight="true" outlineLevel="0" collapsed="false">
      <c r="A53" s="5" t="s">
        <v>107</v>
      </c>
      <c r="B53" s="10" t="s">
        <v>74</v>
      </c>
      <c r="C53" s="16" t="n">
        <f aca="false">IF(C10=0,0,(C10-SUMIF(Costs!$D$5:$AM$5,C$4,Costs!$D$31:$AM$31))/C10)</f>
        <v>0.308561001042753</v>
      </c>
      <c r="D53" s="16" t="n">
        <f aca="false">IF(D10=0,0,(D10-SUMIF(Costs!$D$5:$AM$5,D$4,Costs!$D$31:$AM$31))/D10)</f>
        <v>0.341319941172538</v>
      </c>
      <c r="E53" s="16" t="n">
        <f aca="false">IF(E10=0,0,(E10-SUMIF(Costs!$D$5:$AM$5,E$4,Costs!$D$31:$AM$31))/E10)</f>
        <v>0.349539230199852</v>
      </c>
      <c r="F53" s="17"/>
    </row>
    <row r="54" customFormat="false" ht="15" hidden="false" customHeight="true" outlineLevel="0" collapsed="false">
      <c r="A54" s="5" t="s">
        <v>108</v>
      </c>
      <c r="B54" s="10" t="s">
        <v>74</v>
      </c>
      <c r="C54" s="16" t="n">
        <f aca="false">IF(C16=0,0,SUMIF(Costs!$D$5:$AM$5,C$4,Costs!$D$21:$AM$21)/C16)</f>
        <v>0.201182696992791</v>
      </c>
      <c r="D54" s="16" t="n">
        <f aca="false">IF(D16=0,0,SUMIF(Costs!$D$5:$AM$5,D$4,Costs!$D$21:$AM$21)/D16)</f>
        <v>0.0714579133508315</v>
      </c>
      <c r="E54" s="16" t="n">
        <f aca="false">IF(E16=0,0,SUMIF(Costs!$D$5:$AM$5,E$4,Costs!$D$21:$AM$21)/E16)</f>
        <v>0.0585059111026673</v>
      </c>
      <c r="F54" s="17"/>
    </row>
    <row r="55" customFormat="false" ht="15" hidden="false" customHeight="true" outlineLevel="0" collapsed="false">
      <c r="A55" s="5" t="s">
        <v>109</v>
      </c>
      <c r="B55" s="10" t="s">
        <v>64</v>
      </c>
      <c r="C55" s="11" t="n">
        <f aca="false">IF((SUMIF(Headcount!$D$5:$AM$5,C$4,Headcount!$D$72:$AM$72)/12)=0,0,C16/((SUMIF(Headcount!$D$5:$AM$5,C$4,Headcount!$D$72:$AM$72)/12)))</f>
        <v>15020.0369559548</v>
      </c>
      <c r="D55" s="11" t="n">
        <f aca="false">IF((SUMIF(Headcount!$D$5:$AM$5,D$4,Headcount!$D$72:$AM$72)/12)=0,0,D16/((SUMIF(Headcount!$D$5:$AM$5,D$4,Headcount!$D$72:$AM$72)/12)))</f>
        <v>38066.2185162561</v>
      </c>
      <c r="E55" s="11" t="n">
        <f aca="false">IF((SUMIF(Headcount!$D$5:$AM$5,E$4,Headcount!$D$72:$AM$72)/12)=0,0,E16/((SUMIF(Headcount!$D$5:$AM$5,E$4,Headcount!$D$72:$AM$72)/12)))</f>
        <v>96255.1104689452</v>
      </c>
      <c r="F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9"/>
    <col collapsed="false" customWidth="true" hidden="false" outlineLevel="0" max="6" min="3" style="1" width="19"/>
    <col collapsed="false" customWidth="true" hidden="false" outlineLevel="0" max="9" min="7" style="1" width="14"/>
  </cols>
  <sheetData>
    <row r="1" customFormat="false" ht="17.25" hidden="false" customHeight="true" outlineLevel="0" collapsed="false">
      <c r="A1" s="2" t="s">
        <v>110</v>
      </c>
    </row>
    <row r="2" customFormat="false" ht="15" hidden="false" customHeight="true" outlineLevel="0" collapsed="false">
      <c r="A2" s="3" t="s">
        <v>57</v>
      </c>
      <c r="B2" s="3" t="str">
        <f aca="false">Scenario_Control!$E$3</f>
        <v>Base</v>
      </c>
    </row>
    <row r="3" customFormat="false" ht="15" hidden="false" customHeight="true" outlineLevel="0" collapsed="false">
      <c r="A3" s="10" t="s">
        <v>111</v>
      </c>
    </row>
    <row r="4" customFormat="false" ht="15" hidden="false" customHeight="true" outlineLevel="0" collapsed="false">
      <c r="A4" s="3" t="s">
        <v>58</v>
      </c>
      <c r="C4" s="6" t="n">
        <v>1</v>
      </c>
      <c r="D4" s="6" t="n">
        <v>2</v>
      </c>
      <c r="E4" s="6" t="n">
        <v>3</v>
      </c>
    </row>
    <row r="6" customFormat="false" ht="23.25" hidden="false" customHeight="true" outlineLevel="0" collapsed="false">
      <c r="A6" s="7" t="s">
        <v>59</v>
      </c>
      <c r="B6" s="7" t="s">
        <v>60</v>
      </c>
      <c r="C6" s="7" t="str">
        <f aca="false">"Year "&amp;C4&amp;" ("&amp;TEXT(EDATE(Assumptions!$D$6,12*(C4-1)),"mmm-yy")&amp;" to "&amp;TEXT(EDATE(Assumptions!$D$6,12*C4-1),"mmm-yy")&amp;")"</f>
        <v>Year 1 (Nov-26 to Oct-27)</v>
      </c>
      <c r="D6" s="7" t="str">
        <f aca="false">"Year "&amp;D4&amp;" ("&amp;TEXT(EDATE(Assumptions!$D$6,12*(D4-1)),"mmm-yy")&amp;" to "&amp;TEXT(EDATE(Assumptions!$D$6,12*D4-1),"mmm-yy")&amp;")"</f>
        <v>Year 2 (Nov-27 to Oct-28)</v>
      </c>
      <c r="E6" s="7" t="str">
        <f aca="false">"Year "&amp;E4&amp;" ("&amp;TEXT(EDATE(Assumptions!$D$6,12*(E4-1)),"mmm-yy")&amp;" to "&amp;TEXT(EDATE(Assumptions!$D$6,12*E4-1),"mmm-yy")&amp;")"</f>
        <v>Year 3 (Nov-28 to Oct-29)</v>
      </c>
      <c r="F6" s="7" t="s">
        <v>61</v>
      </c>
      <c r="G6" s="7" t="s">
        <v>112</v>
      </c>
      <c r="H6" s="7" t="s">
        <v>113</v>
      </c>
      <c r="I6" s="7" t="s">
        <v>114</v>
      </c>
    </row>
    <row r="7" customFormat="false" ht="15" hidden="false" customHeight="true" outlineLevel="0" collapsed="false">
      <c r="A7" s="8" t="s">
        <v>115</v>
      </c>
      <c r="B7" s="9"/>
      <c r="C7" s="9"/>
      <c r="D7" s="9"/>
      <c r="E7" s="9"/>
      <c r="F7" s="9"/>
      <c r="G7" s="9"/>
      <c r="H7" s="9"/>
      <c r="I7" s="9"/>
    </row>
    <row r="8" customFormat="false" ht="15" hidden="false" customHeight="true" outlineLevel="0" collapsed="false">
      <c r="A8" s="5" t="s">
        <v>72</v>
      </c>
      <c r="B8" s="10" t="s">
        <v>64</v>
      </c>
      <c r="C8" s="11" t="n">
        <f aca="false">Summary!C16</f>
        <v>158962.057783855</v>
      </c>
      <c r="D8" s="11" t="n">
        <f aca="false">Summary!D16</f>
        <v>1386244.79096699</v>
      </c>
      <c r="E8" s="11" t="n">
        <f aca="false">Summary!E16</f>
        <v>4716500.41297831</v>
      </c>
      <c r="F8" s="12" t="n">
        <f aca="false">SUM(C8:E8)</f>
        <v>6261707.26172916</v>
      </c>
    </row>
    <row r="9" customFormat="false" ht="15" hidden="false" customHeight="true" outlineLevel="0" collapsed="false">
      <c r="A9" s="5" t="s">
        <v>116</v>
      </c>
      <c r="B9" s="10" t="s">
        <v>64</v>
      </c>
      <c r="C9" s="11" t="n">
        <f aca="false">Summary!C40</f>
        <v>116792.567253205</v>
      </c>
      <c r="D9" s="11" t="n">
        <f aca="false">Summary!D40</f>
        <v>1244957.74237832</v>
      </c>
      <c r="E9" s="11" t="n">
        <f aca="false">Summary!E40</f>
        <v>4339103.43019746</v>
      </c>
      <c r="F9" s="12" t="n">
        <f aca="false">E9</f>
        <v>4339103.43019746</v>
      </c>
    </row>
    <row r="10" customFormat="false" ht="15" hidden="false" customHeight="true" outlineLevel="0" collapsed="false">
      <c r="A10" s="5" t="s">
        <v>117</v>
      </c>
      <c r="B10" s="10" t="s">
        <v>74</v>
      </c>
      <c r="C10" s="16" t="str">
        <f aca="false">IF(IF(C$4=1,0,INDEX(Revenue!$D$148:$AM$148,1,12*(C$4-1)))=0,"n/a",INDEX(Revenue!$D$148:$AM$148,1,12*C$4)/IF(C$4=1,0,INDEX(Revenue!$D$148:$AM$148,1,12*(C$4-1)))-1)</f>
        <v>n/a</v>
      </c>
      <c r="D10" s="16" t="n">
        <f aca="false">IF(IF(D$4=1,0,INDEX(Revenue!$D$148:$AM$148,1,12*(D$4-1)))=0,"n/a",INDEX(Revenue!$D$148:$AM$148,1,12*D$4)/IF(D$4=1,0,INDEX(Revenue!$D$148:$AM$148,1,12*(D$4-1)))-1)</f>
        <v>9.65956311825279</v>
      </c>
      <c r="E10" s="16" t="n">
        <f aca="false">IF(IF(E$4=1,0,INDEX(Revenue!$D$148:$AM$148,1,12*(E$4-1)))=0,"n/a",INDEX(Revenue!$D$148:$AM$148,1,12*E$4)/IF(E$4=1,0,INDEX(Revenue!$D$148:$AM$148,1,12*(E$4-1)))-1)</f>
        <v>2.48534193771765</v>
      </c>
      <c r="F10" s="17"/>
    </row>
    <row r="11" customFormat="false" ht="15" hidden="false" customHeight="true" outlineLevel="0" collapsed="false">
      <c r="A11" s="5" t="s">
        <v>118</v>
      </c>
      <c r="B11" s="10" t="s">
        <v>74</v>
      </c>
      <c r="C11" s="16" t="n">
        <f aca="false">Summary!C23</f>
        <v>-0.739266362903824</v>
      </c>
      <c r="D11" s="16" t="n">
        <f aca="false">Summary!D23</f>
        <v>0.0288178604570894</v>
      </c>
      <c r="E11" s="16" t="n">
        <f aca="false">Summary!E23</f>
        <v>0.35896995976621</v>
      </c>
      <c r="F11" s="17"/>
    </row>
    <row r="12" customFormat="false" ht="15" hidden="false" customHeight="true" outlineLevel="0" collapsed="false">
      <c r="A12" s="5" t="s">
        <v>106</v>
      </c>
      <c r="B12" s="10" t="s">
        <v>74</v>
      </c>
      <c r="C12" s="16" t="n">
        <f aca="false">Summary!C52</f>
        <v>-2.15436869826041</v>
      </c>
      <c r="D12" s="16" t="n">
        <f aca="false">Summary!D52</f>
        <v>-0.301500976399143</v>
      </c>
      <c r="E12" s="16" t="n">
        <f aca="false">Summary!E52</f>
        <v>0.364797374477411</v>
      </c>
      <c r="F12" s="17"/>
      <c r="G12" s="22" t="n">
        <v>0.7</v>
      </c>
      <c r="H12" s="5" t="s">
        <v>119</v>
      </c>
      <c r="I12" s="23" t="str">
        <f aca="false">IF(ISNUMBER(E12),IF(H12="&gt;=",IF(E12&gt;=G12,"MET","NOT MET"),IF(E12&lt;=G12,"MET","NOT MET")),"n/a")</f>
        <v>NOT MET</v>
      </c>
    </row>
    <row r="13" customFormat="false" ht="15" hidden="false" customHeight="true" outlineLevel="0" collapsed="false">
      <c r="A13" s="5" t="s">
        <v>107</v>
      </c>
      <c r="B13" s="10" t="s">
        <v>74</v>
      </c>
      <c r="C13" s="16" t="n">
        <f aca="false">Summary!C53</f>
        <v>0.308561001042753</v>
      </c>
      <c r="D13" s="16" t="n">
        <f aca="false">Summary!D53</f>
        <v>0.341319941172538</v>
      </c>
      <c r="E13" s="16" t="n">
        <f aca="false">Summary!E53</f>
        <v>0.349539230199852</v>
      </c>
      <c r="F13" s="17"/>
      <c r="G13" s="22" t="n">
        <v>0.3</v>
      </c>
      <c r="H13" s="5" t="s">
        <v>119</v>
      </c>
      <c r="I13" s="23" t="str">
        <f aca="false">IF(ISNUMBER(E13),IF(H13="&gt;=",IF(E13&gt;=G13,"MET","NOT MET"),IF(E13&lt;=G13,"MET","NOT MET")),"n/a")</f>
        <v>MET</v>
      </c>
    </row>
    <row r="14" customFormat="false" ht="15" hidden="false" customHeight="true" outlineLevel="0" collapsed="false">
      <c r="A14" s="5" t="s">
        <v>120</v>
      </c>
      <c r="B14" s="10" t="s">
        <v>64</v>
      </c>
      <c r="C14" s="11" t="n">
        <f aca="false">Summary!C16-SUMIF(Costs!$D$5:$AM$5,C$4,Costs!$D$33:$AM$33)-SUMIF(Costs!$D$5:$AM$5,C$4,Costs!$D$41:$AM$41)-SUMIF(Costs!$D$5:$AM$5,C$4,Costs!$D$43:$AM$43)-SUMIF(Costs!$D$5:$AM$5,C$4,Costs!$D$39:$AM$39)</f>
        <v>-154726.466533689</v>
      </c>
      <c r="D14" s="11" t="n">
        <f aca="false">Summary!D16-SUMIF(Costs!$D$5:$AM$5,D$4,Costs!$D$33:$AM$33)-SUMIF(Costs!$D$5:$AM$5,D$4,Costs!$D$41:$AM$41)-SUMIF(Costs!$D$5:$AM$5,D$4,Costs!$D$43:$AM$43)-SUMIF(Costs!$D$5:$AM$5,D$4,Costs!$D$39:$AM$39)</f>
        <v>-152765.766843435</v>
      </c>
      <c r="E14" s="11" t="n">
        <f aca="false">Summary!E16-SUMIF(Costs!$D$5:$AM$5,E$4,Costs!$D$33:$AM$33)-SUMIF(Costs!$D$5:$AM$5,E$4,Costs!$D$41:$AM$41)-SUMIF(Costs!$D$5:$AM$5,E$4,Costs!$D$43:$AM$43)-SUMIF(Costs!$D$5:$AM$5,E$4,Costs!$D$39:$AM$39)</f>
        <v>1263156.31811291</v>
      </c>
      <c r="F14" s="12" t="n">
        <f aca="false">SUM(C14:E14)</f>
        <v>955664.084735781</v>
      </c>
    </row>
    <row r="15" customFormat="false" ht="15" hidden="false" customHeight="true" outlineLevel="0" collapsed="false">
      <c r="A15" s="5" t="s">
        <v>121</v>
      </c>
      <c r="B15" s="10" t="s">
        <v>74</v>
      </c>
      <c r="C15" s="16" t="n">
        <f aca="false">IF(Summary!C16=0,0,C14/Summary!C16)</f>
        <v>-0.973354702944742</v>
      </c>
      <c r="D15" s="16" t="n">
        <f aca="false">IF(Summary!D16=0,0,D14/Summary!D16)</f>
        <v>-0.110201147617566</v>
      </c>
      <c r="E15" s="16" t="n">
        <f aca="false">IF(Summary!E16=0,0,E14/Summary!E16)</f>
        <v>0.267816433268425</v>
      </c>
      <c r="F15" s="17"/>
    </row>
    <row r="17" customFormat="false" ht="15" hidden="false" customHeight="true" outlineLevel="0" collapsed="false">
      <c r="A17" s="8" t="s">
        <v>122</v>
      </c>
      <c r="B17" s="9"/>
      <c r="C17" s="9"/>
      <c r="D17" s="9"/>
      <c r="E17" s="9"/>
      <c r="F17" s="9"/>
      <c r="G17" s="9"/>
      <c r="H17" s="9"/>
      <c r="I17" s="9"/>
    </row>
    <row r="18" customFormat="false" ht="15" hidden="false" customHeight="true" outlineLevel="0" collapsed="false">
      <c r="A18" s="5" t="s">
        <v>123</v>
      </c>
      <c r="B18" s="10" t="s">
        <v>100</v>
      </c>
      <c r="C18" s="20" t="n">
        <f aca="false">SUMIF(Revenue!$D$5:$AM$5,C$4,Revenue!$D$13:$AM$13)</f>
        <v>18750</v>
      </c>
      <c r="D18" s="20" t="n">
        <f aca="false">SUMIF(Revenue!$D$5:$AM$5,D$4,Revenue!$D$13:$AM$13)</f>
        <v>60000</v>
      </c>
      <c r="E18" s="20" t="n">
        <f aca="false">SUMIF(Revenue!$D$5:$AM$5,E$4,Revenue!$D$13:$AM$13)</f>
        <v>105000</v>
      </c>
      <c r="F18" s="21" t="n">
        <f aca="false">SUM(C18:E18)</f>
        <v>183750</v>
      </c>
    </row>
    <row r="19" customFormat="false" ht="15" hidden="false" customHeight="true" outlineLevel="0" collapsed="false">
      <c r="A19" s="5" t="s">
        <v>124</v>
      </c>
      <c r="B19" s="10" t="s">
        <v>100</v>
      </c>
      <c r="C19" s="20" t="n">
        <f aca="false">SUMIF(Revenue!$D$5:$AM$5,C$4,Revenue!$D$14:$AM$14)</f>
        <v>9375</v>
      </c>
      <c r="D19" s="20" t="n">
        <f aca="false">SUMIF(Revenue!$D$5:$AM$5,D$4,Revenue!$D$14:$AM$14)</f>
        <v>30000</v>
      </c>
      <c r="E19" s="20" t="n">
        <f aca="false">SUMIF(Revenue!$D$5:$AM$5,E$4,Revenue!$D$14:$AM$14)</f>
        <v>52500</v>
      </c>
      <c r="F19" s="21" t="n">
        <f aca="false">SUM(C19:E19)</f>
        <v>91875</v>
      </c>
    </row>
    <row r="20" customFormat="false" ht="15" hidden="false" customHeight="true" outlineLevel="0" collapsed="false">
      <c r="A20" s="5" t="s">
        <v>125</v>
      </c>
      <c r="B20" s="10" t="s">
        <v>100</v>
      </c>
      <c r="C20" s="20" t="n">
        <f aca="false">SUMIF(Revenue!$D$5:$AM$5,C$4,Revenue!$D$15:$AM$15)</f>
        <v>562.5</v>
      </c>
      <c r="D20" s="20" t="n">
        <f aca="false">SUMIF(Revenue!$D$5:$AM$5,D$4,Revenue!$D$15:$AM$15)</f>
        <v>1950</v>
      </c>
      <c r="E20" s="20" t="n">
        <f aca="false">SUMIF(Revenue!$D$5:$AM$5,E$4,Revenue!$D$15:$AM$15)</f>
        <v>3675</v>
      </c>
      <c r="F20" s="21" t="n">
        <f aca="false">SUM(C20:E20)</f>
        <v>6187.5</v>
      </c>
    </row>
    <row r="21" customFormat="false" ht="15" hidden="false" customHeight="true" outlineLevel="0" collapsed="false">
      <c r="A21" s="5" t="s">
        <v>126</v>
      </c>
      <c r="B21" s="10" t="s">
        <v>64</v>
      </c>
      <c r="C21" s="11" t="n">
        <f aca="false">SUMIF(Revenue!$D$5:$AM$5,C$4,Revenue!$D$11:$AM$11)</f>
        <v>30000</v>
      </c>
      <c r="D21" s="11" t="n">
        <f aca="false">SUMIF(Revenue!$D$5:$AM$5,D$4,Revenue!$D$11:$AM$11)</f>
        <v>90000</v>
      </c>
      <c r="E21" s="11" t="n">
        <f aca="false">SUMIF(Revenue!$D$5:$AM$5,E$4,Revenue!$D$11:$AM$11)</f>
        <v>150000</v>
      </c>
      <c r="F21" s="12" t="n">
        <f aca="false">SUM(C21:E21)</f>
        <v>270000</v>
      </c>
    </row>
    <row r="22" customFormat="false" ht="15" hidden="false" customHeight="true" outlineLevel="0" collapsed="false">
      <c r="A22" s="5" t="s">
        <v>127</v>
      </c>
      <c r="B22" s="10" t="s">
        <v>64</v>
      </c>
      <c r="C22" s="11" t="n">
        <f aca="false">IF(C20=0,0,C21/C20)</f>
        <v>53.3333333333333</v>
      </c>
      <c r="D22" s="11" t="n">
        <f aca="false">IF(D20=0,0,D21/D20)</f>
        <v>46.1538461538462</v>
      </c>
      <c r="E22" s="11" t="n">
        <f aca="false">IF(E20=0,0,E21/E20)</f>
        <v>40.8163265306122</v>
      </c>
      <c r="F22" s="12"/>
    </row>
    <row r="23" customFormat="false" ht="15" hidden="false" customHeight="true" outlineLevel="0" collapsed="false">
      <c r="A23" s="5" t="s">
        <v>128</v>
      </c>
      <c r="B23" s="10" t="s">
        <v>64</v>
      </c>
      <c r="C23" s="11" t="n">
        <f aca="false">IF(C20=0,0,(C21+SUMIF(Headcount!$D$5:$AM$5,C$4,Headcount!$D$63:$AM$63)+0.5*SUMIF(Headcount!$D$5:$AM$5,C$4,Headcount!$D$65:$AM$65)+0.5*INDEX(Assumptions!$D$140:$F$140,1,C$4))/C20)</f>
        <v>177.777777777778</v>
      </c>
      <c r="D23" s="11" t="n">
        <f aca="false">IF(D20=0,0,(D21+SUMIF(Headcount!$D$5:$AM$5,D$4,Headcount!$D$63:$AM$63)+0.5*SUMIF(Headcount!$D$5:$AM$5,D$4,Headcount!$D$65:$AM$65)+0.5*INDEX(Assumptions!$D$140:$F$140,1,D$4))/D20)</f>
        <v>225.084615384615</v>
      </c>
      <c r="E23" s="11" t="n">
        <f aca="false">IF(E20=0,0,(E21+SUMIF(Headcount!$D$5:$AM$5,E$4,Headcount!$D$63:$AM$63)+0.5*SUMIF(Headcount!$D$5:$AM$5,E$4,Headcount!$D$65:$AM$65)+0.5*INDEX(Assumptions!$D$140:$F$140,1,E$4))/E20)</f>
        <v>156.36337414966</v>
      </c>
      <c r="F23" s="12"/>
    </row>
    <row r="24" customFormat="false" ht="15" hidden="false" customHeight="true" outlineLevel="0" collapsed="false">
      <c r="A24" s="5" t="s">
        <v>129</v>
      </c>
      <c r="B24" s="10" t="s">
        <v>64</v>
      </c>
      <c r="C24" s="24" t="n">
        <f aca="false">IF((SUMIF(Revenue!$D$5:$AM$5,C$4,Revenue!$D$23:$AM$23)/12)=0,0,SUMIF(Revenue!$D$5:$AM$5,C$4,Revenue!$D$132:$AM$132)/(SUMIF(Revenue!$D$5:$AM$5,C$4,Revenue!$D$23:$AM$23)/12)/12)</f>
        <v>5.20095903465157</v>
      </c>
      <c r="D24" s="24" t="n">
        <f aca="false">IF((SUMIF(Revenue!$D$5:$AM$5,D$4,Revenue!$D$23:$AM$23)/12)=0,0,SUMIF(Revenue!$D$5:$AM$5,D$4,Revenue!$D$132:$AM$132)/(SUMIF(Revenue!$D$5:$AM$5,D$4,Revenue!$D$23:$AM$23)/12)/12)</f>
        <v>5.14021075624018</v>
      </c>
      <c r="E24" s="24" t="n">
        <f aca="false">IF((SUMIF(Revenue!$D$5:$AM$5,E$4,Revenue!$D$23:$AM$23)/12)=0,0,SUMIF(Revenue!$D$5:$AM$5,E$4,Revenue!$D$132:$AM$132)/(SUMIF(Revenue!$D$5:$AM$5,E$4,Revenue!$D$23:$AM$23)/12)/12)</f>
        <v>5.09262961233493</v>
      </c>
      <c r="F24" s="25"/>
    </row>
    <row r="25" customFormat="false" ht="15" hidden="false" customHeight="true" outlineLevel="0" collapsed="false">
      <c r="A25" s="5" t="s">
        <v>130</v>
      </c>
      <c r="B25" s="10" t="s">
        <v>64</v>
      </c>
      <c r="C25" s="24" t="n">
        <f aca="false">Assumptions!$D$120+INDEX(Assumptions!$D$121:$F$121,1,C$4)*Assumptions!$D$122*Assumptions!$D$123+Assumptions!$D$124*Assumptions!$D$125+Assumptions!$D$127+Assumptions!$D$128</f>
        <v>0.1915</v>
      </c>
      <c r="D25" s="24" t="n">
        <f aca="false">Assumptions!$D$120+INDEX(Assumptions!$D$121:$F$121,1,D$4)*Assumptions!$D$122*Assumptions!$D$123+Assumptions!$D$124*Assumptions!$D$125+Assumptions!$D$127+Assumptions!$D$128</f>
        <v>0.2007</v>
      </c>
      <c r="E25" s="24" t="n">
        <f aca="false">Assumptions!$D$120+INDEX(Assumptions!$D$121:$F$121,1,E$4)*Assumptions!$D$122*Assumptions!$D$123+Assumptions!$D$124*Assumptions!$D$125+Assumptions!$D$127+Assumptions!$D$128</f>
        <v>0.2122</v>
      </c>
      <c r="F25" s="25"/>
    </row>
    <row r="26" customFormat="false" ht="15" hidden="false" customHeight="true" outlineLevel="0" collapsed="false">
      <c r="A26" s="5" t="s">
        <v>131</v>
      </c>
      <c r="B26" s="10" t="s">
        <v>64</v>
      </c>
      <c r="C26" s="24" t="n">
        <f aca="false">Assumptions!$D$89*Assumptions!$D$201*(1+Assumptions!$D$104)</f>
        <v>0.58368</v>
      </c>
      <c r="D26" s="24" t="n">
        <f aca="false">Assumptions!$D$89*Assumptions!$D$201*(1+Assumptions!$D$104)</f>
        <v>0.58368</v>
      </c>
      <c r="E26" s="24" t="n">
        <f aca="false">Assumptions!$D$89*Assumptions!$D$201*(1+Assumptions!$D$104)</f>
        <v>0.58368</v>
      </c>
      <c r="F26" s="25"/>
    </row>
    <row r="27" customFormat="false" ht="15" hidden="false" customHeight="true" outlineLevel="0" collapsed="false">
      <c r="A27" s="5" t="s">
        <v>132</v>
      </c>
      <c r="B27" s="10" t="s">
        <v>64</v>
      </c>
      <c r="C27" s="24" t="n">
        <f aca="false">Assumptions!$D$133/100*Assumptions!$D$135</f>
        <v>0.09</v>
      </c>
      <c r="D27" s="24" t="n">
        <f aca="false">Assumptions!$D$133/100*Assumptions!$D$135</f>
        <v>0.09</v>
      </c>
      <c r="E27" s="24" t="n">
        <f aca="false">Assumptions!$D$133/100*Assumptions!$D$135</f>
        <v>0.09</v>
      </c>
      <c r="F27" s="25"/>
    </row>
    <row r="28" customFormat="false" ht="15" hidden="false" customHeight="true" outlineLevel="0" collapsed="false">
      <c r="A28" s="5" t="s">
        <v>133</v>
      </c>
      <c r="B28" s="10" t="s">
        <v>74</v>
      </c>
      <c r="C28" s="16" t="n">
        <f aca="false">IF(SUMIF(Revenue!$D$5:$AM$5,C$4,Revenue!$D$27:$AM$27)=0,0,SUMIF(Revenue!$D$5:$AM$5,C$4,Revenue!$D$35:$AM$35)/SUMIF(Revenue!$D$5:$AM$5,C$4,Revenue!$D$27:$AM$27))</f>
        <v>0.0800681600192468</v>
      </c>
      <c r="D28" s="16" t="n">
        <f aca="false">IF(SUMIF(Revenue!$D$5:$AM$5,D$4,Revenue!$D$27:$AM$27)=0,0,SUMIF(Revenue!$D$5:$AM$5,D$4,Revenue!$D$35:$AM$35)/SUMIF(Revenue!$D$5:$AM$5,D$4,Revenue!$D$27:$AM$27))</f>
        <v>0.0805766408317419</v>
      </c>
      <c r="E28" s="16" t="n">
        <f aca="false">IF(SUMIF(Revenue!$D$5:$AM$5,E$4,Revenue!$D$27:$AM$27)=0,0,SUMIF(Revenue!$D$5:$AM$5,E$4,Revenue!$D$35:$AM$35)/SUMIF(Revenue!$D$5:$AM$5,E$4,Revenue!$D$27:$AM$27))</f>
        <v>0.0808070380926782</v>
      </c>
      <c r="F28" s="17"/>
    </row>
    <row r="29" customFormat="false" ht="15" hidden="false" customHeight="true" outlineLevel="0" collapsed="false">
      <c r="A29" s="5" t="s">
        <v>134</v>
      </c>
      <c r="B29" s="10" t="s">
        <v>74</v>
      </c>
      <c r="C29" s="16" t="n">
        <f aca="false">IF(C24=0,0,1-(C25+C26+C27)/C24-C28)</f>
        <v>0.753581750653822</v>
      </c>
      <c r="D29" s="16" t="n">
        <f aca="false">IF(D24=0,0,1-(D25+D26+D27)/D24-D28)</f>
        <v>0.749317493579282</v>
      </c>
      <c r="E29" s="16" t="n">
        <f aca="false">IF(E24=0,0,1-(E25+E26+E27)/E24-E28)</f>
        <v>0.745239608250049</v>
      </c>
      <c r="F29" s="17"/>
    </row>
    <row r="30" customFormat="false" ht="15" hidden="false" customHeight="true" outlineLevel="0" collapsed="false">
      <c r="A30" s="5" t="s">
        <v>135</v>
      </c>
      <c r="B30" s="10" t="s">
        <v>92</v>
      </c>
      <c r="C30" s="18" t="n">
        <f aca="false">Assumptions!$D$17*12*(1+Assumptions!$D$198+Assumptions!$D$198*Assumptions!$D$199)+(1-Assumptions!$D$17)/Assumptions!$D$197</f>
        <v>19.468</v>
      </c>
      <c r="D30" s="18" t="n">
        <f aca="false">Assumptions!$D$17*12*(1+Assumptions!$D$198+Assumptions!$D$198*Assumptions!$D$199)+(1-Assumptions!$D$17)/Assumptions!$D$197</f>
        <v>19.468</v>
      </c>
      <c r="E30" s="18" t="n">
        <f aca="false">Assumptions!$D$17*12*(1+Assumptions!$D$198+Assumptions!$D$198*Assumptions!$D$199)+(1-Assumptions!$D$17)/Assumptions!$D$197</f>
        <v>19.468</v>
      </c>
      <c r="F30" s="19"/>
    </row>
    <row r="31" customFormat="false" ht="15" hidden="false" customHeight="true" outlineLevel="0" collapsed="false">
      <c r="A31" s="5" t="s">
        <v>136</v>
      </c>
      <c r="B31" s="10" t="s">
        <v>64</v>
      </c>
      <c r="C31" s="11" t="n">
        <f aca="false">C24*C29*C30</f>
        <v>76.3018632509639</v>
      </c>
      <c r="D31" s="11" t="n">
        <f aca="false">D24*D29*D30</f>
        <v>74.9839190916449</v>
      </c>
      <c r="E31" s="11" t="n">
        <f aca="false">E24*E29*E30</f>
        <v>73.8855239590398</v>
      </c>
      <c r="F31" s="12"/>
    </row>
    <row r="32" customFormat="false" ht="15" hidden="false" customHeight="true" outlineLevel="0" collapsed="false">
      <c r="A32" s="5" t="s">
        <v>137</v>
      </c>
      <c r="B32" s="10" t="s">
        <v>138</v>
      </c>
      <c r="C32" s="26" t="n">
        <f aca="false">IF(C23=0,0,C31/C23)</f>
        <v>0.429197980786672</v>
      </c>
      <c r="D32" s="26" t="n">
        <f aca="false">IF(D23=0,0,D31/D23)</f>
        <v>0.333136580496696</v>
      </c>
      <c r="E32" s="26" t="n">
        <f aca="false">IF(E23=0,0,E31/E23)</f>
        <v>0.472524492137922</v>
      </c>
      <c r="F32" s="27"/>
      <c r="G32" s="28" t="n">
        <v>3</v>
      </c>
      <c r="H32" s="5" t="s">
        <v>119</v>
      </c>
      <c r="I32" s="23" t="str">
        <f aca="false">IF(ISNUMBER(E32),IF(H32="&gt;=",IF(E32&gt;=G32,"MET","NOT MET"),IF(E32&lt;=G32,"MET","NOT MET")),"n/a")</f>
        <v>NOT MET</v>
      </c>
    </row>
    <row r="33" customFormat="false" ht="15" hidden="false" customHeight="true" outlineLevel="0" collapsed="false">
      <c r="A33" s="5" t="s">
        <v>139</v>
      </c>
      <c r="B33" s="10" t="s">
        <v>92</v>
      </c>
      <c r="C33" s="18" t="n">
        <f aca="false">IF(C24*C29&lt;=0,"n/m",C23/(C24*C29))</f>
        <v>45.359020478888</v>
      </c>
      <c r="D33" s="18" t="n">
        <f aca="false">IF(D24*D29&lt;=0,"n/m",D23/(D24*D29))</f>
        <v>58.4384938182826</v>
      </c>
      <c r="E33" s="18" t="n">
        <f aca="false">IF(E24*E29&lt;=0,"n/m",E23/(E24*E29))</f>
        <v>41.1999807923557</v>
      </c>
      <c r="F33" s="19"/>
      <c r="G33" s="29" t="n">
        <v>12</v>
      </c>
      <c r="H33" s="5" t="s">
        <v>140</v>
      </c>
      <c r="I33" s="23" t="str">
        <f aca="false">IF(ISNUMBER(E33),IF(H33="&gt;=",IF(E33&gt;=G33,"MET","NOT MET"),IF(E33&lt;=G33,"MET","NOT MET")),"n/a")</f>
        <v>NOT MET</v>
      </c>
    </row>
    <row r="34" customFormat="false" ht="15" hidden="false" customHeight="true" outlineLevel="0" collapsed="false">
      <c r="A34" s="5" t="s">
        <v>141</v>
      </c>
      <c r="B34" s="10" t="s">
        <v>64</v>
      </c>
      <c r="C34" s="24" t="n">
        <f aca="false">C25+Assumptions!$D$88*Assumptions!$D$201*(1+Assumptions!$D$104)+C27</f>
        <v>0.398236</v>
      </c>
      <c r="D34" s="24" t="n">
        <f aca="false">D25+Assumptions!$D$88*Assumptions!$D$201*(1+Assumptions!$D$104)+D27</f>
        <v>0.407436</v>
      </c>
      <c r="E34" s="24" t="n">
        <f aca="false">E25+Assumptions!$D$88*Assumptions!$D$201*(1+Assumptions!$D$104)+E27</f>
        <v>0.418936</v>
      </c>
      <c r="F34" s="25"/>
    </row>
    <row r="35" customFormat="false" ht="15" hidden="false" customHeight="true" outlineLevel="0" collapsed="false">
      <c r="A35" s="5" t="s">
        <v>142</v>
      </c>
      <c r="B35" s="10" t="s">
        <v>143</v>
      </c>
      <c r="C35" s="16" t="n">
        <f aca="false">Assumptions!$D$197</f>
        <v>0.08</v>
      </c>
      <c r="D35" s="16" t="n">
        <f aca="false">Assumptions!$D$197</f>
        <v>0.08</v>
      </c>
      <c r="E35" s="16" t="n">
        <f aca="false">Assumptions!$D$197</f>
        <v>0.08</v>
      </c>
      <c r="F35" s="17"/>
    </row>
    <row r="36" customFormat="false" ht="15" hidden="false" customHeight="true" outlineLevel="0" collapsed="false">
      <c r="A36" s="5" t="s">
        <v>144</v>
      </c>
      <c r="B36" s="10" t="s">
        <v>74</v>
      </c>
      <c r="C36" s="16" t="n">
        <f aca="false">Assumptions!$D$198</f>
        <v>0.55</v>
      </c>
      <c r="D36" s="16" t="n">
        <f aca="false">Assumptions!$D$198</f>
        <v>0.55</v>
      </c>
      <c r="E36" s="16" t="n">
        <f aca="false">Assumptions!$D$198</f>
        <v>0.55</v>
      </c>
      <c r="F36" s="17"/>
    </row>
    <row r="38" customFormat="false" ht="15" hidden="false" customHeight="true" outlineLevel="0" collapsed="false">
      <c r="A38" s="8" t="s">
        <v>145</v>
      </c>
      <c r="B38" s="9"/>
      <c r="C38" s="9"/>
      <c r="D38" s="9"/>
      <c r="E38" s="9"/>
      <c r="F38" s="9"/>
      <c r="G38" s="9"/>
      <c r="H38" s="9"/>
      <c r="I38" s="9"/>
    </row>
    <row r="39" customFormat="false" ht="15" hidden="false" customHeight="true" outlineLevel="0" collapsed="false">
      <c r="A39" s="5" t="s">
        <v>146</v>
      </c>
      <c r="B39" s="10" t="s">
        <v>100</v>
      </c>
      <c r="C39" s="18" t="n">
        <f aca="false">SUMIF(Revenue!$D$5:$AM$5,C$4,Revenue!$D$42:$AM$42)</f>
        <v>4</v>
      </c>
      <c r="D39" s="18" t="n">
        <f aca="false">SUMIF(Revenue!$D$5:$AM$5,D$4,Revenue!$D$42:$AM$42)</f>
        <v>10</v>
      </c>
      <c r="E39" s="18" t="n">
        <f aca="false">SUMIF(Revenue!$D$5:$AM$5,E$4,Revenue!$D$42:$AM$42)</f>
        <v>14</v>
      </c>
      <c r="F39" s="19" t="n">
        <f aca="false">SUM(C39:E39)</f>
        <v>28</v>
      </c>
    </row>
    <row r="40" customFormat="false" ht="15" hidden="false" customHeight="true" outlineLevel="0" collapsed="false">
      <c r="A40" s="5" t="s">
        <v>147</v>
      </c>
      <c r="B40" s="10" t="s">
        <v>100</v>
      </c>
      <c r="C40" s="18" t="n">
        <f aca="false">SUMIF(Revenue!$D$5:$AM$5,C$4,Revenue!$D$48:$AM$48)+SUMIF(Revenue!$D$5:$AM$5,C$4,Revenue!$D$54:$AM$54)</f>
        <v>1</v>
      </c>
      <c r="D40" s="18" t="n">
        <f aca="false">SUMIF(Revenue!$D$5:$AM$5,D$4,Revenue!$D$48:$AM$48)+SUMIF(Revenue!$D$5:$AM$5,D$4,Revenue!$D$54:$AM$54)</f>
        <v>11</v>
      </c>
      <c r="E40" s="18" t="n">
        <f aca="false">SUMIF(Revenue!$D$5:$AM$5,E$4,Revenue!$D$48:$AM$48)+SUMIF(Revenue!$D$5:$AM$5,E$4,Revenue!$D$54:$AM$54)</f>
        <v>27</v>
      </c>
      <c r="F40" s="19" t="n">
        <f aca="false">SUM(C40:E40)</f>
        <v>39</v>
      </c>
    </row>
    <row r="41" customFormat="false" ht="15" hidden="false" customHeight="true" outlineLevel="0" collapsed="false">
      <c r="A41" s="5" t="s">
        <v>148</v>
      </c>
      <c r="B41" s="10" t="s">
        <v>100</v>
      </c>
      <c r="C41" s="18" t="n">
        <f aca="false">SUMIF(Revenue!$D$5:$AM$5,C$4,Revenue!$D$70:$AM$70)+SUMIF(Revenue!$D$5:$AM$5,C$4,Revenue!$D$85:$AM$85)</f>
        <v>1.29166666666667</v>
      </c>
      <c r="D41" s="18" t="n">
        <f aca="false">SUMIF(Revenue!$D$5:$AM$5,D$4,Revenue!$D$70:$AM$70)+SUMIF(Revenue!$D$5:$AM$5,D$4,Revenue!$D$85:$AM$85)</f>
        <v>10.7916666666667</v>
      </c>
      <c r="E41" s="18" t="n">
        <f aca="false">SUMIF(Revenue!$D$5:$AM$5,E$4,Revenue!$D$70:$AM$70)+SUMIF(Revenue!$D$5:$AM$5,E$4,Revenue!$D$85:$AM$85)</f>
        <v>27.4166666666667</v>
      </c>
      <c r="F41" s="19" t="n">
        <f aca="false">SUM(C41:E41)</f>
        <v>39.5</v>
      </c>
    </row>
    <row r="42" customFormat="false" ht="15" hidden="false" customHeight="true" outlineLevel="0" collapsed="false">
      <c r="A42" s="5" t="s">
        <v>149</v>
      </c>
      <c r="B42" s="10" t="s">
        <v>64</v>
      </c>
      <c r="C42" s="11" t="n">
        <f aca="false">SUMIF(Revenue!$D$5:$AM$5,C$4,Revenue!$D$71:$AM$71)+SUMIF(Revenue!$D$5:$AM$5,C$4,Revenue!$D$86:$AM$86)</f>
        <v>83583.3333333333</v>
      </c>
      <c r="D42" s="11" t="n">
        <f aca="false">SUMIF(Revenue!$D$5:$AM$5,D$4,Revenue!$D$71:$AM$71)+SUMIF(Revenue!$D$5:$AM$5,D$4,Revenue!$D$86:$AM$86)</f>
        <v>786583.333333333</v>
      </c>
      <c r="E42" s="11" t="n">
        <f aca="false">SUMIF(Revenue!$D$5:$AM$5,E$4,Revenue!$D$71:$AM$71)+SUMIF(Revenue!$D$5:$AM$5,E$4,Revenue!$D$86:$AM$86)</f>
        <v>2149833.33333333</v>
      </c>
      <c r="F42" s="12" t="n">
        <f aca="false">SUM(C42:E42)</f>
        <v>3020000</v>
      </c>
    </row>
    <row r="43" customFormat="false" ht="15" hidden="false" customHeight="true" outlineLevel="0" collapsed="false">
      <c r="A43" s="5" t="s">
        <v>150</v>
      </c>
      <c r="B43" s="10" t="s">
        <v>64</v>
      </c>
      <c r="C43" s="11" t="n">
        <f aca="false">IF(C41=0,0,C42/C41)</f>
        <v>64709.6774193548</v>
      </c>
      <c r="D43" s="11" t="n">
        <f aca="false">IF(D41=0,0,D42/D41)</f>
        <v>72888.0308880309</v>
      </c>
      <c r="E43" s="11" t="n">
        <f aca="false">IF(E41=0,0,E42/E41)</f>
        <v>78413.3738601824</v>
      </c>
      <c r="F43" s="12"/>
    </row>
    <row r="44" customFormat="false" ht="15" hidden="false" customHeight="true" outlineLevel="0" collapsed="false">
      <c r="A44" s="5" t="s">
        <v>151</v>
      </c>
      <c r="B44" s="10" t="s">
        <v>64</v>
      </c>
      <c r="C44" s="11" t="n">
        <f aca="false">SUMIF(Headcount!$D$5:$AM$5,C$4,Headcount!$D$62:$AM$62)+0.5*SUMIF(Headcount!$D$5:$AM$5,C$4,Headcount!$D$65:$AM$65)+INDEX(Assumptions!$D$139:$F$139,1,C$4)+0.5*INDEX(Assumptions!$D$140:$F$140,1,C$4)+SUMIF(Costs!$D$5:$AM$5,C$4,Costs!$D$42:$AM$42)+SUMIF(Costs!$D$5:$AM$5,C$4,Costs!$D$41:$AM$41)+SUMIF(Costs!$D$5:$AM$5,C$4,Costs!$D$43:$AM$43)</f>
        <v>287211.164236111</v>
      </c>
      <c r="D44" s="11" t="n">
        <f aca="false">SUMIF(Headcount!$D$5:$AM$5,D$4,Headcount!$D$62:$AM$62)+0.5*SUMIF(Headcount!$D$5:$AM$5,D$4,Headcount!$D$65:$AM$65)+INDEX(Assumptions!$D$139:$F$139,1,D$4)+0.5*INDEX(Assumptions!$D$140:$F$140,1,D$4)+SUMIF(Costs!$D$5:$AM$5,D$4,Costs!$D$42:$AM$42)+SUMIF(Costs!$D$5:$AM$5,D$4,Costs!$D$41:$AM$41)+SUMIF(Costs!$D$5:$AM$5,D$4,Costs!$D$43:$AM$43)</f>
        <v>1264824.37578889</v>
      </c>
      <c r="E44" s="11" t="n">
        <f aca="false">SUMIF(Headcount!$D$5:$AM$5,E$4,Headcount!$D$62:$AM$62)+0.5*SUMIF(Headcount!$D$5:$AM$5,E$4,Headcount!$D$65:$AM$65)+INDEX(Assumptions!$D$139:$F$139,1,E$4)+0.5*INDEX(Assumptions!$D$140:$F$140,1,E$4)+SUMIF(Costs!$D$5:$AM$5,E$4,Costs!$D$42:$AM$42)+SUMIF(Costs!$D$5:$AM$5,E$4,Costs!$D$41:$AM$41)+SUMIF(Costs!$D$5:$AM$5,E$4,Costs!$D$43:$AM$43)</f>
        <v>2117563.44537123</v>
      </c>
      <c r="F44" s="12" t="n">
        <f aca="false">SUM(C44:E44)</f>
        <v>3669598.98539623</v>
      </c>
    </row>
    <row r="45" customFormat="false" ht="15" hidden="false" customHeight="true" outlineLevel="0" collapsed="false">
      <c r="A45" s="5" t="s">
        <v>152</v>
      </c>
      <c r="B45" s="10" t="s">
        <v>64</v>
      </c>
      <c r="C45" s="11" t="n">
        <f aca="false">IF(C41=0,0,C44/C41)</f>
        <v>222357.030376344</v>
      </c>
      <c r="D45" s="11" t="n">
        <f aca="false">IF(D41=0,0,D44/D41)</f>
        <v>117203.803161905</v>
      </c>
      <c r="E45" s="11" t="n">
        <f aca="false">IF(E41=0,0,E44/E41)</f>
        <v>77236.3566700753</v>
      </c>
      <c r="F45" s="12"/>
    </row>
    <row r="46" customFormat="false" ht="15" hidden="false" customHeight="true" outlineLevel="0" collapsed="false">
      <c r="A46" s="5" t="s">
        <v>153</v>
      </c>
      <c r="B46" s="10" t="s">
        <v>92</v>
      </c>
      <c r="C46" s="18" t="str">
        <f aca="false">IF(OR(C43*C12&lt;=0,C45=0),"n/m",C45/(C43*C12/12))</f>
        <v>n/m</v>
      </c>
      <c r="D46" s="18" t="str">
        <f aca="false">IF(OR(D43*D12&lt;=0,D45=0),"n/m",D45/(D43*D12/12))</f>
        <v>n/m</v>
      </c>
      <c r="E46" s="18" t="n">
        <f aca="false">IF(OR(E43*E12&lt;=0,E45=0),"n/m",E45/(E43*E12/12))</f>
        <v>32.4012064263831</v>
      </c>
      <c r="F46" s="19"/>
      <c r="G46" s="29" t="n">
        <v>24</v>
      </c>
      <c r="H46" s="5" t="s">
        <v>140</v>
      </c>
      <c r="I46" s="23" t="str">
        <f aca="false">IF(ISNUMBER(E46),IF(H46="&gt;=",IF(E46&gt;=G46,"MET","NOT MET"),IF(E46&lt;=G46,"MET","NOT MET")),"n/a")</f>
        <v>NOT MET</v>
      </c>
    </row>
    <row r="47" customFormat="false" ht="15" hidden="false" customHeight="true" outlineLevel="0" collapsed="false">
      <c r="A47" s="5" t="s">
        <v>154</v>
      </c>
      <c r="B47" s="10" t="s">
        <v>74</v>
      </c>
      <c r="C47" s="16" t="n">
        <f aca="false">IF((INDEX(Revenue!$D$76:$AM$76,1,12*C$4)+INDEX(Revenue!$D$91:$AM$91,1,12*C$4))=0,Assumptions!$D$210,(Assumptions!$D$210*INDEX(Revenue!$D$76:$AM$76,1,12*C$4)+Assumptions!$D$215*INDEX(Revenue!$D$91:$AM$91,1,12*C$4))/(INDEX(Revenue!$D$76:$AM$76,1,12*C$4)+INDEX(Revenue!$D$91:$AM$91,1,12*C$4)))</f>
        <v>0.106121635094716</v>
      </c>
      <c r="D47" s="16" t="n">
        <f aca="false">IF((INDEX(Revenue!$D$76:$AM$76,1,12*D$4)+INDEX(Revenue!$D$91:$AM$91,1,12*D$4))=0,Assumptions!$D$210,(Assumptions!$D$210*INDEX(Revenue!$D$76:$AM$76,1,12*D$4)+Assumptions!$D$215*INDEX(Revenue!$D$91:$AM$91,1,12*D$4))/(INDEX(Revenue!$D$76:$AM$76,1,12*D$4)+INDEX(Revenue!$D$91:$AM$91,1,12*D$4)))</f>
        <v>0.10118155077301</v>
      </c>
      <c r="E47" s="16" t="n">
        <f aca="false">IF((INDEX(Revenue!$D$76:$AM$76,1,12*E$4)+INDEX(Revenue!$D$91:$AM$91,1,12*E$4))=0,Assumptions!$D$210,(Assumptions!$D$210*INDEX(Revenue!$D$76:$AM$76,1,12*E$4)+Assumptions!$D$215*INDEX(Revenue!$D$91:$AM$91,1,12*E$4))/(INDEX(Revenue!$D$76:$AM$76,1,12*E$4)+INDEX(Revenue!$D$91:$AM$91,1,12*E$4)))</f>
        <v>0.0983094833770062</v>
      </c>
      <c r="F47" s="17"/>
    </row>
    <row r="48" customFormat="false" ht="15" hidden="false" customHeight="true" outlineLevel="0" collapsed="false">
      <c r="A48" s="5" t="s">
        <v>155</v>
      </c>
      <c r="B48" s="10" t="s">
        <v>64</v>
      </c>
      <c r="C48" s="11" t="str">
        <f aca="false">IF(C12&lt;=0,"n/m",C43*C12*MIN(7,1/C47))</f>
        <v>n/m</v>
      </c>
      <c r="D48" s="11" t="str">
        <f aca="false">IF(D12&lt;=0,"n/m",D43*D12*MIN(7,1/D47))</f>
        <v>n/m</v>
      </c>
      <c r="E48" s="11" t="n">
        <f aca="false">IF(E12&lt;=0,"n/m",E43*E12*MIN(7,1/E47))</f>
        <v>200234.950356771</v>
      </c>
      <c r="F48" s="12"/>
    </row>
    <row r="49" customFormat="false" ht="15" hidden="false" customHeight="true" outlineLevel="0" collapsed="false">
      <c r="A49" s="5" t="s">
        <v>156</v>
      </c>
      <c r="B49" s="10" t="s">
        <v>138</v>
      </c>
      <c r="C49" s="26" t="str">
        <f aca="false">IF(OR(NOT(ISNUMBER(C48)),C45=0),"n/m",C48/C45)</f>
        <v>n/m</v>
      </c>
      <c r="D49" s="26" t="str">
        <f aca="false">IF(OR(NOT(ISNUMBER(D48)),D45=0),"n/m",D48/D45)</f>
        <v>n/m</v>
      </c>
      <c r="E49" s="26" t="n">
        <f aca="false">IF(OR(NOT(ISNUMBER(E48)),E45=0),"n/m",E48/E45)</f>
        <v>2.59249606001096</v>
      </c>
      <c r="F49" s="27"/>
      <c r="G49" s="28" t="n">
        <v>3</v>
      </c>
      <c r="H49" s="5" t="s">
        <v>119</v>
      </c>
      <c r="I49" s="23" t="str">
        <f aca="false">IF(ISNUMBER(E49),IF(H49="&gt;=",IF(E49&gt;=G49,"MET","NOT MET"),IF(E49&lt;=G49,"MET","NOT MET")),"n/a")</f>
        <v>NOT MET</v>
      </c>
    </row>
    <row r="50" customFormat="false" ht="15" hidden="false" customHeight="true" outlineLevel="0" collapsed="false">
      <c r="A50" s="5" t="s">
        <v>157</v>
      </c>
      <c r="B50" s="10" t="s">
        <v>64</v>
      </c>
      <c r="C50" s="11" t="n">
        <f aca="false">SUMIF(Revenue!$D$5:$AM$5,C$4,Revenue!$D$74:$AM$74)+SUMIF(Revenue!$D$5:$AM$5,C$4,Revenue!$D$75:$AM$75)+SUMIF(Revenue!$D$5:$AM$5,C$4,Revenue!$D$89:$AM$89)+SUMIF(Revenue!$D$5:$AM$5,C$4,Revenue!$D$90:$AM$90)</f>
        <v>0</v>
      </c>
      <c r="D50" s="11" t="n">
        <f aca="false">SUMIF(Revenue!$D$5:$AM$5,D$4,Revenue!$D$74:$AM$74)+SUMIF(Revenue!$D$5:$AM$5,D$4,Revenue!$D$75:$AM$75)+SUMIF(Revenue!$D$5:$AM$5,D$4,Revenue!$D$89:$AM$89)+SUMIF(Revenue!$D$5:$AM$5,D$4,Revenue!$D$90:$AM$90)</f>
        <v>13768</v>
      </c>
      <c r="E50" s="11" t="n">
        <f aca="false">SUMIF(Revenue!$D$5:$AM$5,E$4,Revenue!$D$74:$AM$74)+SUMIF(Revenue!$D$5:$AM$5,E$4,Revenue!$D$75:$AM$75)+SUMIF(Revenue!$D$5:$AM$5,E$4,Revenue!$D$89:$AM$89)+SUMIF(Revenue!$D$5:$AM$5,E$4,Revenue!$D$90:$AM$90)</f>
        <v>158420.021333333</v>
      </c>
      <c r="F50" s="12" t="n">
        <f aca="false">SUM(C50:E50)</f>
        <v>172188.021333333</v>
      </c>
    </row>
    <row r="51" customFormat="false" ht="15" hidden="false" customHeight="true" outlineLevel="0" collapsed="false">
      <c r="A51" s="5" t="s">
        <v>158</v>
      </c>
      <c r="B51" s="10" t="s">
        <v>64</v>
      </c>
      <c r="C51" s="11" t="n">
        <f aca="false">SUMIF(Revenue!$D$5:$AM$5,C$4,Revenue!$D$72:$AM$72)+SUMIF(Revenue!$D$5:$AM$5,C$4,Revenue!$D$73:$AM$73)+SUMIF(Revenue!$D$5:$AM$5,C$4,Revenue!$D$87:$AM$87)+SUMIF(Revenue!$D$5:$AM$5,C$4,Revenue!$D$88:$AM$88)</f>
        <v>0</v>
      </c>
      <c r="D51" s="11" t="n">
        <f aca="false">SUMIF(Revenue!$D$5:$AM$5,D$4,Revenue!$D$72:$AM$72)+SUMIF(Revenue!$D$5:$AM$5,D$4,Revenue!$D$73:$AM$73)+SUMIF(Revenue!$D$5:$AM$5,D$4,Revenue!$D$87:$AM$87)+SUMIF(Revenue!$D$5:$AM$5,D$4,Revenue!$D$88:$AM$88)</f>
        <v>-8870</v>
      </c>
      <c r="E51" s="11" t="n">
        <f aca="false">SUMIF(Revenue!$D$5:$AM$5,E$4,Revenue!$D$72:$AM$72)+SUMIF(Revenue!$D$5:$AM$5,E$4,Revenue!$D$73:$AM$73)+SUMIF(Revenue!$D$5:$AM$5,E$4,Revenue!$D$87:$AM$87)+SUMIF(Revenue!$D$5:$AM$5,E$4,Revenue!$D$88:$AM$88)</f>
        <v>-88540.4</v>
      </c>
      <c r="F51" s="12" t="n">
        <f aca="false">SUM(C51:E51)</f>
        <v>-97410.4</v>
      </c>
    </row>
    <row r="52" customFormat="false" ht="15" hidden="false" customHeight="true" outlineLevel="0" collapsed="false">
      <c r="A52" s="5" t="s">
        <v>159</v>
      </c>
      <c r="B52" s="10" t="s">
        <v>64</v>
      </c>
      <c r="C52" s="11" t="n">
        <f aca="false">IF(C$4=1,0,INDEX(Revenue!$D$76:$AM$76,1,12*(C$4-1)))+IF(C$4=1,0,INDEX(Revenue!$D$91:$AM$91,1,12*(C$4-1)))</f>
        <v>0</v>
      </c>
      <c r="D52" s="11" t="n">
        <f aca="false">IF(D$4=1,0,INDEX(Revenue!$D$76:$AM$76,1,12*(D$4-1)))+IF(D$4=1,0,INDEX(Revenue!$D$91:$AM$91,1,12*(D$4-1)))</f>
        <v>83583.3333333333</v>
      </c>
      <c r="E52" s="11" t="n">
        <f aca="false">IF(E$4=1,0,INDEX(Revenue!$D$76:$AM$76,1,12*(E$4-1)))+IF(E$4=1,0,INDEX(Revenue!$D$91:$AM$91,1,12*(E$4-1)))</f>
        <v>875064.666666667</v>
      </c>
      <c r="F52" s="12"/>
    </row>
    <row r="53" customFormat="false" ht="15" hidden="false" customHeight="true" outlineLevel="0" collapsed="false">
      <c r="A53" s="5" t="s">
        <v>160</v>
      </c>
      <c r="B53" s="10" t="s">
        <v>74</v>
      </c>
      <c r="C53" s="16" t="str">
        <f aca="false">IF(C52=0,"n/a",(C52+C50+C51)/C52)</f>
        <v>n/a</v>
      </c>
      <c r="D53" s="16" t="n">
        <f aca="false">IF(D52=0,"n/a",(D52+D50+D51)/D52)</f>
        <v>1.05860019940179</v>
      </c>
      <c r="E53" s="16" t="n">
        <f aca="false">IF(E52=0,"n/a",(E52+E50+E51)/E52)</f>
        <v>1.07985652260366</v>
      </c>
      <c r="F53" s="17"/>
      <c r="G53" s="22" t="n">
        <v>1</v>
      </c>
      <c r="H53" s="5" t="s">
        <v>119</v>
      </c>
      <c r="I53" s="23" t="str">
        <f aca="false">IF(ISNUMBER(E53),IF(H53="&gt;=",IF(E53&gt;=G53,"MET","NOT MET"),IF(E53&lt;=G53,"MET","NOT MET")),"n/a")</f>
        <v>MET</v>
      </c>
    </row>
    <row r="54" customFormat="false" ht="15" hidden="false" customHeight="true" outlineLevel="0" collapsed="false">
      <c r="A54" s="5" t="s">
        <v>161</v>
      </c>
      <c r="B54" s="10" t="s">
        <v>74</v>
      </c>
      <c r="C54" s="16" t="str">
        <f aca="false">IF(C52=0,"n/a",(C52+C51)/C52)</f>
        <v>n/a</v>
      </c>
      <c r="D54" s="16" t="n">
        <f aca="false">IF(D52=0,"n/a",(D52+D51)/D52)</f>
        <v>0.893878364905284</v>
      </c>
      <c r="E54" s="16" t="n">
        <f aca="false">IF(E52=0,"n/a",(E52+E51)/E52)</f>
        <v>0.89881844922699</v>
      </c>
      <c r="F54" s="17"/>
      <c r="G54" s="22" t="n">
        <v>0.85</v>
      </c>
      <c r="H54" s="5" t="s">
        <v>119</v>
      </c>
      <c r="I54" s="23" t="str">
        <f aca="false">IF(ISNUMBER(E54),IF(H54="&gt;=",IF(E54&gt;=G54,"MET","NOT MET"),IF(E54&lt;=G54,"MET","NOT MET")),"n/a")</f>
        <v>MET</v>
      </c>
    </row>
    <row r="55" customFormat="false" ht="15" hidden="false" customHeight="true" outlineLevel="0" collapsed="false">
      <c r="A55" s="5" t="s">
        <v>162</v>
      </c>
      <c r="B55" s="10" t="s">
        <v>163</v>
      </c>
      <c r="C55" s="20" t="n">
        <f aca="false">SUMIF(Costs!$D$5:$AM$5,C$4,Costs!$D$17:$AM$17)</f>
        <v>713</v>
      </c>
      <c r="D55" s="20" t="n">
        <f aca="false">SUMIF(Costs!$D$5:$AM$5,D$4,Costs!$D$17:$AM$17)</f>
        <v>5297.41666666667</v>
      </c>
      <c r="E55" s="20" t="n">
        <f aca="false">SUMIF(Costs!$D$5:$AM$5,E$4,Costs!$D$17:$AM$17)</f>
        <v>13228.8333333333</v>
      </c>
      <c r="F55" s="21" t="n">
        <f aca="false">SUM(C55:E55)</f>
        <v>19239.25</v>
      </c>
    </row>
    <row r="56" customFormat="false" ht="15" hidden="false" customHeight="true" outlineLevel="0" collapsed="false">
      <c r="A56" s="5" t="s">
        <v>164</v>
      </c>
      <c r="B56" s="10" t="s">
        <v>98</v>
      </c>
      <c r="C56" s="18" t="n">
        <f aca="false">MAX(INDEX(Costs!$D$18:$AM$18,1,12*C$4-11):INDEX(Costs!$D$18:$AM$18,1,12*C$4))</f>
        <v>0.850961538461539</v>
      </c>
      <c r="D56" s="18" t="n">
        <f aca="false">MAX(INDEX(Costs!$D$18:$AM$18,1,12*D$4-11):INDEX(Costs!$D$18:$AM$18,1,12*D$4))</f>
        <v>6.13461538461538</v>
      </c>
      <c r="E56" s="18" t="n">
        <f aca="false">MAX(INDEX(Costs!$D$18:$AM$18,1,12*E$4-11):INDEX(Costs!$D$18:$AM$18,1,12*E$4))</f>
        <v>14.375</v>
      </c>
      <c r="F56" s="19"/>
    </row>
    <row r="58" customFormat="false" ht="15" hidden="false" customHeight="true" outlineLevel="0" collapsed="false">
      <c r="A58" s="8" t="s">
        <v>165</v>
      </c>
      <c r="B58" s="9"/>
      <c r="C58" s="9"/>
      <c r="D58" s="9"/>
      <c r="E58" s="9"/>
      <c r="F58" s="9"/>
      <c r="G58" s="9"/>
      <c r="H58" s="9"/>
      <c r="I58" s="9"/>
    </row>
    <row r="59" customFormat="false" ht="15" hidden="false" customHeight="true" outlineLevel="0" collapsed="false">
      <c r="A59" s="5" t="s">
        <v>166</v>
      </c>
      <c r="B59" s="10" t="s">
        <v>64</v>
      </c>
      <c r="C59" s="11" t="n">
        <f aca="false">-Summary!C33</f>
        <v>3304160.13228691</v>
      </c>
      <c r="D59" s="11" t="n">
        <f aca="false">-Summary!D33</f>
        <v>8457907.53776866</v>
      </c>
      <c r="E59" s="11" t="n">
        <f aca="false">-Summary!E33</f>
        <v>9371957.4486816</v>
      </c>
      <c r="F59" s="12" t="n">
        <f aca="false">SUM(C59:E59)</f>
        <v>21134025.1187372</v>
      </c>
    </row>
    <row r="60" customFormat="false" ht="15" hidden="false" customHeight="true" outlineLevel="0" collapsed="false">
      <c r="A60" s="5" t="s">
        <v>167</v>
      </c>
      <c r="B60" s="10" t="s">
        <v>64</v>
      </c>
      <c r="C60" s="11" t="n">
        <f aca="false">INDEX(Revenue!$D$148:$AM$148,1,12*C$4)-IF(C$4=1,0,INDEX(Revenue!$D$148:$AM$148,1,12*(C$4-1)))</f>
        <v>116792.567253205</v>
      </c>
      <c r="D60" s="11" t="n">
        <f aca="false">INDEX(Revenue!$D$148:$AM$148,1,12*D$4)-IF(D$4=1,0,INDEX(Revenue!$D$148:$AM$148,1,12*(D$4-1)))</f>
        <v>1128165.17512512</v>
      </c>
      <c r="E60" s="11" t="n">
        <f aca="false">INDEX(Revenue!$D$148:$AM$148,1,12*E$4)-IF(E$4=1,0,INDEX(Revenue!$D$148:$AM$148,1,12*(E$4-1)))</f>
        <v>3094145.68781914</v>
      </c>
      <c r="F60" s="12" t="n">
        <f aca="false">SUM(C60:E60)</f>
        <v>4339103.43019746</v>
      </c>
    </row>
    <row r="61" customFormat="false" ht="15" hidden="false" customHeight="true" outlineLevel="0" collapsed="false">
      <c r="A61" s="5" t="s">
        <v>168</v>
      </c>
      <c r="B61" s="10" t="s">
        <v>138</v>
      </c>
      <c r="C61" s="26" t="n">
        <f aca="false">IF(C60&lt;=0,"n/a",C59/C60)</f>
        <v>28.2908425595571</v>
      </c>
      <c r="D61" s="26" t="n">
        <f aca="false">IF(D60&lt;=0,"n/a",D59/D60)</f>
        <v>7.49704717381534</v>
      </c>
      <c r="E61" s="26" t="n">
        <f aca="false">IF(E60&lt;=0,"n/a",E59/E60)</f>
        <v>3.02893218169287</v>
      </c>
      <c r="F61" s="27"/>
      <c r="G61" s="28" t="n">
        <v>2.5</v>
      </c>
      <c r="H61" s="5" t="s">
        <v>140</v>
      </c>
      <c r="I61" s="23" t="str">
        <f aca="false">IF(ISNUMBER(E61),IF(H61="&gt;=",IF(E61&gt;=G61,"MET","NOT MET"),IF(E61&lt;=G61,"MET","NOT MET")),"n/a")</f>
        <v>NOT MET</v>
      </c>
    </row>
    <row r="62" customFormat="false" ht="15" hidden="false" customHeight="true" outlineLevel="0" collapsed="false">
      <c r="A62" s="5" t="s">
        <v>89</v>
      </c>
      <c r="B62" s="10" t="s">
        <v>64</v>
      </c>
      <c r="C62" s="11" t="n">
        <f aca="false">Summary!C35</f>
        <v>1195839.86771309</v>
      </c>
      <c r="D62" s="11" t="n">
        <f aca="false">Summary!D35</f>
        <v>6737932.32994443</v>
      </c>
      <c r="E62" s="11" t="n">
        <f aca="false">Summary!E35</f>
        <v>6365974.88126283</v>
      </c>
      <c r="F62" s="12" t="n">
        <f aca="false">E62</f>
        <v>6365974.88126283</v>
      </c>
    </row>
    <row r="63" customFormat="false" ht="15" hidden="false" customHeight="true" outlineLevel="0" collapsed="false">
      <c r="A63" s="5" t="s">
        <v>169</v>
      </c>
      <c r="B63" s="10" t="s">
        <v>92</v>
      </c>
      <c r="C63" s="18" t="n">
        <f aca="false">Summary!C37</f>
        <v>2.59632562104882</v>
      </c>
      <c r="D63" s="18" t="n">
        <f aca="false">Summary!D37</f>
        <v>9.78890573094503</v>
      </c>
      <c r="E63" s="18" t="n">
        <f aca="false">Summary!E37</f>
        <v>10.4012448745652</v>
      </c>
      <c r="F63" s="19"/>
      <c r="G63" s="29" t="n">
        <v>12</v>
      </c>
      <c r="H63" s="5" t="s">
        <v>119</v>
      </c>
      <c r="I63" s="23" t="str">
        <f aca="false">IF(ISNUMBER(E63),IF(H63="&gt;=",IF(E63&gt;=G63,"MET","NOT MET"),IF(E63&lt;=G63,"MET","NOT MET")),"n/a")</f>
        <v>NOT MET</v>
      </c>
    </row>
    <row r="64" customFormat="false" ht="15" hidden="false" customHeight="true" outlineLevel="0" collapsed="false">
      <c r="A64" s="5" t="s">
        <v>170</v>
      </c>
      <c r="B64" s="10" t="s">
        <v>64</v>
      </c>
      <c r="E64" s="11" t="n">
        <f aca="false">-MIN(Financials!$D$42:$AM$42)</f>
        <v>21134025.1187372</v>
      </c>
      <c r="F64" s="12"/>
    </row>
    <row r="65" customFormat="false" ht="15" hidden="false" customHeight="true" outlineLevel="0" collapsed="false">
      <c r="A65" s="5" t="s">
        <v>171</v>
      </c>
      <c r="B65" s="10" t="s">
        <v>74</v>
      </c>
      <c r="C65" s="16" t="n">
        <f aca="false">IF(Summary!C16=0,0,-Summary!C24/Summary!C16)</f>
        <v>9.51170374288878</v>
      </c>
      <c r="D65" s="16" t="n">
        <f aca="false">IF(Summary!D16=0,0,-Summary!D24/Summary!D16)</f>
        <v>3.0456164939346</v>
      </c>
      <c r="E65" s="16" t="n">
        <f aca="false">IF(Summary!E16=0,0,-Summary!E24/Summary!E16)</f>
        <v>1.16920549499491</v>
      </c>
      <c r="F65" s="17"/>
    </row>
    <row r="66" customFormat="false" ht="15" hidden="false" customHeight="true" outlineLevel="0" collapsed="false">
      <c r="A66" s="5" t="s">
        <v>172</v>
      </c>
      <c r="B66" s="10" t="s">
        <v>74</v>
      </c>
      <c r="C66" s="16" t="n">
        <f aca="false">IF(Summary!C16=0,0,-Summary!C25/Summary!C16)</f>
        <v>2.43587161385776</v>
      </c>
      <c r="D66" s="16" t="n">
        <f aca="false">IF(Summary!D16=0,0,-Summary!D25/Summary!D16)</f>
        <v>1.37391995136755</v>
      </c>
      <c r="E66" s="16" t="n">
        <f aca="false">IF(Summary!E16=0,0,-Summary!E25/Summary!E16)</f>
        <v>0.635585239666768</v>
      </c>
      <c r="F66" s="17"/>
    </row>
    <row r="67" customFormat="false" ht="15" hidden="false" customHeight="true" outlineLevel="0" collapsed="false">
      <c r="A67" s="5" t="s">
        <v>173</v>
      </c>
      <c r="B67" s="10" t="s">
        <v>74</v>
      </c>
      <c r="C67" s="16" t="n">
        <f aca="false">IF(Summary!C16=0,0,-Summary!C26/Summary!C16)</f>
        <v>8.25875169545927</v>
      </c>
      <c r="D67" s="16" t="n">
        <f aca="false">IF(Summary!D16=0,0,-Summary!D26/Summary!D16)</f>
        <v>1.85443176597668</v>
      </c>
      <c r="E67" s="16" t="n">
        <f aca="false">IF(Summary!E16=0,0,-Summary!E26/Summary!E16)</f>
        <v>0.66743851791235</v>
      </c>
      <c r="F67" s="17"/>
    </row>
    <row r="68" customFormat="false" ht="15" hidden="false" customHeight="true" outlineLevel="0" collapsed="false">
      <c r="A68" s="5" t="s">
        <v>109</v>
      </c>
      <c r="B68" s="10" t="s">
        <v>64</v>
      </c>
      <c r="C68" s="11" t="n">
        <f aca="false">Summary!C55</f>
        <v>15020.0369559548</v>
      </c>
      <c r="D68" s="11" t="n">
        <f aca="false">Summary!D55</f>
        <v>38066.2185162561</v>
      </c>
      <c r="E68" s="11" t="n">
        <f aca="false">Summary!E55</f>
        <v>96255.1104689452</v>
      </c>
      <c r="F68" s="12"/>
    </row>
  </sheetData>
  <conditionalFormatting sqref="I7:I80">
    <cfRule type="cellIs" priority="2" operator="equal" aboveAverage="0" equalAverage="0" bottom="0" percent="0" rank="0" text="" dxfId="0">
      <formula>"NOT MET"</formula>
    </cfRule>
    <cfRule type="cellIs" priority="3" operator="equal" aboveAverage="0" equalAverage="0" bottom="0" percent="0" rank="0" text="" dxfId="1">
      <formula>"MET"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56"/>
    <col collapsed="false" customWidth="true" hidden="false" outlineLevel="0" max="2" min="2" style="1" width="8"/>
    <col collapsed="false" customWidth="true" hidden="false" outlineLevel="0" max="14" min="3" style="1" width="13"/>
  </cols>
  <sheetData>
    <row r="1" customFormat="false" ht="17.25" hidden="false" customHeight="true" outlineLevel="0" collapsed="false">
      <c r="A1" s="2" t="s">
        <v>174</v>
      </c>
    </row>
    <row r="2" customFormat="false" ht="15" hidden="false" customHeight="true" outlineLevel="0" collapsed="false">
      <c r="A2" s="3" t="s">
        <v>57</v>
      </c>
      <c r="B2" s="3" t="str">
        <f aca="false">Scenario_Control!$E$3</f>
        <v>Base</v>
      </c>
    </row>
    <row r="3" customFormat="false" ht="15" hidden="false" customHeight="true" outlineLevel="0" collapsed="false">
      <c r="A3" s="10" t="s">
        <v>175</v>
      </c>
    </row>
    <row r="4" customFormat="false" ht="15" hidden="false" customHeight="true" outlineLevel="0" collapsed="false">
      <c r="A4" s="3" t="s">
        <v>176</v>
      </c>
      <c r="C4" s="1" t="n">
        <v>1</v>
      </c>
      <c r="D4" s="1" t="n">
        <v>2</v>
      </c>
      <c r="E4" s="1" t="n">
        <v>3</v>
      </c>
      <c r="F4" s="1" t="n">
        <v>4</v>
      </c>
      <c r="G4" s="1" t="n">
        <v>5</v>
      </c>
      <c r="H4" s="1" t="n">
        <v>6</v>
      </c>
      <c r="I4" s="1" t="n">
        <v>7</v>
      </c>
      <c r="J4" s="1" t="n">
        <v>8</v>
      </c>
      <c r="K4" s="1" t="n">
        <v>9</v>
      </c>
      <c r="L4" s="1" t="n">
        <v>10</v>
      </c>
      <c r="M4" s="1" t="n">
        <v>11</v>
      </c>
      <c r="N4" s="1" t="n">
        <v>12</v>
      </c>
    </row>
    <row r="6" customFormat="false" ht="15" hidden="false" customHeight="true" outlineLevel="0" collapsed="false">
      <c r="A6" s="7" t="s">
        <v>59</v>
      </c>
      <c r="B6" s="7" t="s">
        <v>60</v>
      </c>
      <c r="C6" s="7" t="str">
        <f aca="false">"Q"&amp;C4&amp;" "&amp;TEXT(EDATE(Assumptions!$D$6,3*(C4-1)),"mmm-yy")</f>
        <v>Q1 Nov-26</v>
      </c>
      <c r="D6" s="7" t="str">
        <f aca="false">"Q"&amp;D4&amp;" "&amp;TEXT(EDATE(Assumptions!$D$6,3*(D4-1)),"mmm-yy")</f>
        <v>Q2 Feb-27</v>
      </c>
      <c r="E6" s="7" t="str">
        <f aca="false">"Q"&amp;E4&amp;" "&amp;TEXT(EDATE(Assumptions!$D$6,3*(E4-1)),"mmm-yy")</f>
        <v>Q3 May-27</v>
      </c>
      <c r="F6" s="7" t="str">
        <f aca="false">"Q"&amp;F4&amp;" "&amp;TEXT(EDATE(Assumptions!$D$6,3*(F4-1)),"mmm-yy")</f>
        <v>Q4 Aug-27</v>
      </c>
      <c r="G6" s="7" t="str">
        <f aca="false">"Q"&amp;G4&amp;" "&amp;TEXT(EDATE(Assumptions!$D$6,3*(G4-1)),"mmm-yy")</f>
        <v>Q5 Nov-27</v>
      </c>
      <c r="H6" s="7" t="str">
        <f aca="false">"Q"&amp;H4&amp;" "&amp;TEXT(EDATE(Assumptions!$D$6,3*(H4-1)),"mmm-yy")</f>
        <v>Q6 Feb-28</v>
      </c>
      <c r="I6" s="7" t="str">
        <f aca="false">"Q"&amp;I4&amp;" "&amp;TEXT(EDATE(Assumptions!$D$6,3*(I4-1)),"mmm-yy")</f>
        <v>Q7 May-28</v>
      </c>
      <c r="J6" s="7" t="str">
        <f aca="false">"Q"&amp;J4&amp;" "&amp;TEXT(EDATE(Assumptions!$D$6,3*(J4-1)),"mmm-yy")</f>
        <v>Q8 Aug-28</v>
      </c>
      <c r="K6" s="7" t="str">
        <f aca="false">"Q"&amp;K4&amp;" "&amp;TEXT(EDATE(Assumptions!$D$6,3*(K4-1)),"mmm-yy")</f>
        <v>Q9 Nov-28</v>
      </c>
      <c r="L6" s="7" t="str">
        <f aca="false">"Q"&amp;L4&amp;" "&amp;TEXT(EDATE(Assumptions!$D$6,3*(L4-1)),"mmm-yy")</f>
        <v>Q10 Feb-29</v>
      </c>
      <c r="M6" s="7" t="str">
        <f aca="false">"Q"&amp;M4&amp;" "&amp;TEXT(EDATE(Assumptions!$D$6,3*(M4-1)),"mmm-yy")</f>
        <v>Q11 May-29</v>
      </c>
      <c r="N6" s="7" t="str">
        <f aca="false">"Q"&amp;N4&amp;" "&amp;TEXT(EDATE(Assumptions!$D$6,3*(N4-1)),"mmm-yy")</f>
        <v>Q12 Aug-29</v>
      </c>
    </row>
    <row r="7" customFormat="false" ht="15" hidden="false" customHeight="true" outlineLevel="0" collapsed="false">
      <c r="A7" s="8" t="s">
        <v>177</v>
      </c>
      <c r="B7" s="9"/>
      <c r="C7" s="9"/>
      <c r="D7" s="9"/>
      <c r="E7" s="9"/>
      <c r="F7" s="9"/>
      <c r="G7" s="9"/>
      <c r="H7" s="9"/>
      <c r="I7" s="9"/>
      <c r="J7" s="9"/>
      <c r="K7" s="9"/>
      <c r="L7" s="9"/>
      <c r="M7" s="9"/>
      <c r="N7" s="9"/>
    </row>
    <row r="8" customFormat="false" ht="15" hidden="false" customHeight="true" outlineLevel="0" collapsed="false">
      <c r="A8" s="5" t="s">
        <v>40</v>
      </c>
      <c r="B8" s="10" t="s">
        <v>64</v>
      </c>
      <c r="C8" s="11" t="n">
        <f aca="false">SUMIF(Financials!$D$7:$AM$7,C$4,Financials!$D$18:$AM$18)</f>
        <v>6951.5382593375</v>
      </c>
      <c r="D8" s="11" t="n">
        <f aca="false">SUMIF(Financials!$D$7:$AM$7,D$4,Financials!$D$18:$AM$18)</f>
        <v>29028.1288737559</v>
      </c>
      <c r="E8" s="11" t="n">
        <f aca="false">SUMIF(Financials!$D$7:$AM$7,E$4,Financials!$D$18:$AM$18)</f>
        <v>58538.2403063231</v>
      </c>
      <c r="F8" s="11" t="n">
        <f aca="false">SUMIF(Financials!$D$7:$AM$7,F$4,Financials!$D$18:$AM$18)</f>
        <v>64444.150344439</v>
      </c>
      <c r="G8" s="11" t="n">
        <f aca="false">SUMIF(Financials!$D$7:$AM$7,G$4,Financials!$D$18:$AM$18)</f>
        <v>105399.309658247</v>
      </c>
      <c r="H8" s="11" t="n">
        <f aca="false">SUMIF(Financials!$D$7:$AM$7,H$4,Financials!$D$18:$AM$18)</f>
        <v>250701.73687176</v>
      </c>
      <c r="I8" s="11" t="n">
        <f aca="false">SUMIF(Financials!$D$7:$AM$7,I$4,Financials!$D$18:$AM$18)</f>
        <v>470011.26996499</v>
      </c>
      <c r="J8" s="11" t="n">
        <f aca="false">SUMIF(Financials!$D$7:$AM$7,J$4,Financials!$D$18:$AM$18)</f>
        <v>560132.474471996</v>
      </c>
      <c r="K8" s="11" t="n">
        <f aca="false">SUMIF(Financials!$D$7:$AM$7,K$4,Financials!$D$18:$AM$18)</f>
        <v>642967.480193467</v>
      </c>
      <c r="L8" s="11" t="n">
        <f aca="false">SUMIF(Financials!$D$7:$AM$7,L$4,Financials!$D$18:$AM$18)</f>
        <v>940147.142752747</v>
      </c>
      <c r="M8" s="11" t="n">
        <f aca="false">SUMIF(Financials!$D$7:$AM$7,M$4,Financials!$D$18:$AM$18)</f>
        <v>1441054.43179382</v>
      </c>
      <c r="N8" s="11" t="n">
        <f aca="false">SUMIF(Financials!$D$7:$AM$7,N$4,Financials!$D$18:$AM$18)</f>
        <v>1692331.35823828</v>
      </c>
    </row>
    <row r="9" customFormat="false" ht="15" hidden="false" customHeight="true" outlineLevel="0" collapsed="false">
      <c r="A9" s="5" t="s">
        <v>78</v>
      </c>
      <c r="B9" s="10" t="s">
        <v>64</v>
      </c>
      <c r="C9" s="11" t="n">
        <f aca="false">SUMIF(Financials!$D$7:$AM$7,C$4,Financials!$D$20:$AM$20)</f>
        <v>-30902.4077406425</v>
      </c>
      <c r="D9" s="11" t="n">
        <f aca="false">SUMIF(Financials!$D$7:$AM$7,D$4,Financials!$D$20:$AM$20)</f>
        <v>-23350.875670871</v>
      </c>
      <c r="E9" s="11" t="n">
        <f aca="false">SUMIF(Financials!$D$7:$AM$7,E$4,Financials!$D$20:$AM$20)</f>
        <v>-9434.53081997193</v>
      </c>
      <c r="F9" s="11" t="n">
        <f aca="false">SUMIF(Financials!$D$7:$AM$7,F$4,Financials!$D$20:$AM$20)</f>
        <v>-53827.488066093</v>
      </c>
      <c r="G9" s="11" t="n">
        <f aca="false">SUMIF(Financials!$D$7:$AM$7,G$4,Financials!$D$20:$AM$20)</f>
        <v>-75776.4418578352</v>
      </c>
      <c r="H9" s="11" t="n">
        <f aca="false">SUMIF(Financials!$D$7:$AM$7,H$4,Financials!$D$20:$AM$20)</f>
        <v>-29660.8509523715</v>
      </c>
      <c r="I9" s="11" t="n">
        <f aca="false">SUMIF(Financials!$D$7:$AM$7,I$4,Financials!$D$20:$AM$20)</f>
        <v>34172.485439077</v>
      </c>
      <c r="J9" s="11" t="n">
        <f aca="false">SUMIF(Financials!$D$7:$AM$7,J$4,Financials!$D$20:$AM$20)</f>
        <v>111213.416316584</v>
      </c>
      <c r="K9" s="11" t="n">
        <f aca="false">SUMIF(Financials!$D$7:$AM$7,K$4,Financials!$D$20:$AM$20)</f>
        <v>145294.871668876</v>
      </c>
      <c r="L9" s="11" t="n">
        <f aca="false">SUMIF(Financials!$D$7:$AM$7,L$4,Financials!$D$20:$AM$20)</f>
        <v>278341.696244574</v>
      </c>
      <c r="M9" s="11" t="n">
        <f aca="false">SUMIF(Financials!$D$7:$AM$7,M$4,Financials!$D$20:$AM$20)</f>
        <v>533103.415363114</v>
      </c>
      <c r="N9" s="11" t="n">
        <f aca="false">SUMIF(Financials!$D$7:$AM$7,N$4,Financials!$D$20:$AM$20)</f>
        <v>736341.980207572</v>
      </c>
    </row>
    <row r="10" customFormat="false" ht="15" hidden="false" customHeight="true" outlineLevel="0" collapsed="false">
      <c r="A10" s="5" t="s">
        <v>79</v>
      </c>
      <c r="B10" s="10" t="s">
        <v>74</v>
      </c>
      <c r="C10" s="16" t="n">
        <f aca="false">IF(C8=0,0,C9/C8)</f>
        <v>-4.44540569119842</v>
      </c>
      <c r="D10" s="16" t="n">
        <f aca="false">IF(D8=0,0,D9/D8)</f>
        <v>-0.804422350900556</v>
      </c>
      <c r="E10" s="16" t="n">
        <f aca="false">IF(E8=0,0,E9/E8)</f>
        <v>-0.161168678296482</v>
      </c>
      <c r="F10" s="16" t="n">
        <f aca="false">IF(F8=0,0,F9/F8)</f>
        <v>-0.835257936963985</v>
      </c>
      <c r="G10" s="16" t="n">
        <f aca="false">IF(G8=0,0,G9/G8)</f>
        <v>-0.718946282509225</v>
      </c>
      <c r="H10" s="16" t="n">
        <f aca="false">IF(H8=0,0,H9/H8)</f>
        <v>-0.118311310174703</v>
      </c>
      <c r="I10" s="16" t="n">
        <f aca="false">IF(I8=0,0,I9/I8)</f>
        <v>0.0727056724440298</v>
      </c>
      <c r="J10" s="16" t="n">
        <f aca="false">IF(J8=0,0,J9/J8)</f>
        <v>0.198548417356837</v>
      </c>
      <c r="K10" s="16" t="n">
        <f aca="false">IF(K8=0,0,K9/K8)</f>
        <v>0.225975459326742</v>
      </c>
      <c r="L10" s="16" t="n">
        <f aca="false">IF(L8=0,0,L9/L8)</f>
        <v>0.296061843499934</v>
      </c>
      <c r="M10" s="16" t="n">
        <f aca="false">IF(M8=0,0,M9/M8)</f>
        <v>0.369939818789156</v>
      </c>
      <c r="N10" s="16" t="n">
        <f aca="false">IF(N8=0,0,N9/N8)</f>
        <v>0.435105085433212</v>
      </c>
    </row>
    <row r="11" customFormat="false" ht="15" hidden="false" customHeight="true" outlineLevel="0" collapsed="false">
      <c r="A11" s="5" t="s">
        <v>178</v>
      </c>
      <c r="B11" s="10" t="s">
        <v>64</v>
      </c>
      <c r="C11" s="11" t="n">
        <f aca="false">-(SUMIF(Financials!$D$7:$AM$7,C$4,Financials!$D$22:$AM$22)+SUMIF(Financials!$D$7:$AM$7,C$4,Financials!$D$23:$AM$23)+SUMIF(Financials!$D$7:$AM$7,C$4,Financials!$D$24:$AM$24)+SUMIF(Financials!$D$7:$AM$7,C$4,Financials!$D$25:$AM$25))</f>
        <v>393167.510416667</v>
      </c>
      <c r="D11" s="11" t="n">
        <f aca="false">-(SUMIF(Financials!$D$7:$AM$7,D$4,Financials!$D$22:$AM$22)+SUMIF(Financials!$D$7:$AM$7,D$4,Financials!$D$23:$AM$23)+SUMIF(Financials!$D$7:$AM$7,D$4,Financials!$D$24:$AM$24)+SUMIF(Financials!$D$7:$AM$7,D$4,Financials!$D$25:$AM$25))</f>
        <v>576829.527777778</v>
      </c>
      <c r="E11" s="11" t="n">
        <f aca="false">-(SUMIF(Financials!$D$7:$AM$7,E$4,Financials!$D$22:$AM$22)+SUMIF(Financials!$D$7:$AM$7,E$4,Financials!$D$23:$AM$23)+SUMIF(Financials!$D$7:$AM$7,E$4,Financials!$D$24:$AM$24)+SUMIF(Financials!$D$7:$AM$7,E$4,Financials!$D$25:$AM$25))</f>
        <v>881016.915972222</v>
      </c>
      <c r="F11" s="11" t="n">
        <f aca="false">-(SUMIF(Financials!$D$7:$AM$7,F$4,Financials!$D$22:$AM$22)+SUMIF(Financials!$D$7:$AM$7,F$4,Financials!$D$23:$AM$23)+SUMIF(Financials!$D$7:$AM$7,F$4,Financials!$D$24:$AM$24)+SUMIF(Financials!$D$7:$AM$7,F$4,Financials!$D$25:$AM$25))</f>
        <v>1361025.37430556</v>
      </c>
      <c r="G11" s="11" t="n">
        <f aca="false">-(SUMIF(Financials!$D$7:$AM$7,G$4,Financials!$D$22:$AM$22)+SUMIF(Financials!$D$7:$AM$7,G$4,Financials!$D$23:$AM$23)+SUMIF(Financials!$D$7:$AM$7,G$4,Financials!$D$24:$AM$24)+SUMIF(Financials!$D$7:$AM$7,G$4,Financials!$D$25:$AM$25))</f>
        <v>2262242.45868056</v>
      </c>
      <c r="H11" s="11" t="n">
        <f aca="false">-(SUMIF(Financials!$D$7:$AM$7,H$4,Financials!$D$22:$AM$22)+SUMIF(Financials!$D$7:$AM$7,H$4,Financials!$D$23:$AM$23)+SUMIF(Financials!$D$7:$AM$7,H$4,Financials!$D$24:$AM$24)+SUMIF(Financials!$D$7:$AM$7,H$4,Financials!$D$25:$AM$25))</f>
        <v>1989693.78835764</v>
      </c>
      <c r="I11" s="11" t="n">
        <f aca="false">-(SUMIF(Financials!$D$7:$AM$7,I$4,Financials!$D$22:$AM$22)+SUMIF(Financials!$D$7:$AM$7,I$4,Financials!$D$23:$AM$23)+SUMIF(Financials!$D$7:$AM$7,I$4,Financials!$D$24:$AM$24)+SUMIF(Financials!$D$7:$AM$7,I$4,Financials!$D$25:$AM$25))</f>
        <v>2121671.53245556</v>
      </c>
      <c r="J11" s="11" t="n">
        <f aca="false">-(SUMIF(Financials!$D$7:$AM$7,J$4,Financials!$D$22:$AM$22)+SUMIF(Financials!$D$7:$AM$7,J$4,Financials!$D$23:$AM$23)+SUMIF(Financials!$D$7:$AM$7,J$4,Financials!$D$24:$AM$24)+SUMIF(Financials!$D$7:$AM$7,J$4,Financials!$D$25:$AM$25))</f>
        <v>2323647.97208403</v>
      </c>
      <c r="K11" s="11" t="n">
        <f aca="false">-(SUMIF(Financials!$D$7:$AM$7,K$4,Financials!$D$22:$AM$22)+SUMIF(Financials!$D$7:$AM$7,K$4,Financials!$D$23:$AM$23)+SUMIF(Financials!$D$7:$AM$7,K$4,Financials!$D$24:$AM$24)+SUMIF(Financials!$D$7:$AM$7,K$4,Financials!$D$25:$AM$25))</f>
        <v>3046149.15411333</v>
      </c>
      <c r="L11" s="11" t="n">
        <f aca="false">-(SUMIF(Financials!$D$7:$AM$7,L$4,Financials!$D$22:$AM$22)+SUMIF(Financials!$D$7:$AM$7,L$4,Financials!$D$23:$AM$23)+SUMIF(Financials!$D$7:$AM$7,L$4,Financials!$D$24:$AM$24)+SUMIF(Financials!$D$7:$AM$7,L$4,Financials!$D$25:$AM$25))</f>
        <v>2878858.17814209</v>
      </c>
      <c r="M11" s="11" t="n">
        <f aca="false">-(SUMIF(Financials!$D$7:$AM$7,M$4,Financials!$D$22:$AM$22)+SUMIF(Financials!$D$7:$AM$7,M$4,Financials!$D$23:$AM$23)+SUMIF(Financials!$D$7:$AM$7,M$4,Financials!$D$24:$AM$24)+SUMIF(Financials!$D$7:$AM$7,M$4,Financials!$D$25:$AM$25))</f>
        <v>2860499.7553993</v>
      </c>
      <c r="N11" s="11" t="n">
        <f aca="false">-(SUMIF(Financials!$D$7:$AM$7,N$4,Financials!$D$22:$AM$22)+SUMIF(Financials!$D$7:$AM$7,N$4,Financials!$D$23:$AM$23)+SUMIF(Financials!$D$7:$AM$7,N$4,Financials!$D$24:$AM$24)+SUMIF(Financials!$D$7:$AM$7,N$4,Financials!$D$25:$AM$25))</f>
        <v>2874763.20308774</v>
      </c>
    </row>
    <row r="12" customFormat="false" ht="15" hidden="false" customHeight="true" outlineLevel="0" collapsed="false">
      <c r="A12" s="3" t="s">
        <v>85</v>
      </c>
      <c r="B12" s="10" t="s">
        <v>64</v>
      </c>
      <c r="C12" s="12" t="n">
        <f aca="false">SUMIF(Financials!$D$7:$AM$7,C$4,Financials!$D$27:$AM$27)</f>
        <v>-424069.918157309</v>
      </c>
      <c r="D12" s="12" t="n">
        <f aca="false">SUMIF(Financials!$D$7:$AM$7,D$4,Financials!$D$27:$AM$27)</f>
        <v>-600180.403448649</v>
      </c>
      <c r="E12" s="12" t="n">
        <f aca="false">SUMIF(Financials!$D$7:$AM$7,E$4,Financials!$D$27:$AM$27)</f>
        <v>-890451.446792194</v>
      </c>
      <c r="F12" s="12" t="n">
        <f aca="false">SUMIF(Financials!$D$7:$AM$7,F$4,Financials!$D$27:$AM$27)</f>
        <v>-1414852.86237165</v>
      </c>
      <c r="G12" s="12" t="n">
        <f aca="false">SUMIF(Financials!$D$7:$AM$7,G$4,Financials!$D$27:$AM$27)</f>
        <v>-2338018.90053839</v>
      </c>
      <c r="H12" s="12" t="n">
        <f aca="false">SUMIF(Financials!$D$7:$AM$7,H$4,Financials!$D$27:$AM$27)</f>
        <v>-2019354.63931001</v>
      </c>
      <c r="I12" s="12" t="n">
        <f aca="false">SUMIF(Financials!$D$7:$AM$7,I$4,Financials!$D$27:$AM$27)</f>
        <v>-2087499.04701648</v>
      </c>
      <c r="J12" s="12" t="n">
        <f aca="false">SUMIF(Financials!$D$7:$AM$7,J$4,Financials!$D$27:$AM$27)</f>
        <v>-2212434.55576744</v>
      </c>
      <c r="K12" s="12" t="n">
        <f aca="false">SUMIF(Financials!$D$7:$AM$7,K$4,Financials!$D$27:$AM$27)</f>
        <v>-2900854.28244446</v>
      </c>
      <c r="L12" s="12" t="n">
        <f aca="false">SUMIF(Financials!$D$7:$AM$7,L$4,Financials!$D$27:$AM$27)</f>
        <v>-2600516.48189752</v>
      </c>
      <c r="M12" s="12" t="n">
        <f aca="false">SUMIF(Financials!$D$7:$AM$7,M$4,Financials!$D$27:$AM$27)</f>
        <v>-2327396.34003618</v>
      </c>
      <c r="N12" s="12" t="n">
        <f aca="false">SUMIF(Financials!$D$7:$AM$7,N$4,Financials!$D$27:$AM$27)</f>
        <v>-2138421.22288017</v>
      </c>
    </row>
    <row r="13" customFormat="false" ht="15" hidden="false" customHeight="true" outlineLevel="0" collapsed="false">
      <c r="A13" s="5" t="s">
        <v>179</v>
      </c>
      <c r="B13" s="10" t="s">
        <v>64</v>
      </c>
      <c r="C13" s="11" t="n">
        <f aca="false">SUMIF(Financials!$D$7:$AM$7,C$4,Financials!$D$38:$AM$38)</f>
        <v>-425100.591102668</v>
      </c>
      <c r="D13" s="11" t="n">
        <f aca="false">SUMIF(Financials!$D$7:$AM$7,D$4,Financials!$D$38:$AM$38)</f>
        <v>-604063.639292637</v>
      </c>
      <c r="E13" s="11" t="n">
        <f aca="false">SUMIF(Financials!$D$7:$AM$7,E$4,Financials!$D$38:$AM$38)</f>
        <v>-893227.924079158</v>
      </c>
      <c r="F13" s="11" t="n">
        <f aca="false">SUMIF(Financials!$D$7:$AM$7,F$4,Financials!$D$38:$AM$38)</f>
        <v>-1381767.97781245</v>
      </c>
      <c r="G13" s="11" t="n">
        <f aca="false">SUMIF(Financials!$D$7:$AM$7,G$4,Financials!$D$38:$AM$38)</f>
        <v>-2294655.18128386</v>
      </c>
      <c r="H13" s="11" t="n">
        <f aca="false">SUMIF(Financials!$D$7:$AM$7,H$4,Financials!$D$38:$AM$38)</f>
        <v>-1991840.69271184</v>
      </c>
      <c r="I13" s="11" t="n">
        <f aca="false">SUMIF(Financials!$D$7:$AM$7,I$4,Financials!$D$38:$AM$38)</f>
        <v>-2106441.6308169</v>
      </c>
      <c r="J13" s="11" t="n">
        <f aca="false">SUMIF(Financials!$D$7:$AM$7,J$4,Financials!$D$38:$AM$38)</f>
        <v>-2064970.03295606</v>
      </c>
      <c r="K13" s="11" t="n">
        <f aca="false">SUMIF(Financials!$D$7:$AM$7,K$4,Financials!$D$38:$AM$38)</f>
        <v>-2620905.86674084</v>
      </c>
      <c r="L13" s="11" t="n">
        <f aca="false">SUMIF(Financials!$D$7:$AM$7,L$4,Financials!$D$38:$AM$38)</f>
        <v>-2471094.08347356</v>
      </c>
      <c r="M13" s="11" t="n">
        <f aca="false">SUMIF(Financials!$D$7:$AM$7,M$4,Financials!$D$38:$AM$38)</f>
        <v>-2443838.37291043</v>
      </c>
      <c r="N13" s="11" t="n">
        <f aca="false">SUMIF(Financials!$D$7:$AM$7,N$4,Financials!$D$38:$AM$38)</f>
        <v>-1836119.12555677</v>
      </c>
    </row>
    <row r="14" customFormat="false" ht="15" hidden="false" customHeight="true" outlineLevel="0" collapsed="false">
      <c r="A14" s="5" t="s">
        <v>180</v>
      </c>
      <c r="B14" s="10" t="s">
        <v>64</v>
      </c>
      <c r="C14" s="11" t="n">
        <f aca="false">SUMIF(Financials!$D$7:$AM$7,C$4,Financials!$D$39:$AM$39)</f>
        <v>4500000</v>
      </c>
      <c r="D14" s="11" t="n">
        <f aca="false">SUMIF(Financials!$D$7:$AM$7,D$4,Financials!$D$39:$AM$39)</f>
        <v>0</v>
      </c>
      <c r="E14" s="11" t="n">
        <f aca="false">SUMIF(Financials!$D$7:$AM$7,E$4,Financials!$D$39:$AM$39)</f>
        <v>0</v>
      </c>
      <c r="F14" s="11" t="n">
        <f aca="false">SUMIF(Financials!$D$7:$AM$7,F$4,Financials!$D$39:$AM$39)</f>
        <v>0</v>
      </c>
      <c r="G14" s="11" t="n">
        <f aca="false">SUMIF(Financials!$D$7:$AM$7,G$4,Financials!$D$39:$AM$39)</f>
        <v>14000000</v>
      </c>
      <c r="H14" s="11" t="n">
        <f aca="false">SUMIF(Financials!$D$7:$AM$7,H$4,Financials!$D$39:$AM$39)</f>
        <v>0</v>
      </c>
      <c r="I14" s="11" t="n">
        <f aca="false">SUMIF(Financials!$D$7:$AM$7,I$4,Financials!$D$39:$AM$39)</f>
        <v>0</v>
      </c>
      <c r="J14" s="11" t="n">
        <f aca="false">SUMIF(Financials!$D$7:$AM$7,J$4,Financials!$D$39:$AM$39)</f>
        <v>0</v>
      </c>
      <c r="K14" s="11" t="n">
        <f aca="false">SUMIF(Financials!$D$7:$AM$7,K$4,Financials!$D$39:$AM$39)</f>
        <v>9000000</v>
      </c>
      <c r="L14" s="11" t="n">
        <f aca="false">SUMIF(Financials!$D$7:$AM$7,L$4,Financials!$D$39:$AM$39)</f>
        <v>0</v>
      </c>
      <c r="M14" s="11" t="n">
        <f aca="false">SUMIF(Financials!$D$7:$AM$7,M$4,Financials!$D$39:$AM$39)</f>
        <v>0</v>
      </c>
      <c r="N14" s="11" t="n">
        <f aca="false">SUMIF(Financials!$D$7:$AM$7,N$4,Financials!$D$39:$AM$39)</f>
        <v>0</v>
      </c>
    </row>
    <row r="15" customFormat="false" ht="15" hidden="false" customHeight="true" outlineLevel="0" collapsed="false">
      <c r="A15" s="3" t="s">
        <v>181</v>
      </c>
      <c r="B15" s="10" t="s">
        <v>64</v>
      </c>
      <c r="C15" s="12" t="n">
        <f aca="false">INDEX(Financials!$D$41:$AM$41,1,3*C$4)</f>
        <v>4074899.40889733</v>
      </c>
      <c r="D15" s="12" t="n">
        <f aca="false">INDEX(Financials!$D$41:$AM$41,1,3*D$4)</f>
        <v>3470835.76960469</v>
      </c>
      <c r="E15" s="12" t="n">
        <f aca="false">INDEX(Financials!$D$41:$AM$41,1,3*E$4)</f>
        <v>2577607.84552554</v>
      </c>
      <c r="F15" s="12" t="n">
        <f aca="false">INDEX(Financials!$D$41:$AM$41,1,3*F$4)</f>
        <v>1195839.86771309</v>
      </c>
      <c r="G15" s="12" t="n">
        <f aca="false">INDEX(Financials!$D$41:$AM$41,1,3*G$4)</f>
        <v>12901184.6864292</v>
      </c>
      <c r="H15" s="12" t="n">
        <f aca="false">INDEX(Financials!$D$41:$AM$41,1,3*H$4)</f>
        <v>10909343.9937174</v>
      </c>
      <c r="I15" s="12" t="n">
        <f aca="false">INDEX(Financials!$D$41:$AM$41,1,3*I$4)</f>
        <v>8802902.36290048</v>
      </c>
      <c r="J15" s="12" t="n">
        <f aca="false">INDEX(Financials!$D$41:$AM$41,1,3*J$4)</f>
        <v>6737932.32994443</v>
      </c>
      <c r="K15" s="12" t="n">
        <f aca="false">INDEX(Financials!$D$41:$AM$41,1,3*K$4)</f>
        <v>13117026.4632036</v>
      </c>
      <c r="L15" s="12" t="n">
        <f aca="false">INDEX(Financials!$D$41:$AM$41,1,3*L$4)</f>
        <v>10645932.37973</v>
      </c>
      <c r="M15" s="12" t="n">
        <f aca="false">INDEX(Financials!$D$41:$AM$41,1,3*M$4)</f>
        <v>8202094.0068196</v>
      </c>
      <c r="N15" s="12" t="n">
        <f aca="false">INDEX(Financials!$D$41:$AM$41,1,3*N$4)</f>
        <v>6365974.88126283</v>
      </c>
    </row>
    <row r="16" customFormat="false" ht="15" hidden="false" customHeight="true" outlineLevel="0" collapsed="false">
      <c r="A16" s="5" t="s">
        <v>182</v>
      </c>
      <c r="B16" s="10" t="s">
        <v>92</v>
      </c>
      <c r="C16" s="18" t="n">
        <f aca="false">INDEX(Financials!$D$44:$AM$44,1,3*C$4)</f>
        <v>28.7571894336405</v>
      </c>
      <c r="D16" s="18" t="n">
        <f aca="false">INDEX(Financials!$D$44:$AM$44,1,3*D$4)</f>
        <v>17.2374343223294</v>
      </c>
      <c r="E16" s="18" t="n">
        <f aca="false">INDEX(Financials!$D$44:$AM$44,1,3*E$4)</f>
        <v>8.65716725610487</v>
      </c>
      <c r="F16" s="18" t="n">
        <f aca="false">INDEX(Financials!$D$44:$AM$44,1,3*F$4)</f>
        <v>2.59632562104882</v>
      </c>
      <c r="G16" s="18" t="n">
        <f aca="false">INDEX(Financials!$D$44:$AM$44,1,3*G$4)</f>
        <v>16.8668279116486</v>
      </c>
      <c r="H16" s="18" t="n">
        <f aca="false">INDEX(Financials!$D$44:$AM$44,1,3*H$4)</f>
        <v>16.431048979421</v>
      </c>
      <c r="I16" s="18" t="n">
        <f aca="false">INDEX(Financials!$D$44:$AM$44,1,3*I$4)</f>
        <v>12.5371179064952</v>
      </c>
      <c r="J16" s="18" t="n">
        <f aca="false">INDEX(Financials!$D$44:$AM$44,1,3*J$4)</f>
        <v>9.78890573094503</v>
      </c>
      <c r="K16" s="18" t="n">
        <f aca="false">INDEX(Financials!$D$44:$AM$44,1,3*K$4)</f>
        <v>15.0143047443916</v>
      </c>
      <c r="L16" s="18" t="n">
        <f aca="false">INDEX(Financials!$D$44:$AM$44,1,3*L$4)</f>
        <v>12.9245573257558</v>
      </c>
      <c r="M16" s="18" t="n">
        <f aca="false">INDEX(Financials!$D$44:$AM$44,1,3*M$4)</f>
        <v>10.0687026986791</v>
      </c>
      <c r="N16" s="18" t="n">
        <f aca="false">INDEX(Financials!$D$44:$AM$44,1,3*N$4)</f>
        <v>10.4012448745652</v>
      </c>
    </row>
    <row r="17" customFormat="false" ht="15" hidden="false" customHeight="true" outlineLevel="0" collapsed="false">
      <c r="A17" s="5" t="s">
        <v>183</v>
      </c>
      <c r="B17" s="10" t="s">
        <v>184</v>
      </c>
      <c r="C17" s="20" t="n">
        <f aca="false">INDEX(Financials!$D$46:$AM$46,1,3*C$4)</f>
        <v>0</v>
      </c>
      <c r="D17" s="20" t="n">
        <f aca="false">INDEX(Financials!$D$46:$AM$46,1,3*D$4)</f>
        <v>0</v>
      </c>
      <c r="E17" s="20" t="n">
        <f aca="false">INDEX(Financials!$D$46:$AM$46,1,3*E$4)</f>
        <v>0</v>
      </c>
      <c r="F17" s="20" t="n">
        <f aca="false">INDEX(Financials!$D$46:$AM$46,1,3*F$4)</f>
        <v>1</v>
      </c>
      <c r="G17" s="20" t="n">
        <f aca="false">INDEX(Financials!$D$46:$AM$46,1,3*G$4)</f>
        <v>0</v>
      </c>
      <c r="H17" s="20" t="n">
        <f aca="false">INDEX(Financials!$D$46:$AM$46,1,3*H$4)</f>
        <v>0</v>
      </c>
      <c r="I17" s="20" t="n">
        <f aca="false">INDEX(Financials!$D$46:$AM$46,1,3*I$4)</f>
        <v>0</v>
      </c>
      <c r="J17" s="20" t="n">
        <f aca="false">INDEX(Financials!$D$46:$AM$46,1,3*J$4)</f>
        <v>0</v>
      </c>
      <c r="K17" s="20" t="n">
        <f aca="false">INDEX(Financials!$D$46:$AM$46,1,3*K$4)</f>
        <v>0</v>
      </c>
      <c r="L17" s="20" t="n">
        <f aca="false">INDEX(Financials!$D$46:$AM$46,1,3*L$4)</f>
        <v>0</v>
      </c>
      <c r="M17" s="20" t="n">
        <f aca="false">INDEX(Financials!$D$46:$AM$46,1,3*M$4)</f>
        <v>0</v>
      </c>
      <c r="N17" s="20" t="n">
        <f aca="false">INDEX(Financials!$D$46:$AM$46,1,3*N$4)</f>
        <v>0</v>
      </c>
    </row>
    <row r="18" customFormat="false" ht="15" hidden="false" customHeight="true" outlineLevel="0" collapsed="false">
      <c r="A18" s="3" t="s">
        <v>185</v>
      </c>
      <c r="B18" s="10" t="s">
        <v>64</v>
      </c>
      <c r="C18" s="12" t="n">
        <f aca="false">INDEX(Revenue!$D$148:$AM$148,1,3*C$4)</f>
        <v>6659.167492675</v>
      </c>
      <c r="D18" s="12" t="n">
        <f aca="false">INDEX(Revenue!$D$148:$AM$148,1,3*D$4)</f>
        <v>17453.0190916</v>
      </c>
      <c r="E18" s="12" t="n">
        <f aca="false">INDEX(Revenue!$D$148:$AM$148,1,3*E$4)</f>
        <v>43539.9164497031</v>
      </c>
      <c r="F18" s="12" t="n">
        <f aca="false">INDEX(Revenue!$D$148:$AM$148,1,3*F$4)</f>
        <v>116792.567253205</v>
      </c>
      <c r="G18" s="12" t="n">
        <f aca="false">INDEX(Revenue!$D$148:$AM$148,1,3*G$4)</f>
        <v>272573.718018871</v>
      </c>
      <c r="H18" s="12" t="n">
        <f aca="false">INDEX(Revenue!$D$148:$AM$148,1,3*H$4)</f>
        <v>432628.316016517</v>
      </c>
      <c r="I18" s="12" t="n">
        <f aca="false">INDEX(Revenue!$D$148:$AM$148,1,3*I$4)</f>
        <v>721291.524474756</v>
      </c>
      <c r="J18" s="12" t="n">
        <f aca="false">INDEX(Revenue!$D$148:$AM$148,1,3*J$4)</f>
        <v>1244957.74237832</v>
      </c>
      <c r="K18" s="12" t="n">
        <f aca="false">INDEX(Revenue!$D$148:$AM$148,1,3*K$4)</f>
        <v>1873267.48013876</v>
      </c>
      <c r="L18" s="12" t="n">
        <f aca="false">INDEX(Revenue!$D$148:$AM$148,1,3*L$4)</f>
        <v>2341047.05649895</v>
      </c>
      <c r="M18" s="12" t="n">
        <f aca="false">INDEX(Revenue!$D$148:$AM$148,1,3*M$4)</f>
        <v>3076817.12454206</v>
      </c>
      <c r="N18" s="12" t="n">
        <f aca="false">INDEX(Revenue!$D$148:$AM$148,1,3*N$4)</f>
        <v>4339103.43019746</v>
      </c>
    </row>
    <row r="19" customFormat="false" ht="15" hidden="false" customHeight="true" outlineLevel="0" collapsed="false">
      <c r="A19" s="5" t="s">
        <v>186</v>
      </c>
      <c r="B19" s="10" t="s">
        <v>64</v>
      </c>
      <c r="C19" s="11" t="n">
        <f aca="false">C18-IF(C$4=1,0,INDEX(Revenue!$D$148:$AM$148,1,3*(C$4-1)))</f>
        <v>6659.167492675</v>
      </c>
      <c r="D19" s="11" t="n">
        <f aca="false">D18-IF(D$4=1,0,INDEX(Revenue!$D$148:$AM$148,1,3*(D$4-1)))</f>
        <v>10793.851598925</v>
      </c>
      <c r="E19" s="11" t="n">
        <f aca="false">E18-IF(E$4=1,0,INDEX(Revenue!$D$148:$AM$148,1,3*(E$4-1)))</f>
        <v>26086.8973581031</v>
      </c>
      <c r="F19" s="11" t="n">
        <f aca="false">F18-IF(F$4=1,0,INDEX(Revenue!$D$148:$AM$148,1,3*(F$4-1)))</f>
        <v>73252.6508035021</v>
      </c>
      <c r="G19" s="11" t="n">
        <f aca="false">G18-IF(G$4=1,0,INDEX(Revenue!$D$148:$AM$148,1,3*(G$4-1)))</f>
        <v>155781.150765666</v>
      </c>
      <c r="H19" s="11" t="n">
        <f aca="false">H18-IF(H$4=1,0,INDEX(Revenue!$D$148:$AM$148,1,3*(H$4-1)))</f>
        <v>160054.597997646</v>
      </c>
      <c r="I19" s="11" t="n">
        <f aca="false">I18-IF(I$4=1,0,INDEX(Revenue!$D$148:$AM$148,1,3*(I$4-1)))</f>
        <v>288663.208458239</v>
      </c>
      <c r="J19" s="11" t="n">
        <f aca="false">J18-IF(J$4=1,0,INDEX(Revenue!$D$148:$AM$148,1,3*(J$4-1)))</f>
        <v>523666.217903568</v>
      </c>
      <c r="K19" s="11" t="n">
        <f aca="false">K18-IF(K$4=1,0,INDEX(Revenue!$D$148:$AM$148,1,3*(K$4-1)))</f>
        <v>628309.737760433</v>
      </c>
      <c r="L19" s="11" t="n">
        <f aca="false">L18-IF(L$4=1,0,INDEX(Revenue!$D$148:$AM$148,1,3*(L$4-1)))</f>
        <v>467779.576360188</v>
      </c>
      <c r="M19" s="11" t="n">
        <f aca="false">M18-IF(M$4=1,0,INDEX(Revenue!$D$148:$AM$148,1,3*(M$4-1)))</f>
        <v>735770.068043118</v>
      </c>
      <c r="N19" s="11" t="n">
        <f aca="false">N18-IF(N$4=1,0,INDEX(Revenue!$D$148:$AM$148,1,3*(N$4-1)))</f>
        <v>1262286.3056554</v>
      </c>
    </row>
    <row r="20" customFormat="false" ht="15" hidden="false" customHeight="true" outlineLevel="0" collapsed="false">
      <c r="A20" s="5" t="s">
        <v>146</v>
      </c>
      <c r="B20" s="10" t="s">
        <v>100</v>
      </c>
      <c r="C20" s="18" t="n">
        <f aca="false">SUMIF(Revenue!$D$7:$AM$7,C$4,Revenue!$D$42:$AM$42)</f>
        <v>0.666666666666667</v>
      </c>
      <c r="D20" s="18" t="n">
        <f aca="false">SUMIF(Revenue!$D$7:$AM$7,D$4,Revenue!$D$42:$AM$42)</f>
        <v>1.33333333333333</v>
      </c>
      <c r="E20" s="18" t="n">
        <f aca="false">SUMIF(Revenue!$D$7:$AM$7,E$4,Revenue!$D$42:$AM$42)</f>
        <v>1.5</v>
      </c>
      <c r="F20" s="18" t="n">
        <f aca="false">SUMIF(Revenue!$D$7:$AM$7,F$4,Revenue!$D$42:$AM$42)</f>
        <v>0.5</v>
      </c>
      <c r="G20" s="18" t="n">
        <f aca="false">SUMIF(Revenue!$D$7:$AM$7,G$4,Revenue!$D$42:$AM$42)</f>
        <v>1.66666666666667</v>
      </c>
      <c r="H20" s="18" t="n">
        <f aca="false">SUMIF(Revenue!$D$7:$AM$7,H$4,Revenue!$D$42:$AM$42)</f>
        <v>3.33333333333333</v>
      </c>
      <c r="I20" s="18" t="n">
        <f aca="false">SUMIF(Revenue!$D$7:$AM$7,I$4,Revenue!$D$42:$AM$42)</f>
        <v>3.75</v>
      </c>
      <c r="J20" s="18" t="n">
        <f aca="false">SUMIF(Revenue!$D$7:$AM$7,J$4,Revenue!$D$42:$AM$42)</f>
        <v>1.25</v>
      </c>
      <c r="K20" s="18" t="n">
        <f aca="false">SUMIF(Revenue!$D$7:$AM$7,K$4,Revenue!$D$42:$AM$42)</f>
        <v>2.33333333333333</v>
      </c>
      <c r="L20" s="18" t="n">
        <f aca="false">SUMIF(Revenue!$D$7:$AM$7,L$4,Revenue!$D$42:$AM$42)</f>
        <v>4.66666666666667</v>
      </c>
      <c r="M20" s="18" t="n">
        <f aca="false">SUMIF(Revenue!$D$7:$AM$7,M$4,Revenue!$D$42:$AM$42)</f>
        <v>5.25</v>
      </c>
      <c r="N20" s="18" t="n">
        <f aca="false">SUMIF(Revenue!$D$7:$AM$7,N$4,Revenue!$D$42:$AM$42)</f>
        <v>1.75</v>
      </c>
    </row>
    <row r="21" customFormat="false" ht="15" hidden="false" customHeight="true" outlineLevel="0" collapsed="false">
      <c r="A21" s="5" t="s">
        <v>187</v>
      </c>
      <c r="B21" s="10" t="s">
        <v>100</v>
      </c>
      <c r="C21" s="18" t="n">
        <f aca="false">SUMIF(Revenue!$D$7:$AM$7,C$4,Revenue!$D$70:$AM$70)+SUMIF(Revenue!$D$7:$AM$7,C$4,Revenue!$D$85:$AM$85)</f>
        <v>0</v>
      </c>
      <c r="D21" s="18" t="n">
        <f aca="false">SUMIF(Revenue!$D$7:$AM$7,D$4,Revenue!$D$70:$AM$70)+SUMIF(Revenue!$D$7:$AM$7,D$4,Revenue!$D$85:$AM$85)</f>
        <v>0.0916666666666667</v>
      </c>
      <c r="E21" s="18" t="n">
        <f aca="false">SUMIF(Revenue!$D$7:$AM$7,E$4,Revenue!$D$70:$AM$70)+SUMIF(Revenue!$D$7:$AM$7,E$4,Revenue!$D$85:$AM$85)</f>
        <v>0.375</v>
      </c>
      <c r="F21" s="18" t="n">
        <f aca="false">SUMIF(Revenue!$D$7:$AM$7,F$4,Revenue!$D$70:$AM$70)+SUMIF(Revenue!$D$7:$AM$7,F$4,Revenue!$D$85:$AM$85)</f>
        <v>0.825</v>
      </c>
      <c r="G21" s="18" t="n">
        <f aca="false">SUMIF(Revenue!$D$7:$AM$7,G$4,Revenue!$D$70:$AM$70)+SUMIF(Revenue!$D$7:$AM$7,G$4,Revenue!$D$85:$AM$85)</f>
        <v>0.958333333333333</v>
      </c>
      <c r="H21" s="18" t="n">
        <f aca="false">SUMIF(Revenue!$D$7:$AM$7,H$4,Revenue!$D$70:$AM$70)+SUMIF(Revenue!$D$7:$AM$7,H$4,Revenue!$D$85:$AM$85)</f>
        <v>1.31666666666667</v>
      </c>
      <c r="I21" s="18" t="n">
        <f aca="false">SUMIF(Revenue!$D$7:$AM$7,I$4,Revenue!$D$70:$AM$70)+SUMIF(Revenue!$D$7:$AM$7,I$4,Revenue!$D$85:$AM$85)</f>
        <v>3.11666666666667</v>
      </c>
      <c r="J21" s="18" t="n">
        <f aca="false">SUMIF(Revenue!$D$7:$AM$7,J$4,Revenue!$D$70:$AM$70)+SUMIF(Revenue!$D$7:$AM$7,J$4,Revenue!$D$85:$AM$85)</f>
        <v>5.4</v>
      </c>
      <c r="K21" s="18" t="n">
        <f aca="false">SUMIF(Revenue!$D$7:$AM$7,K$4,Revenue!$D$70:$AM$70)+SUMIF(Revenue!$D$7:$AM$7,K$4,Revenue!$D$85:$AM$85)</f>
        <v>4.39166666666667</v>
      </c>
      <c r="L21" s="18" t="n">
        <f aca="false">SUMIF(Revenue!$D$7:$AM$7,L$4,Revenue!$D$70:$AM$70)+SUMIF(Revenue!$D$7:$AM$7,L$4,Revenue!$D$85:$AM$85)</f>
        <v>3.75833333333333</v>
      </c>
      <c r="M21" s="18" t="n">
        <f aca="false">SUMIF(Revenue!$D$7:$AM$7,M$4,Revenue!$D$70:$AM$70)+SUMIF(Revenue!$D$7:$AM$7,M$4,Revenue!$D$85:$AM$85)</f>
        <v>7.21666666666667</v>
      </c>
      <c r="N21" s="18" t="n">
        <f aca="false">SUMIF(Revenue!$D$7:$AM$7,N$4,Revenue!$D$70:$AM$70)+SUMIF(Revenue!$D$7:$AM$7,N$4,Revenue!$D$85:$AM$85)</f>
        <v>12.05</v>
      </c>
    </row>
    <row r="22" customFormat="false" ht="15" hidden="false" customHeight="true" outlineLevel="0" collapsed="false">
      <c r="A22" s="5" t="s">
        <v>188</v>
      </c>
      <c r="B22" s="10" t="s">
        <v>64</v>
      </c>
      <c r="C22" s="11" t="n">
        <f aca="false">INDEX(Revenue!$D$82:$AM$82,1,3*C$4)+INDEX(Revenue!$D$97:$AM$97,1,3*C$4)</f>
        <v>8333.33333333333</v>
      </c>
      <c r="D22" s="11" t="n">
        <f aca="false">INDEX(Revenue!$D$82:$AM$82,1,3*D$4)+INDEX(Revenue!$D$97:$AM$97,1,3*D$4)</f>
        <v>20416.6666666667</v>
      </c>
      <c r="E22" s="11" t="n">
        <f aca="false">INDEX(Revenue!$D$82:$AM$82,1,3*E$4)+INDEX(Revenue!$D$97:$AM$97,1,3*E$4)</f>
        <v>25416.6666666667</v>
      </c>
      <c r="F22" s="11" t="n">
        <f aca="false">INDEX(Revenue!$D$82:$AM$82,1,3*F$4)+INDEX(Revenue!$D$97:$AM$97,1,3*F$4)</f>
        <v>10416.6666666667</v>
      </c>
      <c r="G22" s="11" t="n">
        <f aca="false">INDEX(Revenue!$D$82:$AM$82,1,3*G$4)+INDEX(Revenue!$D$97:$AM$97,1,3*G$4)</f>
        <v>141666.666666667</v>
      </c>
      <c r="H22" s="11" t="n">
        <f aca="false">INDEX(Revenue!$D$82:$AM$82,1,3*H$4)+INDEX(Revenue!$D$97:$AM$97,1,3*H$4)</f>
        <v>380833.333333333</v>
      </c>
      <c r="I22" s="11" t="n">
        <f aca="false">INDEX(Revenue!$D$82:$AM$82,1,3*I$4)+INDEX(Revenue!$D$97:$AM$97,1,3*I$4)</f>
        <v>511458.333333333</v>
      </c>
      <c r="J22" s="11" t="n">
        <f aca="false">INDEX(Revenue!$D$82:$AM$82,1,3*J$4)+INDEX(Revenue!$D$97:$AM$97,1,3*J$4)</f>
        <v>300833.333333333</v>
      </c>
      <c r="K22" s="11" t="n">
        <f aca="false">INDEX(Revenue!$D$82:$AM$82,1,3*K$4)+INDEX(Revenue!$D$97:$AM$97,1,3*K$4)</f>
        <v>441875</v>
      </c>
      <c r="L22" s="11" t="n">
        <f aca="false">INDEX(Revenue!$D$82:$AM$82,1,3*L$4)+INDEX(Revenue!$D$97:$AM$97,1,3*L$4)</f>
        <v>1020000</v>
      </c>
      <c r="M22" s="11" t="n">
        <f aca="false">INDEX(Revenue!$D$82:$AM$82,1,3*M$4)+INDEX(Revenue!$D$97:$AM$97,1,3*M$4)</f>
        <v>1381875</v>
      </c>
      <c r="N22" s="11" t="n">
        <f aca="false">INDEX(Revenue!$D$82:$AM$82,1,3*N$4)+INDEX(Revenue!$D$97:$AM$97,1,3*N$4)</f>
        <v>840000</v>
      </c>
    </row>
    <row r="23" customFormat="false" ht="15" hidden="false" customHeight="true" outlineLevel="0" collapsed="false">
      <c r="A23" s="5" t="s">
        <v>101</v>
      </c>
      <c r="B23" s="10" t="s">
        <v>100</v>
      </c>
      <c r="C23" s="20" t="n">
        <f aca="false">INDEX(Revenue!$D$23:$AM$23,1,3*C$4)</f>
        <v>101.47125</v>
      </c>
      <c r="D23" s="20" t="n">
        <f aca="false">INDEX(Revenue!$D$23:$AM$23,1,3*D$4)</f>
        <v>198.34376472</v>
      </c>
      <c r="E23" s="20" t="n">
        <f aca="false">INDEX(Revenue!$D$23:$AM$23,1,3*E$4)</f>
        <v>253.571359462287</v>
      </c>
      <c r="F23" s="20" t="n">
        <f aca="false">INDEX(Revenue!$D$23:$AM$23,1,3*F$4)</f>
        <v>509.70107475697</v>
      </c>
      <c r="G23" s="20" t="n">
        <f aca="false">INDEX(Revenue!$D$23:$AM$23,1,3*G$4)</f>
        <v>799.418248000355</v>
      </c>
      <c r="H23" s="20" t="n">
        <f aca="false">INDEX(Revenue!$D$23:$AM$23,1,3*H$4)</f>
        <v>1078.8787474489</v>
      </c>
      <c r="I23" s="20" t="n">
        <f aca="false">INDEX(Revenue!$D$23:$AM$23,1,3*I$4)</f>
        <v>1230.43391034349</v>
      </c>
      <c r="J23" s="20" t="n">
        <f aca="false">INDEX(Revenue!$D$23:$AM$23,1,3*J$4)</f>
        <v>2021.02940577755</v>
      </c>
      <c r="K23" s="20" t="n">
        <f aca="false">INDEX(Revenue!$D$23:$AM$23,1,3*K$4)</f>
        <v>2446.08535967611</v>
      </c>
      <c r="L23" s="20" t="n">
        <f aca="false">INDEX(Revenue!$D$23:$AM$23,1,3*L$4)</f>
        <v>2862.89813043047</v>
      </c>
      <c r="M23" s="20" t="n">
        <f aca="false">INDEX(Revenue!$D$23:$AM$23,1,3*M$4)</f>
        <v>3070.74717501364</v>
      </c>
      <c r="N23" s="20" t="n">
        <f aca="false">INDEX(Revenue!$D$23:$AM$23,1,3*N$4)</f>
        <v>4371.04966871702</v>
      </c>
    </row>
    <row r="24" customFormat="false" ht="15" hidden="false" customHeight="true" outlineLevel="0" collapsed="false">
      <c r="A24" s="5" t="s">
        <v>99</v>
      </c>
      <c r="B24" s="10" t="s">
        <v>100</v>
      </c>
      <c r="C24" s="20" t="n">
        <f aca="false">INDEX(Revenue!$D$125:$AM$125,1,3*C$4)</f>
        <v>1695.27984375</v>
      </c>
      <c r="D24" s="20" t="n">
        <f aca="false">INDEX(Revenue!$D$125:$AM$125,1,3*D$4)</f>
        <v>3401.14712653641</v>
      </c>
      <c r="E24" s="20" t="n">
        <f aca="false">INDEX(Revenue!$D$125:$AM$125,1,3*E$4)</f>
        <v>4972.74832929963</v>
      </c>
      <c r="F24" s="20" t="n">
        <f aca="false">INDEX(Revenue!$D$125:$AM$125,1,3*F$4)</f>
        <v>10688.1687626046</v>
      </c>
      <c r="G24" s="20" t="n">
        <f aca="false">INDEX(Revenue!$D$125:$AM$125,1,3*G$4)</f>
        <v>17405.048127702</v>
      </c>
      <c r="H24" s="20" t="n">
        <f aca="false">INDEX(Revenue!$D$125:$AM$125,1,3*H$4)</f>
        <v>24004.9286863915</v>
      </c>
      <c r="I24" s="20" t="n">
        <f aca="false">INDEX(Revenue!$D$125:$AM$125,1,3*I$4)</f>
        <v>32870.4693500777</v>
      </c>
      <c r="J24" s="20" t="n">
        <f aca="false">INDEX(Revenue!$D$125:$AM$125,1,3*J$4)</f>
        <v>57788.247467253</v>
      </c>
      <c r="K24" s="20" t="n">
        <f aca="false">INDEX(Revenue!$D$125:$AM$125,1,3*K$4)</f>
        <v>76394.098493467</v>
      </c>
      <c r="L24" s="20" t="n">
        <f aca="false">INDEX(Revenue!$D$125:$AM$125,1,3*L$4)</f>
        <v>90142.1609025144</v>
      </c>
      <c r="M24" s="20" t="n">
        <f aca="false">INDEX(Revenue!$D$125:$AM$125,1,3*M$4)</f>
        <v>109342.148407949</v>
      </c>
      <c r="N24" s="20" t="n">
        <f aca="false">INDEX(Revenue!$D$125:$AM$125,1,3*N$4)</f>
        <v>160338.650730896</v>
      </c>
    </row>
    <row r="25" customFormat="false" ht="15" hidden="false" customHeight="true" outlineLevel="0" collapsed="false">
      <c r="A25" s="5" t="s">
        <v>44</v>
      </c>
      <c r="B25" s="10" t="s">
        <v>98</v>
      </c>
      <c r="C25" s="18" t="n">
        <f aca="false">INDEX(Headcount!$D$72:$AM$72,1,3*C$4)</f>
        <v>3</v>
      </c>
      <c r="D25" s="18" t="n">
        <f aca="false">INDEX(Headcount!$D$72:$AM$72,1,3*D$4)</f>
        <v>9</v>
      </c>
      <c r="E25" s="18" t="n">
        <f aca="false">INDEX(Headcount!$D$72:$AM$72,1,3*E$4)</f>
        <v>15</v>
      </c>
      <c r="F25" s="18" t="n">
        <f aca="false">INDEX(Headcount!$D$72:$AM$72,1,3*F$4)</f>
        <v>25</v>
      </c>
      <c r="G25" s="18" t="n">
        <f aca="false">INDEX(Headcount!$D$72:$AM$72,1,3*G$4)</f>
        <v>32</v>
      </c>
      <c r="H25" s="18" t="n">
        <f aca="false">INDEX(Headcount!$D$72:$AM$72,1,3*H$4)</f>
        <v>36</v>
      </c>
      <c r="I25" s="18" t="n">
        <f aca="false">INDEX(Headcount!$D$72:$AM$72,1,3*I$4)</f>
        <v>40</v>
      </c>
      <c r="J25" s="18" t="n">
        <f aca="false">INDEX(Headcount!$D$72:$AM$72,1,3*J$4)</f>
        <v>44</v>
      </c>
      <c r="K25" s="18" t="n">
        <f aca="false">INDEX(Headcount!$D$72:$AM$72,1,3*K$4)</f>
        <v>48</v>
      </c>
      <c r="L25" s="18" t="n">
        <f aca="false">INDEX(Headcount!$D$72:$AM$72,1,3*L$4)</f>
        <v>50</v>
      </c>
      <c r="M25" s="18" t="n">
        <f aca="false">INDEX(Headcount!$D$72:$AM$72,1,3*M$4)</f>
        <v>50</v>
      </c>
      <c r="N25" s="18" t="n">
        <f aca="false">INDEX(Headcount!$D$72:$AM$72,1,3*N$4)</f>
        <v>50</v>
      </c>
    </row>
    <row r="26" customFormat="false" ht="15" hidden="false" customHeight="true" outlineLevel="0" collapsed="false">
      <c r="A26" s="5" t="s">
        <v>189</v>
      </c>
      <c r="B26" s="10" t="s">
        <v>64</v>
      </c>
      <c r="C26" s="11" t="n">
        <f aca="false">SUMIF(Costs!$D$7:$AM$7,C$4,Costs!$D$21:$AM$21)</f>
        <v>6399.017904384</v>
      </c>
      <c r="D26" s="11" t="n">
        <f aca="false">SUMIF(Costs!$D$7:$AM$7,D$4,Costs!$D$21:$AM$21)</f>
        <v>7307.97104260421</v>
      </c>
      <c r="E26" s="11" t="n">
        <f aca="false">SUMIF(Costs!$D$7:$AM$7,E$4,Costs!$D$21:$AM$21)</f>
        <v>7976.79189032565</v>
      </c>
      <c r="F26" s="11" t="n">
        <f aca="false">SUMIF(Costs!$D$7:$AM$7,F$4,Costs!$D$21:$AM$21)</f>
        <v>10296.6346671661</v>
      </c>
      <c r="G26" s="11" t="n">
        <f aca="false">SUMIF(Costs!$D$7:$AM$7,G$4,Costs!$D$21:$AM$21)</f>
        <v>17451.6428014674</v>
      </c>
      <c r="H26" s="11" t="n">
        <f aca="false">SUMIF(Costs!$D$7:$AM$7,H$4,Costs!$D$21:$AM$21)</f>
        <v>21225.2246883626</v>
      </c>
      <c r="I26" s="11" t="n">
        <f aca="false">SUMIF(Costs!$D$7:$AM$7,I$4,Costs!$D$21:$AM$21)</f>
        <v>24924.2102527084</v>
      </c>
      <c r="J26" s="11" t="n">
        <f aca="false">SUMIF(Costs!$D$7:$AM$7,J$4,Costs!$D$21:$AM$21)</f>
        <v>35457.0824134224</v>
      </c>
      <c r="K26" s="11" t="n">
        <f aca="false">SUMIF(Costs!$D$7:$AM$7,K$4,Costs!$D$21:$AM$21)</f>
        <v>52921.1238138293</v>
      </c>
      <c r="L26" s="11" t="n">
        <f aca="false">SUMIF(Costs!$D$7:$AM$7,L$4,Costs!$D$21:$AM$21)</f>
        <v>61620.9913948464</v>
      </c>
      <c r="M26" s="11" t="n">
        <f aca="false">SUMIF(Costs!$D$7:$AM$7,M$4,Costs!$D$21:$AM$21)</f>
        <v>69803.3996617806</v>
      </c>
      <c r="N26" s="11" t="n">
        <f aca="false">SUMIF(Costs!$D$7:$AM$7,N$4,Costs!$D$21:$AM$21)</f>
        <v>91597.6390069466</v>
      </c>
    </row>
    <row r="27" customFormat="false" ht="15" hidden="false" customHeight="true" outlineLevel="0" collapsed="false">
      <c r="A27" s="5" t="s">
        <v>190</v>
      </c>
      <c r="B27" s="10" t="s">
        <v>64</v>
      </c>
      <c r="C27" s="24" t="n">
        <f aca="false">IF((SUMIF(Costs!$D$7:$AM$7,C$4,Costs!$D$13:$AM$13))=0,0,C26/(SUMIF(Costs!$D$7:$AM$7,C$4,Costs!$D$13:$AM$13)))</f>
        <v>2.37714756603373</v>
      </c>
      <c r="D27" s="24" t="n">
        <f aca="false">IF((SUMIF(Costs!$D$7:$AM$7,D$4,Costs!$D$13:$AM$13))=0,0,D26/(SUMIF(Costs!$D$7:$AM$7,D$4,Costs!$D$13:$AM$13)))</f>
        <v>0.839663614249911</v>
      </c>
      <c r="E27" s="24" t="n">
        <f aca="false">IF((SUMIF(Costs!$D$7:$AM$7,E$4,Costs!$D$13:$AM$13))=0,0,E26/(SUMIF(Costs!$D$7:$AM$7,E$4,Costs!$D$13:$AM$13)))</f>
        <v>0.624032024379455</v>
      </c>
      <c r="F27" s="24" t="n">
        <f aca="false">IF((SUMIF(Costs!$D$7:$AM$7,F$4,Costs!$D$13:$AM$13))=0,0,F26/(SUMIF(Costs!$D$7:$AM$7,F$4,Costs!$D$13:$AM$13)))</f>
        <v>0.375423992636627</v>
      </c>
      <c r="G27" s="24" t="n">
        <f aca="false">IF((SUMIF(Costs!$D$7:$AM$7,G$4,Costs!$D$13:$AM$13))=0,0,G26/(SUMIF(Costs!$D$7:$AM$7,G$4,Costs!$D$13:$AM$13)))</f>
        <v>0.404251759654313</v>
      </c>
      <c r="H27" s="24" t="n">
        <f aca="false">IF((SUMIF(Costs!$D$7:$AM$7,H$4,Costs!$D$13:$AM$13))=0,0,H26/(SUMIF(Costs!$D$7:$AM$7,H$4,Costs!$D$13:$AM$13)))</f>
        <v>0.319858693699548</v>
      </c>
      <c r="I27" s="24" t="n">
        <f aca="false">IF((SUMIF(Costs!$D$7:$AM$7,I$4,Costs!$D$13:$AM$13))=0,0,I26/(SUMIF(Costs!$D$7:$AM$7,I$4,Costs!$D$13:$AM$13)))</f>
        <v>0.284587929805639</v>
      </c>
      <c r="J27" s="24" t="n">
        <f aca="false">IF((SUMIF(Costs!$D$7:$AM$7,J$4,Costs!$D$13:$AM$13))=0,0,J26/(SUMIF(Costs!$D$7:$AM$7,J$4,Costs!$D$13:$AM$13)))</f>
        <v>0.234613174183809</v>
      </c>
      <c r="K27" s="24" t="n">
        <f aca="false">IF((SUMIF(Costs!$D$7:$AM$7,K$4,Costs!$D$13:$AM$13))=0,0,K26/(SUMIF(Costs!$D$7:$AM$7,K$4,Costs!$D$13:$AM$13)))</f>
        <v>0.254674629242242</v>
      </c>
      <c r="L27" s="24" t="n">
        <f aca="false">IF((SUMIF(Costs!$D$7:$AM$7,L$4,Costs!$D$13:$AM$13))=0,0,L26/(SUMIF(Costs!$D$7:$AM$7,L$4,Costs!$D$13:$AM$13)))</f>
        <v>0.238057499297297</v>
      </c>
      <c r="M27" s="24" t="n">
        <f aca="false">IF((SUMIF(Costs!$D$7:$AM$7,M$4,Costs!$D$13:$AM$13))=0,0,M26/(SUMIF(Costs!$D$7:$AM$7,M$4,Costs!$D$13:$AM$13)))</f>
        <v>0.229193983814272</v>
      </c>
      <c r="N27" s="24" t="n">
        <f aca="false">IF((SUMIF(Costs!$D$7:$AM$7,N$4,Costs!$D$13:$AM$13))=0,0,N26/(SUMIF(Costs!$D$7:$AM$7,N$4,Costs!$D$13:$AM$13)))</f>
        <v>0.211248463389797</v>
      </c>
    </row>
    <row r="28" customFormat="false" ht="15" hidden="false" customHeight="true" outlineLevel="0" collapsed="false">
      <c r="A28" s="5" t="s">
        <v>191</v>
      </c>
      <c r="B28" s="10" t="s">
        <v>192</v>
      </c>
      <c r="C28" s="18" t="n">
        <f aca="false">IF(SUMIF(Revenue!$D$7:$AM$7,C$4,Revenue!$D$152:$AM$152)=0,0,INDEX(Revenue!$D$154:$AM$154,1,3*C$4)/SUMIF(Revenue!$D$7:$AM$7,C$4,Revenue!$D$152:$AM$152)*90)</f>
        <v>69.016748478011</v>
      </c>
      <c r="D28" s="18" t="n">
        <f aca="false">IF(SUMIF(Revenue!$D$7:$AM$7,D$4,Revenue!$D$152:$AM$152)=0,0,INDEX(Revenue!$D$154:$AM$154,1,3*D$4)/SUMIF(Revenue!$D$7:$AM$7,D$4,Revenue!$D$152:$AM$152)*90)</f>
        <v>65.6805967887397</v>
      </c>
      <c r="E28" s="18" t="n">
        <f aca="false">IF(SUMIF(Revenue!$D$7:$AM$7,E$4,Revenue!$D$152:$AM$152)=0,0,INDEX(Revenue!$D$154:$AM$154,1,3*E$4)/SUMIF(Revenue!$D$7:$AM$7,E$4,Revenue!$D$152:$AM$152)*90)</f>
        <v>62.6840642413487</v>
      </c>
      <c r="F28" s="18" t="n">
        <f aca="false">IF(SUMIF(Revenue!$D$7:$AM$7,F$4,Revenue!$D$152:$AM$152)=0,0,INDEX(Revenue!$D$154:$AM$154,1,3*F$4)/SUMIF(Revenue!$D$7:$AM$7,F$4,Revenue!$D$152:$AM$152)*90)</f>
        <v>59.766984122214</v>
      </c>
      <c r="G28" s="18" t="n">
        <f aca="false">IF(SUMIF(Revenue!$D$7:$AM$7,G$4,Revenue!$D$152:$AM$152)=0,0,INDEX(Revenue!$D$154:$AM$154,1,3*G$4)/SUMIF(Revenue!$D$7:$AM$7,G$4,Revenue!$D$152:$AM$152)*90)</f>
        <v>60.8953851198339</v>
      </c>
      <c r="H28" s="18" t="n">
        <f aca="false">IF(SUMIF(Revenue!$D$7:$AM$7,H$4,Revenue!$D$152:$AM$152)=0,0,INDEX(Revenue!$D$154:$AM$154,1,3*H$4)/SUMIF(Revenue!$D$7:$AM$7,H$4,Revenue!$D$152:$AM$152)*90)</f>
        <v>62.181938242881</v>
      </c>
      <c r="I28" s="18" t="n">
        <f aca="false">IF(SUMIF(Revenue!$D$7:$AM$7,I$4,Revenue!$D$152:$AM$152)=0,0,INDEX(Revenue!$D$154:$AM$154,1,3*I$4)/SUMIF(Revenue!$D$7:$AM$7,I$4,Revenue!$D$152:$AM$152)*90)</f>
        <v>60.8629753124288</v>
      </c>
      <c r="J28" s="18" t="n">
        <f aca="false">IF(SUMIF(Revenue!$D$7:$AM$7,J$4,Revenue!$D$152:$AM$152)=0,0,INDEX(Revenue!$D$154:$AM$154,1,3*J$4)/SUMIF(Revenue!$D$7:$AM$7,J$4,Revenue!$D$152:$AM$152)*90)</f>
        <v>61.1723417045767</v>
      </c>
      <c r="K28" s="18" t="n">
        <f aca="false">IF(SUMIF(Revenue!$D$7:$AM$7,K$4,Revenue!$D$152:$AM$152)=0,0,INDEX(Revenue!$D$154:$AM$154,1,3*K$4)/SUMIF(Revenue!$D$7:$AM$7,K$4,Revenue!$D$152:$AM$152)*90)</f>
        <v>58.5619180106686</v>
      </c>
      <c r="L28" s="18" t="n">
        <f aca="false">IF(SUMIF(Revenue!$D$7:$AM$7,L$4,Revenue!$D$152:$AM$152)=0,0,INDEX(Revenue!$D$154:$AM$154,1,3*L$4)/SUMIF(Revenue!$D$7:$AM$7,L$4,Revenue!$D$152:$AM$152)*90)</f>
        <v>60.683472630371</v>
      </c>
      <c r="M28" s="18" t="n">
        <f aca="false">IF(SUMIF(Revenue!$D$7:$AM$7,M$4,Revenue!$D$152:$AM$152)=0,0,INDEX(Revenue!$D$154:$AM$154,1,3*M$4)/SUMIF(Revenue!$D$7:$AM$7,M$4,Revenue!$D$152:$AM$152)*90)</f>
        <v>60.7340673896903</v>
      </c>
      <c r="N28" s="18" t="n">
        <f aca="false">IF(SUMIF(Revenue!$D$7:$AM$7,N$4,Revenue!$D$152:$AM$152)=0,0,INDEX(Revenue!$D$154:$AM$154,1,3*N$4)/SUMIF(Revenue!$D$7:$AM$7,N$4,Revenue!$D$152:$AM$152)*90)</f>
        <v>61.5424148897211</v>
      </c>
    </row>
    <row r="29" customFormat="false" ht="15" hidden="false" customHeight="true" outlineLevel="0" collapsed="false">
      <c r="A29" s="5" t="s">
        <v>193</v>
      </c>
      <c r="B29" s="10" t="s">
        <v>64</v>
      </c>
      <c r="C29" s="11" t="n">
        <f aca="false">INDEX(Revenue!$D$156:$AM$156,1,3*C$4)</f>
        <v>9228.06926822917</v>
      </c>
      <c r="D29" s="11" t="n">
        <f aca="false">INDEX(Revenue!$D$156:$AM$156,1,3*D$4)</f>
        <v>23823.4646440972</v>
      </c>
      <c r="E29" s="11" t="n">
        <f aca="false">INDEX(Revenue!$D$156:$AM$156,1,3*E$4)</f>
        <v>47250.2100208333</v>
      </c>
      <c r="F29" s="11" t="n">
        <f aca="false">INDEX(Revenue!$D$156:$AM$156,1,3*F$4)</f>
        <v>87532.016234375</v>
      </c>
      <c r="G29" s="11" t="n">
        <f aca="false">INDEX(Revenue!$D$156:$AM$156,1,3*G$4)</f>
        <v>222624.142443533</v>
      </c>
      <c r="H29" s="11" t="n">
        <f aca="false">INDEX(Revenue!$D$156:$AM$156,1,3*H$4)</f>
        <v>332717.129884115</v>
      </c>
      <c r="I29" s="11" t="n">
        <f aca="false">INDEX(Revenue!$D$156:$AM$156,1,3*I$4)</f>
        <v>490066.639484722</v>
      </c>
      <c r="J29" s="11" t="n">
        <f aca="false">INDEX(Revenue!$D$156:$AM$156,1,3*J$4)</f>
        <v>741120.804096962</v>
      </c>
      <c r="K29" s="11" t="n">
        <f aca="false">INDEX(Revenue!$D$156:$AM$156,1,3*K$4)</f>
        <v>1162125.2164492</v>
      </c>
      <c r="L29" s="11" t="n">
        <f aca="false">INDEX(Revenue!$D$156:$AM$156,1,3*L$4)</f>
        <v>1343120.97923954</v>
      </c>
      <c r="M29" s="11" t="n">
        <f aca="false">INDEX(Revenue!$D$156:$AM$156,1,3*M$4)</f>
        <v>1665857.34624193</v>
      </c>
      <c r="N29" s="11" t="n">
        <f aca="false">INDEX(Revenue!$D$156:$AM$156,1,3*N$4)</f>
        <v>2339125.57666836</v>
      </c>
    </row>
    <row r="31" customFormat="false" ht="15" hidden="false" customHeight="true" outlineLevel="0" collapsed="false">
      <c r="A31" s="8" t="s">
        <v>194</v>
      </c>
      <c r="B31" s="9"/>
      <c r="C31" s="9"/>
      <c r="D31" s="9"/>
      <c r="E31" s="9"/>
      <c r="F31" s="9"/>
      <c r="G31" s="9"/>
      <c r="H31" s="9"/>
      <c r="I31" s="9"/>
      <c r="J31" s="9"/>
      <c r="K31" s="9"/>
      <c r="L31" s="9"/>
      <c r="M31" s="9"/>
      <c r="N31" s="9"/>
    </row>
    <row r="32" customFormat="false" ht="15" hidden="false" customHeight="true" outlineLevel="0" collapsed="false">
      <c r="A32" s="5" t="s">
        <v>195</v>
      </c>
      <c r="B32" s="10" t="s">
        <v>64</v>
      </c>
      <c r="C32" s="30"/>
      <c r="D32" s="30"/>
      <c r="E32" s="30"/>
      <c r="F32" s="30"/>
      <c r="G32" s="30"/>
      <c r="H32" s="30"/>
      <c r="I32" s="30"/>
      <c r="J32" s="30"/>
      <c r="K32" s="30"/>
      <c r="L32" s="30"/>
      <c r="M32" s="30"/>
      <c r="N32" s="30"/>
    </row>
    <row r="33" customFormat="false" ht="15" hidden="false" customHeight="true" outlineLevel="0" collapsed="false">
      <c r="A33" s="5" t="s">
        <v>196</v>
      </c>
      <c r="B33" s="10" t="s">
        <v>64</v>
      </c>
      <c r="C33" s="11" t="str">
        <f aca="false">IF(C32="","",C32-C8)</f>
        <v/>
      </c>
      <c r="D33" s="11" t="str">
        <f aca="false">IF(D32="","",D32-D8)</f>
        <v/>
      </c>
      <c r="E33" s="11" t="str">
        <f aca="false">IF(E32="","",E32-E8)</f>
        <v/>
      </c>
      <c r="F33" s="11" t="str">
        <f aca="false">IF(F32="","",F32-F8)</f>
        <v/>
      </c>
      <c r="G33" s="11" t="str">
        <f aca="false">IF(G32="","",G32-G8)</f>
        <v/>
      </c>
      <c r="H33" s="11" t="str">
        <f aca="false">IF(H32="","",H32-H8)</f>
        <v/>
      </c>
      <c r="I33" s="11" t="str">
        <f aca="false">IF(I32="","",I32-I8)</f>
        <v/>
      </c>
      <c r="J33" s="11" t="str">
        <f aca="false">IF(J32="","",J32-J8)</f>
        <v/>
      </c>
      <c r="K33" s="11" t="str">
        <f aca="false">IF(K32="","",K32-K8)</f>
        <v/>
      </c>
      <c r="L33" s="11" t="str">
        <f aca="false">IF(L32="","",L32-L8)</f>
        <v/>
      </c>
      <c r="M33" s="11" t="str">
        <f aca="false">IF(M32="","",M32-M8)</f>
        <v/>
      </c>
      <c r="N33" s="11" t="str">
        <f aca="false">IF(N32="","",N32-N8)</f>
        <v/>
      </c>
    </row>
    <row r="34" customFormat="false" ht="15" hidden="false" customHeight="true" outlineLevel="0" collapsed="false">
      <c r="A34" s="5" t="s">
        <v>197</v>
      </c>
      <c r="B34" s="10" t="s">
        <v>64</v>
      </c>
      <c r="C34" s="30"/>
      <c r="D34" s="30"/>
      <c r="E34" s="30"/>
      <c r="F34" s="30"/>
      <c r="G34" s="30"/>
      <c r="H34" s="30"/>
      <c r="I34" s="30"/>
      <c r="J34" s="30"/>
      <c r="K34" s="30"/>
      <c r="L34" s="30"/>
      <c r="M34" s="30"/>
      <c r="N34" s="30"/>
    </row>
    <row r="35" customFormat="false" ht="15" hidden="false" customHeight="true" outlineLevel="0" collapsed="false">
      <c r="A35" s="5" t="s">
        <v>198</v>
      </c>
      <c r="B35" s="10" t="s">
        <v>64</v>
      </c>
      <c r="C35" s="11" t="str">
        <f aca="false">IF(C34="","",C34-C18)</f>
        <v/>
      </c>
      <c r="D35" s="11" t="str">
        <f aca="false">IF(D34="","",D34-D18)</f>
        <v/>
      </c>
      <c r="E35" s="11" t="str">
        <f aca="false">IF(E34="","",E34-E18)</f>
        <v/>
      </c>
      <c r="F35" s="11" t="str">
        <f aca="false">IF(F34="","",F34-F18)</f>
        <v/>
      </c>
      <c r="G35" s="11" t="str">
        <f aca="false">IF(G34="","",G34-G18)</f>
        <v/>
      </c>
      <c r="H35" s="11" t="str">
        <f aca="false">IF(H34="","",H34-H18)</f>
        <v/>
      </c>
      <c r="I35" s="11" t="str">
        <f aca="false">IF(I34="","",I34-I18)</f>
        <v/>
      </c>
      <c r="J35" s="11" t="str">
        <f aca="false">IF(J34="","",J34-J18)</f>
        <v/>
      </c>
      <c r="K35" s="11" t="str">
        <f aca="false">IF(K34="","",K34-K18)</f>
        <v/>
      </c>
      <c r="L35" s="11" t="str">
        <f aca="false">IF(L34="","",L34-L18)</f>
        <v/>
      </c>
      <c r="M35" s="11" t="str">
        <f aca="false">IF(M34="","",M34-M18)</f>
        <v/>
      </c>
      <c r="N35" s="11" t="str">
        <f aca="false">IF(N34="","",N34-N18)</f>
        <v/>
      </c>
    </row>
    <row r="36" customFormat="false" ht="15" hidden="false" customHeight="true" outlineLevel="0" collapsed="false">
      <c r="A36" s="5" t="s">
        <v>199</v>
      </c>
      <c r="B36" s="10" t="s">
        <v>64</v>
      </c>
      <c r="C36" s="30"/>
      <c r="D36" s="30"/>
      <c r="E36" s="30"/>
      <c r="F36" s="30"/>
      <c r="G36" s="30"/>
      <c r="H36" s="30"/>
      <c r="I36" s="30"/>
      <c r="J36" s="30"/>
      <c r="K36" s="30"/>
      <c r="L36" s="30"/>
      <c r="M36" s="30"/>
      <c r="N36" s="30"/>
    </row>
    <row r="37" customFormat="false" ht="15" hidden="false" customHeight="true" outlineLevel="0" collapsed="false">
      <c r="A37" s="5" t="s">
        <v>200</v>
      </c>
      <c r="B37" s="10" t="s">
        <v>64</v>
      </c>
      <c r="C37" s="11" t="str">
        <f aca="false">IF(C36="","",C36-C13)</f>
        <v/>
      </c>
      <c r="D37" s="11" t="str">
        <f aca="false">IF(D36="","",D36-D13)</f>
        <v/>
      </c>
      <c r="E37" s="11" t="str">
        <f aca="false">IF(E36="","",E36-E13)</f>
        <v/>
      </c>
      <c r="F37" s="11" t="str">
        <f aca="false">IF(F36="","",F36-F13)</f>
        <v/>
      </c>
      <c r="G37" s="11" t="str">
        <f aca="false">IF(G36="","",G36-G13)</f>
        <v/>
      </c>
      <c r="H37" s="11" t="str">
        <f aca="false">IF(H36="","",H36-H13)</f>
        <v/>
      </c>
      <c r="I37" s="11" t="str">
        <f aca="false">IF(I36="","",I36-I13)</f>
        <v/>
      </c>
      <c r="J37" s="11" t="str">
        <f aca="false">IF(J36="","",J36-J13)</f>
        <v/>
      </c>
      <c r="K37" s="11" t="str">
        <f aca="false">IF(K36="","",K36-K13)</f>
        <v/>
      </c>
      <c r="L37" s="11" t="str">
        <f aca="false">IF(L36="","",L36-L13)</f>
        <v/>
      </c>
      <c r="M37" s="11" t="str">
        <f aca="false">IF(M36="","",M36-M13)</f>
        <v/>
      </c>
      <c r="N37" s="11" t="str">
        <f aca="false">IF(N36="","",N36-N13)</f>
        <v/>
      </c>
    </row>
    <row r="38" customFormat="false" ht="15" hidden="false" customHeight="true" outlineLevel="0" collapsed="false">
      <c r="A38" s="5" t="s">
        <v>201</v>
      </c>
      <c r="B38" s="10" t="s">
        <v>64</v>
      </c>
      <c r="C38" s="30"/>
      <c r="D38" s="30"/>
      <c r="E38" s="30"/>
      <c r="F38" s="30"/>
      <c r="G38" s="30"/>
      <c r="H38" s="30"/>
      <c r="I38" s="30"/>
      <c r="J38" s="30"/>
      <c r="K38" s="30"/>
      <c r="L38" s="30"/>
      <c r="M38" s="30"/>
      <c r="N38" s="30"/>
    </row>
    <row r="39" customFormat="false" ht="15" hidden="false" customHeight="true" outlineLevel="0" collapsed="false">
      <c r="A39" s="5" t="s">
        <v>202</v>
      </c>
      <c r="B39" s="10" t="s">
        <v>64</v>
      </c>
      <c r="C39" s="11" t="str">
        <f aca="false">IF(C38="","",C38-C15)</f>
        <v/>
      </c>
      <c r="D39" s="11" t="str">
        <f aca="false">IF(D38="","",D38-D15)</f>
        <v/>
      </c>
      <c r="E39" s="11" t="str">
        <f aca="false">IF(E38="","",E38-E15)</f>
        <v/>
      </c>
      <c r="F39" s="11" t="str">
        <f aca="false">IF(F38="","",F38-F15)</f>
        <v/>
      </c>
      <c r="G39" s="11" t="str">
        <f aca="false">IF(G38="","",G38-G15)</f>
        <v/>
      </c>
      <c r="H39" s="11" t="str">
        <f aca="false">IF(H38="","",H38-H15)</f>
        <v/>
      </c>
      <c r="I39" s="11" t="str">
        <f aca="false">IF(I38="","",I38-I15)</f>
        <v/>
      </c>
      <c r="J39" s="11" t="str">
        <f aca="false">IF(J38="","",J38-J15)</f>
        <v/>
      </c>
      <c r="K39" s="11" t="str">
        <f aca="false">IF(K38="","",K38-K15)</f>
        <v/>
      </c>
      <c r="L39" s="11" t="str">
        <f aca="false">IF(L38="","",L38-L15)</f>
        <v/>
      </c>
      <c r="M39" s="11" t="str">
        <f aca="false">IF(M38="","",M38-M15)</f>
        <v/>
      </c>
      <c r="N39" s="11" t="str">
        <f aca="false">IF(N38="","",N38-N15)</f>
        <v/>
      </c>
    </row>
    <row r="40" customFormat="false" ht="15" hidden="false" customHeight="true" outlineLevel="0" collapsed="false">
      <c r="A40" s="5" t="s">
        <v>203</v>
      </c>
      <c r="B40" s="10" t="s">
        <v>98</v>
      </c>
      <c r="C40" s="29"/>
      <c r="D40" s="29"/>
      <c r="E40" s="29"/>
      <c r="F40" s="29"/>
      <c r="G40" s="29"/>
      <c r="H40" s="29"/>
      <c r="I40" s="29"/>
      <c r="J40" s="29"/>
      <c r="K40" s="29"/>
      <c r="L40" s="29"/>
      <c r="M40" s="29"/>
      <c r="N40" s="29"/>
    </row>
    <row r="41" customFormat="false" ht="15" hidden="false" customHeight="true" outlineLevel="0" collapsed="false">
      <c r="A41" s="5" t="s">
        <v>204</v>
      </c>
      <c r="B41" s="10" t="s">
        <v>98</v>
      </c>
      <c r="C41" s="18" t="str">
        <f aca="false">IF(C40="","",C40-C25)</f>
        <v/>
      </c>
      <c r="D41" s="18" t="str">
        <f aca="false">IF(D40="","",D40-D25)</f>
        <v/>
      </c>
      <c r="E41" s="18" t="str">
        <f aca="false">IF(E40="","",E40-E25)</f>
        <v/>
      </c>
      <c r="F41" s="18" t="str">
        <f aca="false">IF(F40="","",F40-F25)</f>
        <v/>
      </c>
      <c r="G41" s="18" t="str">
        <f aca="false">IF(G40="","",G40-G25)</f>
        <v/>
      </c>
      <c r="H41" s="18" t="str">
        <f aca="false">IF(H40="","",H40-H25)</f>
        <v/>
      </c>
      <c r="I41" s="18" t="str">
        <f aca="false">IF(I40="","",I40-I25)</f>
        <v/>
      </c>
      <c r="J41" s="18" t="str">
        <f aca="false">IF(J40="","",J40-J25)</f>
        <v/>
      </c>
      <c r="K41" s="18" t="str">
        <f aca="false">IF(K40="","",K40-K25)</f>
        <v/>
      </c>
      <c r="L41" s="18" t="str">
        <f aca="false">IF(L40="","",L40-L25)</f>
        <v/>
      </c>
      <c r="M41" s="18" t="str">
        <f aca="false">IF(M40="","",M40-M25)</f>
        <v/>
      </c>
      <c r="N41" s="18" t="str">
        <f aca="false">IF(N40="","",N40-N25)</f>
        <v/>
      </c>
    </row>
    <row r="43" customFormat="false" ht="15" hidden="false" customHeight="true" outlineLevel="0" collapsed="false">
      <c r="A43" s="8" t="s">
        <v>205</v>
      </c>
      <c r="B43" s="9"/>
      <c r="C43" s="9"/>
      <c r="D43" s="9"/>
      <c r="E43" s="9"/>
      <c r="F43" s="9"/>
      <c r="G43" s="9"/>
      <c r="H43" s="9"/>
      <c r="I43" s="9"/>
      <c r="J43" s="9"/>
      <c r="K43" s="9"/>
      <c r="L43" s="9"/>
      <c r="M43" s="9"/>
      <c r="N43" s="9"/>
    </row>
    <row r="44" customFormat="false" ht="15" hidden="false" customHeight="true" outlineLevel="0" collapsed="false">
      <c r="A44" s="5" t="s">
        <v>206</v>
      </c>
    </row>
    <row r="45" customFormat="false" ht="15" hidden="false" customHeight="true" outlineLevel="0" collapsed="false">
      <c r="A45" s="5" t="s">
        <v>207</v>
      </c>
    </row>
    <row r="46" customFormat="false" ht="15" hidden="false" customHeight="true" outlineLevel="0" collapsed="false">
      <c r="A46" s="5" t="s">
        <v>208</v>
      </c>
    </row>
    <row r="47" customFormat="false" ht="15" hidden="false" customHeight="true" outlineLevel="0" collapsed="false">
      <c r="A47" s="5"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58"/>
    <col collapsed="false" customWidth="true" hidden="false" outlineLevel="0" max="3" min="3" style="1" width="9"/>
    <col collapsed="false" customWidth="true" hidden="false" outlineLevel="0" max="11" min="4" style="1" width="14"/>
    <col collapsed="false" customWidth="true" hidden="false" outlineLevel="0" max="13" min="12" style="1" width="13"/>
  </cols>
  <sheetData>
    <row r="1" customFormat="false" ht="17.25" hidden="false" customHeight="true" outlineLevel="0" collapsed="false">
      <c r="A1" s="2" t="s">
        <v>210</v>
      </c>
    </row>
    <row r="3" customFormat="false" ht="15" hidden="false" customHeight="true" outlineLevel="0" collapsed="false">
      <c r="A3" s="3" t="s">
        <v>211</v>
      </c>
      <c r="D3" s="31" t="n">
        <v>2</v>
      </c>
      <c r="E3" s="3" t="str">
        <f aca="false">INDEX($D$6:$L$6,1,$D$3)</f>
        <v>Base</v>
      </c>
    </row>
    <row r="4" customFormat="false" ht="15" hidden="false" customHeight="true" outlineLevel="0" collapsed="false">
      <c r="A4" s="10" t="s">
        <v>212</v>
      </c>
    </row>
    <row r="5" customFormat="false" ht="15" hidden="false" customHeight="true" outlineLevel="0" collapsed="false">
      <c r="D5" s="6" t="n">
        <v>1</v>
      </c>
      <c r="E5" s="6" t="n">
        <v>2</v>
      </c>
      <c r="F5" s="6" t="n">
        <v>3</v>
      </c>
      <c r="G5" s="6" t="n">
        <v>4</v>
      </c>
      <c r="H5" s="6" t="n">
        <v>5</v>
      </c>
      <c r="I5" s="6" t="n">
        <v>6</v>
      </c>
      <c r="J5" s="6" t="n">
        <v>7</v>
      </c>
      <c r="K5" s="6" t="n">
        <v>8</v>
      </c>
      <c r="L5" s="6" t="n">
        <v>9</v>
      </c>
    </row>
    <row r="6" customFormat="false" ht="23.25" hidden="false" customHeight="true" outlineLevel="0" collapsed="false">
      <c r="A6" s="7" t="s">
        <v>213</v>
      </c>
      <c r="B6" s="7" t="s">
        <v>214</v>
      </c>
      <c r="C6" s="7" t="s">
        <v>60</v>
      </c>
      <c r="D6" s="7" t="s">
        <v>215</v>
      </c>
      <c r="E6" s="7" t="s">
        <v>216</v>
      </c>
      <c r="F6" s="7" t="s">
        <v>217</v>
      </c>
      <c r="G6" s="7" t="s">
        <v>218</v>
      </c>
      <c r="H6" s="7" t="s">
        <v>219</v>
      </c>
      <c r="I6" s="7" t="s">
        <v>220</v>
      </c>
      <c r="J6" s="7" t="s">
        <v>221</v>
      </c>
      <c r="K6" s="7" t="s">
        <v>222</v>
      </c>
      <c r="L6" s="7" t="s">
        <v>223</v>
      </c>
      <c r="M6" s="7" t="s">
        <v>224</v>
      </c>
    </row>
    <row r="7" customFormat="false" ht="15" hidden="false" customHeight="true" outlineLevel="0" collapsed="false">
      <c r="A7" s="5" t="s">
        <v>225</v>
      </c>
      <c r="B7" s="5" t="s">
        <v>226</v>
      </c>
      <c r="C7" s="5" t="s">
        <v>138</v>
      </c>
      <c r="D7" s="32" t="n">
        <v>0.65</v>
      </c>
      <c r="E7" s="32" t="n">
        <v>1</v>
      </c>
      <c r="F7" s="32" t="n">
        <v>1.5</v>
      </c>
      <c r="G7" s="32" t="n">
        <v>1</v>
      </c>
      <c r="H7" s="32" t="n">
        <v>1</v>
      </c>
      <c r="I7" s="32" t="n">
        <v>0.9</v>
      </c>
      <c r="J7" s="32" t="n">
        <v>0.9</v>
      </c>
      <c r="K7" s="32" t="n">
        <v>1</v>
      </c>
      <c r="L7" s="32" t="n">
        <v>1</v>
      </c>
      <c r="M7" s="33" t="n">
        <f aca="false">INDEX(D7:L7,1,$D$3)</f>
        <v>1</v>
      </c>
    </row>
    <row r="8" customFormat="false" ht="15" hidden="false" customHeight="true" outlineLevel="0" collapsed="false">
      <c r="A8" s="5" t="s">
        <v>227</v>
      </c>
      <c r="B8" s="5" t="s">
        <v>228</v>
      </c>
      <c r="C8" s="5" t="s">
        <v>138</v>
      </c>
      <c r="D8" s="32" t="n">
        <v>0.8</v>
      </c>
      <c r="E8" s="32" t="n">
        <v>1</v>
      </c>
      <c r="F8" s="32" t="n">
        <v>1.2</v>
      </c>
      <c r="G8" s="32" t="n">
        <v>1</v>
      </c>
      <c r="H8" s="32" t="n">
        <v>1</v>
      </c>
      <c r="I8" s="32" t="n">
        <v>0.95</v>
      </c>
      <c r="J8" s="32" t="n">
        <v>0.95</v>
      </c>
      <c r="K8" s="32" t="n">
        <v>1</v>
      </c>
      <c r="L8" s="32" t="n">
        <v>1</v>
      </c>
      <c r="M8" s="33" t="n">
        <f aca="false">INDEX(D8:L8,1,$D$3)</f>
        <v>1</v>
      </c>
    </row>
    <row r="9" customFormat="false" ht="15" hidden="false" customHeight="true" outlineLevel="0" collapsed="false">
      <c r="A9" s="5" t="s">
        <v>229</v>
      </c>
      <c r="B9" s="5" t="s">
        <v>230</v>
      </c>
      <c r="C9" s="5" t="s">
        <v>138</v>
      </c>
      <c r="D9" s="32" t="n">
        <v>1.25</v>
      </c>
      <c r="E9" s="32" t="n">
        <v>1</v>
      </c>
      <c r="F9" s="32" t="n">
        <v>0.85</v>
      </c>
      <c r="G9" s="32" t="n">
        <v>1</v>
      </c>
      <c r="H9" s="32" t="n">
        <v>1</v>
      </c>
      <c r="I9" s="32" t="n">
        <v>1.1</v>
      </c>
      <c r="J9" s="32" t="n">
        <v>1</v>
      </c>
      <c r="K9" s="32" t="n">
        <v>1</v>
      </c>
      <c r="L9" s="32" t="n">
        <v>1</v>
      </c>
      <c r="M9" s="33" t="n">
        <f aca="false">INDEX(D9:L9,1,$D$3)</f>
        <v>1</v>
      </c>
    </row>
    <row r="10" customFormat="false" ht="15" hidden="false" customHeight="true" outlineLevel="0" collapsed="false">
      <c r="A10" s="5" t="s">
        <v>231</v>
      </c>
      <c r="B10" s="5" t="s">
        <v>232</v>
      </c>
      <c r="C10" s="5" t="s">
        <v>138</v>
      </c>
      <c r="D10" s="32" t="n">
        <v>0.6</v>
      </c>
      <c r="E10" s="32" t="n">
        <v>1</v>
      </c>
      <c r="F10" s="32" t="n">
        <v>1.4</v>
      </c>
      <c r="G10" s="32" t="n">
        <v>1</v>
      </c>
      <c r="H10" s="32" t="n">
        <v>1</v>
      </c>
      <c r="I10" s="32" t="n">
        <v>0.85</v>
      </c>
      <c r="J10" s="32" t="n">
        <v>0.9</v>
      </c>
      <c r="K10" s="32" t="n">
        <v>1</v>
      </c>
      <c r="L10" s="32" t="n">
        <v>1</v>
      </c>
      <c r="M10" s="33" t="n">
        <f aca="false">INDEX(D10:L10,1,$D$3)</f>
        <v>1</v>
      </c>
    </row>
    <row r="11" customFormat="false" ht="15" hidden="false" customHeight="true" outlineLevel="0" collapsed="false">
      <c r="A11" s="5" t="s">
        <v>233</v>
      </c>
      <c r="B11" s="5" t="s">
        <v>234</v>
      </c>
      <c r="C11" s="5" t="s">
        <v>138</v>
      </c>
      <c r="D11" s="32" t="n">
        <v>0.85</v>
      </c>
      <c r="E11" s="32" t="n">
        <v>1</v>
      </c>
      <c r="F11" s="32" t="n">
        <v>1.1</v>
      </c>
      <c r="G11" s="32" t="n">
        <v>1</v>
      </c>
      <c r="H11" s="32" t="n">
        <v>1</v>
      </c>
      <c r="I11" s="32" t="n">
        <v>1</v>
      </c>
      <c r="J11" s="32" t="n">
        <v>1</v>
      </c>
      <c r="K11" s="32" t="n">
        <v>1</v>
      </c>
      <c r="L11" s="32" t="n">
        <v>1</v>
      </c>
      <c r="M11" s="33" t="n">
        <f aca="false">INDEX(D11:L11,1,$D$3)</f>
        <v>1</v>
      </c>
    </row>
    <row r="12" customFormat="false" ht="15" hidden="false" customHeight="true" outlineLevel="0" collapsed="false">
      <c r="A12" s="5" t="s">
        <v>235</v>
      </c>
      <c r="B12" s="5" t="s">
        <v>236</v>
      </c>
      <c r="C12" s="5" t="s">
        <v>92</v>
      </c>
      <c r="D12" s="34" t="n">
        <v>3</v>
      </c>
      <c r="E12" s="34" t="n">
        <v>0</v>
      </c>
      <c r="F12" s="34" t="n">
        <v>0</v>
      </c>
      <c r="G12" s="34" t="n">
        <v>6</v>
      </c>
      <c r="H12" s="34" t="n">
        <v>0</v>
      </c>
      <c r="I12" s="34" t="n">
        <v>0</v>
      </c>
      <c r="J12" s="34" t="n">
        <v>0</v>
      </c>
      <c r="K12" s="34" t="n">
        <v>0</v>
      </c>
      <c r="L12" s="34" t="n">
        <v>0</v>
      </c>
      <c r="M12" s="35" t="n">
        <f aca="false">INDEX(D12:L12,1,$D$3)</f>
        <v>0</v>
      </c>
    </row>
    <row r="13" customFormat="false" ht="15" hidden="false" customHeight="true" outlineLevel="0" collapsed="false">
      <c r="A13" s="5" t="s">
        <v>237</v>
      </c>
      <c r="B13" s="5" t="s">
        <v>238</v>
      </c>
      <c r="C13" s="5" t="s">
        <v>92</v>
      </c>
      <c r="D13" s="34" t="n">
        <v>2</v>
      </c>
      <c r="E13" s="34" t="n">
        <v>0</v>
      </c>
      <c r="F13" s="34" t="n">
        <v>0</v>
      </c>
      <c r="G13" s="34" t="n">
        <v>3</v>
      </c>
      <c r="H13" s="34" t="n">
        <v>0</v>
      </c>
      <c r="I13" s="34" t="n">
        <v>1</v>
      </c>
      <c r="J13" s="34" t="n">
        <v>0</v>
      </c>
      <c r="K13" s="34" t="n">
        <v>0</v>
      </c>
      <c r="L13" s="34" t="n">
        <v>0</v>
      </c>
      <c r="M13" s="35" t="n">
        <f aca="false">INDEX(D13:L13,1,$D$3)</f>
        <v>0</v>
      </c>
    </row>
    <row r="14" customFormat="false" ht="15" hidden="false" customHeight="true" outlineLevel="0" collapsed="false">
      <c r="A14" s="5" t="s">
        <v>239</v>
      </c>
      <c r="B14" s="5" t="s">
        <v>240</v>
      </c>
      <c r="C14" s="5" t="s">
        <v>138</v>
      </c>
      <c r="D14" s="32" t="n">
        <v>1.5</v>
      </c>
      <c r="E14" s="32" t="n">
        <v>1</v>
      </c>
      <c r="F14" s="32" t="n">
        <v>0.75</v>
      </c>
      <c r="G14" s="32" t="n">
        <v>1.2</v>
      </c>
      <c r="H14" s="32" t="n">
        <v>1</v>
      </c>
      <c r="I14" s="32" t="n">
        <v>1.75</v>
      </c>
      <c r="J14" s="32" t="n">
        <v>1</v>
      </c>
      <c r="K14" s="32" t="n">
        <v>1</v>
      </c>
      <c r="L14" s="32" t="n">
        <v>1</v>
      </c>
      <c r="M14" s="33" t="n">
        <f aca="false">INDEX(D14:L14,1,$D$3)</f>
        <v>1</v>
      </c>
    </row>
    <row r="15" customFormat="false" ht="15" hidden="false" customHeight="true" outlineLevel="0" collapsed="false">
      <c r="A15" s="5" t="s">
        <v>241</v>
      </c>
      <c r="B15" s="5" t="s">
        <v>242</v>
      </c>
      <c r="C15" s="5" t="s">
        <v>138</v>
      </c>
      <c r="D15" s="32" t="n">
        <v>0.7</v>
      </c>
      <c r="E15" s="32" t="n">
        <v>1</v>
      </c>
      <c r="F15" s="32" t="n">
        <v>1.25</v>
      </c>
      <c r="G15" s="32" t="n">
        <v>0.85</v>
      </c>
      <c r="H15" s="32" t="n">
        <v>1</v>
      </c>
      <c r="I15" s="32" t="n">
        <v>0.8</v>
      </c>
      <c r="J15" s="32" t="n">
        <v>1</v>
      </c>
      <c r="K15" s="32" t="n">
        <v>1</v>
      </c>
      <c r="L15" s="32" t="n">
        <v>1</v>
      </c>
      <c r="M15" s="33" t="n">
        <f aca="false">INDEX(D15:L15,1,$D$3)</f>
        <v>1</v>
      </c>
    </row>
    <row r="16" customFormat="false" ht="15" hidden="false" customHeight="true" outlineLevel="0" collapsed="false">
      <c r="A16" s="5" t="s">
        <v>243</v>
      </c>
      <c r="B16" s="5" t="s">
        <v>244</v>
      </c>
      <c r="C16" s="5" t="s">
        <v>138</v>
      </c>
      <c r="D16" s="32" t="n">
        <v>1.25</v>
      </c>
      <c r="E16" s="32" t="n">
        <v>1</v>
      </c>
      <c r="F16" s="32" t="n">
        <v>0.95</v>
      </c>
      <c r="G16" s="32" t="n">
        <v>1.2</v>
      </c>
      <c r="H16" s="32" t="n">
        <v>1</v>
      </c>
      <c r="I16" s="32" t="n">
        <v>1.15</v>
      </c>
      <c r="J16" s="32" t="n">
        <v>1</v>
      </c>
      <c r="K16" s="32" t="n">
        <v>1</v>
      </c>
      <c r="L16" s="32" t="n">
        <v>1</v>
      </c>
      <c r="M16" s="33" t="n">
        <f aca="false">INDEX(D16:L16,1,$D$3)</f>
        <v>1</v>
      </c>
    </row>
    <row r="17" customFormat="false" ht="15" hidden="false" customHeight="true" outlineLevel="0" collapsed="false">
      <c r="A17" s="5" t="s">
        <v>245</v>
      </c>
      <c r="B17" s="5" t="s">
        <v>246</v>
      </c>
      <c r="C17" s="5" t="s">
        <v>138</v>
      </c>
      <c r="D17" s="32" t="n">
        <v>1</v>
      </c>
      <c r="E17" s="32" t="n">
        <v>1</v>
      </c>
      <c r="F17" s="32" t="n">
        <v>1.2</v>
      </c>
      <c r="G17" s="32" t="n">
        <v>1</v>
      </c>
      <c r="H17" s="32" t="n">
        <v>2</v>
      </c>
      <c r="I17" s="32" t="n">
        <v>1</v>
      </c>
      <c r="J17" s="32" t="n">
        <v>1</v>
      </c>
      <c r="K17" s="32" t="n">
        <v>1</v>
      </c>
      <c r="L17" s="32" t="n">
        <v>1</v>
      </c>
      <c r="M17" s="33" t="n">
        <f aca="false">INDEX(D17:L17,1,$D$3)</f>
        <v>1</v>
      </c>
    </row>
    <row r="18" customFormat="false" ht="15" hidden="false" customHeight="true" outlineLevel="0" collapsed="false">
      <c r="A18" s="5" t="s">
        <v>247</v>
      </c>
      <c r="B18" s="5" t="s">
        <v>248</v>
      </c>
      <c r="C18" s="5" t="s">
        <v>138</v>
      </c>
      <c r="D18" s="32" t="n">
        <v>1</v>
      </c>
      <c r="E18" s="32" t="n">
        <v>1</v>
      </c>
      <c r="F18" s="32" t="n">
        <v>0.9</v>
      </c>
      <c r="G18" s="32" t="n">
        <v>1</v>
      </c>
      <c r="H18" s="32" t="n">
        <v>1.5</v>
      </c>
      <c r="I18" s="32" t="n">
        <v>1</v>
      </c>
      <c r="J18" s="32" t="n">
        <v>1</v>
      </c>
      <c r="K18" s="32" t="n">
        <v>1</v>
      </c>
      <c r="L18" s="32" t="n">
        <v>1</v>
      </c>
      <c r="M18" s="33" t="n">
        <f aca="false">INDEX(D18:L18,1,$D$3)</f>
        <v>1</v>
      </c>
    </row>
    <row r="19" customFormat="false" ht="15" hidden="false" customHeight="true" outlineLevel="0" collapsed="false">
      <c r="A19" s="5" t="s">
        <v>249</v>
      </c>
      <c r="B19" s="5" t="s">
        <v>250</v>
      </c>
      <c r="C19" s="5" t="s">
        <v>92</v>
      </c>
      <c r="D19" s="34" t="n">
        <v>3</v>
      </c>
      <c r="E19" s="34" t="n">
        <v>0</v>
      </c>
      <c r="F19" s="34" t="n">
        <v>0</v>
      </c>
      <c r="G19" s="34" t="n">
        <v>3</v>
      </c>
      <c r="H19" s="34" t="n">
        <v>0</v>
      </c>
      <c r="I19" s="34" t="n">
        <v>0</v>
      </c>
      <c r="J19" s="34" t="n">
        <v>9</v>
      </c>
      <c r="K19" s="34" t="n">
        <v>0</v>
      </c>
      <c r="L19" s="34" t="n">
        <v>9</v>
      </c>
      <c r="M19" s="35" t="n">
        <f aca="false">INDEX(D19:L19,1,$D$3)</f>
        <v>0</v>
      </c>
    </row>
    <row r="20" customFormat="false" ht="15" hidden="false" customHeight="true" outlineLevel="0" collapsed="false">
      <c r="A20" s="5" t="s">
        <v>251</v>
      </c>
      <c r="B20" s="5" t="s">
        <v>252</v>
      </c>
      <c r="C20" s="5" t="s">
        <v>138</v>
      </c>
      <c r="D20" s="32" t="n">
        <v>1</v>
      </c>
      <c r="E20" s="32" t="n">
        <v>1</v>
      </c>
      <c r="F20" s="32" t="n">
        <v>1.15</v>
      </c>
      <c r="G20" s="32" t="n">
        <v>1</v>
      </c>
      <c r="H20" s="32" t="n">
        <v>1</v>
      </c>
      <c r="I20" s="32" t="n">
        <v>1</v>
      </c>
      <c r="J20" s="32" t="n">
        <v>1</v>
      </c>
      <c r="K20" s="32" t="n">
        <v>1</v>
      </c>
      <c r="L20" s="32" t="n">
        <v>1</v>
      </c>
      <c r="M20" s="33" t="n">
        <f aca="false">INDEX(D20:L20,1,$D$3)</f>
        <v>1</v>
      </c>
    </row>
    <row r="21" customFormat="false" ht="15" hidden="false" customHeight="true" outlineLevel="0" collapsed="false">
      <c r="A21" s="5" t="s">
        <v>253</v>
      </c>
      <c r="B21" s="5" t="s">
        <v>254</v>
      </c>
      <c r="C21" s="5" t="s">
        <v>92</v>
      </c>
      <c r="D21" s="34" t="n">
        <v>6</v>
      </c>
      <c r="E21" s="34" t="n">
        <v>0</v>
      </c>
      <c r="F21" s="34" t="n">
        <v>0</v>
      </c>
      <c r="G21" s="34" t="n">
        <v>0</v>
      </c>
      <c r="H21" s="34" t="n">
        <v>0</v>
      </c>
      <c r="I21" s="34" t="n">
        <v>3</v>
      </c>
      <c r="J21" s="34" t="n">
        <v>0</v>
      </c>
      <c r="K21" s="34" t="n">
        <v>0</v>
      </c>
      <c r="L21" s="34" t="n">
        <v>0</v>
      </c>
      <c r="M21" s="35" t="n">
        <f aca="false">INDEX(D21:L21,1,$D$3)</f>
        <v>0</v>
      </c>
    </row>
    <row r="22" customFormat="false" ht="15" hidden="false" customHeight="true" outlineLevel="0" collapsed="false">
      <c r="A22" s="5" t="s">
        <v>255</v>
      </c>
      <c r="B22" s="5" t="s">
        <v>256</v>
      </c>
      <c r="C22" s="5" t="s">
        <v>138</v>
      </c>
      <c r="D22" s="32" t="n">
        <v>0.6</v>
      </c>
      <c r="E22" s="32" t="n">
        <v>1</v>
      </c>
      <c r="F22" s="32" t="n">
        <v>1.4</v>
      </c>
      <c r="G22" s="32" t="n">
        <v>0.9</v>
      </c>
      <c r="H22" s="32" t="n">
        <v>1</v>
      </c>
      <c r="I22" s="32" t="n">
        <v>0.9</v>
      </c>
      <c r="J22" s="32" t="n">
        <v>0.9</v>
      </c>
      <c r="K22" s="32" t="n">
        <v>1</v>
      </c>
      <c r="L22" s="32" t="n">
        <v>1</v>
      </c>
      <c r="M22" s="33" t="n">
        <f aca="false">INDEX(D22:L22,1,$D$3)</f>
        <v>1</v>
      </c>
    </row>
    <row r="23" customFormat="false" ht="15" hidden="false" customHeight="true" outlineLevel="0" collapsed="false">
      <c r="A23" s="5" t="s">
        <v>257</v>
      </c>
      <c r="B23" s="5" t="s">
        <v>258</v>
      </c>
      <c r="C23" s="5" t="s">
        <v>92</v>
      </c>
      <c r="D23" s="34" t="n">
        <v>1</v>
      </c>
      <c r="E23" s="34" t="n">
        <v>0</v>
      </c>
      <c r="F23" s="34" t="n">
        <v>0</v>
      </c>
      <c r="G23" s="34" t="n">
        <v>1</v>
      </c>
      <c r="H23" s="34" t="n">
        <v>0</v>
      </c>
      <c r="I23" s="34" t="n">
        <v>1</v>
      </c>
      <c r="J23" s="34" t="n">
        <v>0</v>
      </c>
      <c r="K23" s="34" t="n">
        <v>0</v>
      </c>
      <c r="L23" s="34" t="n">
        <v>0</v>
      </c>
      <c r="M23" s="35" t="n">
        <f aca="false">INDEX(D23:L23,1,$D$3)</f>
        <v>0</v>
      </c>
    </row>
    <row r="24" customFormat="false" ht="15" hidden="false" customHeight="true" outlineLevel="0" collapsed="false">
      <c r="A24" s="5" t="s">
        <v>259</v>
      </c>
      <c r="B24" s="5" t="s">
        <v>260</v>
      </c>
      <c r="C24" s="5" t="s">
        <v>184</v>
      </c>
      <c r="D24" s="34" t="n">
        <v>0</v>
      </c>
      <c r="E24" s="34" t="n">
        <v>0</v>
      </c>
      <c r="F24" s="34" t="n">
        <v>0</v>
      </c>
      <c r="G24" s="34" t="n">
        <v>0</v>
      </c>
      <c r="H24" s="34" t="n">
        <v>0</v>
      </c>
      <c r="I24" s="34" t="n">
        <v>1</v>
      </c>
      <c r="J24" s="34" t="n">
        <v>0</v>
      </c>
      <c r="K24" s="34" t="n">
        <v>0</v>
      </c>
      <c r="L24" s="34" t="n">
        <v>0</v>
      </c>
      <c r="M24" s="35" t="n">
        <f aca="false">INDEX(D24:L24,1,$D$3)</f>
        <v>0</v>
      </c>
    </row>
    <row r="25" customFormat="false" ht="15" hidden="false" customHeight="true" outlineLevel="0" collapsed="false">
      <c r="A25" s="5" t="s">
        <v>261</v>
      </c>
      <c r="B25" s="5" t="s">
        <v>262</v>
      </c>
      <c r="C25" s="5" t="s">
        <v>184</v>
      </c>
      <c r="D25" s="34" t="n">
        <v>0</v>
      </c>
      <c r="E25" s="34" t="n">
        <v>0</v>
      </c>
      <c r="F25" s="34" t="n">
        <v>0</v>
      </c>
      <c r="G25" s="34" t="n">
        <v>0</v>
      </c>
      <c r="H25" s="34" t="n">
        <v>0</v>
      </c>
      <c r="I25" s="34" t="n">
        <v>0</v>
      </c>
      <c r="J25" s="34" t="n">
        <v>0</v>
      </c>
      <c r="K25" s="34" t="n">
        <v>1</v>
      </c>
      <c r="L25" s="34" t="n">
        <v>1</v>
      </c>
      <c r="M25" s="35" t="n">
        <f aca="false">INDEX(D25:L25,1,$D$3)</f>
        <v>0</v>
      </c>
    </row>
    <row r="26" customFormat="false" ht="15" hidden="false" customHeight="true" outlineLevel="0" collapsed="false">
      <c r="A26" s="5" t="s">
        <v>263</v>
      </c>
      <c r="B26" s="5" t="s">
        <v>264</v>
      </c>
      <c r="C26" s="5" t="s">
        <v>92</v>
      </c>
      <c r="D26" s="34" t="n">
        <v>0</v>
      </c>
      <c r="E26" s="34" t="n">
        <v>0</v>
      </c>
      <c r="F26" s="34" t="n">
        <v>0</v>
      </c>
      <c r="G26" s="34" t="n">
        <v>0</v>
      </c>
      <c r="H26" s="34" t="n">
        <v>0</v>
      </c>
      <c r="I26" s="34" t="n">
        <v>0</v>
      </c>
      <c r="J26" s="34" t="n">
        <v>0</v>
      </c>
      <c r="K26" s="34" t="n">
        <v>0</v>
      </c>
      <c r="L26" s="34" t="n">
        <v>0</v>
      </c>
      <c r="M26" s="35" t="n">
        <f aca="false">INDEX(D26:L26,1,$D$3)</f>
        <v>0</v>
      </c>
    </row>
  </sheetData>
  <dataValidations count="1">
    <dataValidation allowBlank="false" error="Enter a scenario number from 1 to 9" errorStyle="stop" operator="between" showDropDown="false" showErrorMessage="true" showInputMessage="false" sqref="D3"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18" min="3" style="1" width="15"/>
  </cols>
  <sheetData>
    <row r="1" customFormat="false" ht="17.25" hidden="false" customHeight="true" outlineLevel="0" collapsed="false">
      <c r="A1" s="2" t="s">
        <v>265</v>
      </c>
    </row>
    <row r="2" customFormat="false" ht="15" hidden="false" customHeight="true" outlineLevel="0" collapsed="false">
      <c r="A2" s="10" t="s">
        <v>266</v>
      </c>
    </row>
    <row r="4" customFormat="false" ht="57.75" hidden="false" customHeight="true" outlineLevel="0" collapsed="false">
      <c r="A4" s="36" t="s">
        <v>100</v>
      </c>
      <c r="B4" s="36" t="s">
        <v>213</v>
      </c>
      <c r="C4" s="36" t="s">
        <v>267</v>
      </c>
      <c r="D4" s="36" t="s">
        <v>268</v>
      </c>
      <c r="E4" s="36" t="s">
        <v>269</v>
      </c>
      <c r="F4" s="36" t="s">
        <v>270</v>
      </c>
      <c r="G4" s="36" t="s">
        <v>271</v>
      </c>
      <c r="H4" s="36" t="s">
        <v>272</v>
      </c>
      <c r="I4" s="36" t="s">
        <v>273</v>
      </c>
      <c r="J4" s="36" t="s">
        <v>274</v>
      </c>
      <c r="K4" s="36" t="s">
        <v>275</v>
      </c>
      <c r="L4" s="36" t="s">
        <v>276</v>
      </c>
      <c r="M4" s="36" t="s">
        <v>277</v>
      </c>
      <c r="N4" s="36" t="s">
        <v>278</v>
      </c>
      <c r="O4" s="36" t="s">
        <v>279</v>
      </c>
      <c r="P4" s="36" t="s">
        <v>280</v>
      </c>
      <c r="Q4" s="36" t="s">
        <v>281</v>
      </c>
      <c r="R4" s="36" t="s">
        <v>282</v>
      </c>
    </row>
    <row r="5" customFormat="false" ht="15" hidden="false" customHeight="true" outlineLevel="0" collapsed="false">
      <c r="A5" s="5" t="n">
        <v>1</v>
      </c>
      <c r="B5" s="3" t="s">
        <v>215</v>
      </c>
      <c r="C5" s="37" t="n">
        <v>64805.4616686877</v>
      </c>
      <c r="D5" s="37" t="n">
        <v>510433.123080171</v>
      </c>
      <c r="E5" s="37" t="n">
        <v>1925067.23761285</v>
      </c>
      <c r="F5" s="37" t="n">
        <v>1527207.74990461</v>
      </c>
      <c r="G5" s="38" t="n">
        <v>-0.0648965993170379</v>
      </c>
      <c r="H5" s="38" t="n">
        <v>-0.238559046851964</v>
      </c>
      <c r="I5" s="39" t="n">
        <v>-2737637.0897811</v>
      </c>
      <c r="J5" s="39" t="n">
        <v>-8252871.90469562</v>
      </c>
      <c r="K5" s="39" t="n">
        <v>-11357687.0209659</v>
      </c>
      <c r="L5" s="37" t="n">
        <v>22239535.3101999</v>
      </c>
      <c r="M5" s="39" t="n">
        <v>1750355.45913524</v>
      </c>
      <c r="N5" s="40" t="n">
        <v>2</v>
      </c>
      <c r="O5" s="37" t="n">
        <v>5260464.68980014</v>
      </c>
      <c r="P5" s="41" t="n">
        <v>50</v>
      </c>
      <c r="Q5" s="26" t="n">
        <v>9.76395604456897</v>
      </c>
      <c r="R5" s="38" t="n">
        <v>0.968540830424523</v>
      </c>
    </row>
    <row r="6" customFormat="false" ht="15" hidden="false" customHeight="true" outlineLevel="0" collapsed="false">
      <c r="A6" s="5" t="n">
        <v>2</v>
      </c>
      <c r="B6" s="3" t="s">
        <v>216</v>
      </c>
      <c r="C6" s="37" t="n">
        <v>158962.057783855</v>
      </c>
      <c r="D6" s="37" t="n">
        <v>1386244.79096699</v>
      </c>
      <c r="E6" s="37" t="n">
        <v>4716500.41297831</v>
      </c>
      <c r="F6" s="37" t="n">
        <v>4339103.43019746</v>
      </c>
      <c r="G6" s="38" t="n">
        <v>0.35896995976621</v>
      </c>
      <c r="H6" s="38" t="n">
        <v>0.364797374477411</v>
      </c>
      <c r="I6" s="39" t="n">
        <v>-3329554.6307698</v>
      </c>
      <c r="J6" s="39" t="n">
        <v>-8657307.14263232</v>
      </c>
      <c r="K6" s="39" t="n">
        <v>-9967188.32725833</v>
      </c>
      <c r="L6" s="37" t="n">
        <v>21134025.1187372</v>
      </c>
      <c r="M6" s="39" t="n">
        <v>1195839.86771309</v>
      </c>
      <c r="N6" s="40" t="n">
        <v>3</v>
      </c>
      <c r="O6" s="37" t="n">
        <v>6365974.88126283</v>
      </c>
      <c r="P6" s="41" t="n">
        <v>50</v>
      </c>
      <c r="Q6" s="26" t="n">
        <v>3.02893218169287</v>
      </c>
      <c r="R6" s="38" t="n">
        <v>1.07985652260366</v>
      </c>
    </row>
    <row r="7" customFormat="false" ht="15" hidden="false" customHeight="true" outlineLevel="0" collapsed="false">
      <c r="A7" s="5" t="n">
        <v>3</v>
      </c>
      <c r="B7" s="3" t="s">
        <v>217</v>
      </c>
      <c r="C7" s="37" t="n">
        <v>231933.874020115</v>
      </c>
      <c r="D7" s="37" t="n">
        <v>2042968.43185982</v>
      </c>
      <c r="E7" s="37" t="n">
        <v>7152746.60062573</v>
      </c>
      <c r="F7" s="37" t="n">
        <v>6893501.30475933</v>
      </c>
      <c r="G7" s="38" t="n">
        <v>0.457280024845558</v>
      </c>
      <c r="H7" s="38" t="n">
        <v>0.498241819298378</v>
      </c>
      <c r="I7" s="39" t="n">
        <v>-3384569.96943343</v>
      </c>
      <c r="J7" s="39" t="n">
        <v>-8960495.60838307</v>
      </c>
      <c r="K7" s="39" t="n">
        <v>-9494123.85647861</v>
      </c>
      <c r="L7" s="37" t="n">
        <v>20504059.6499169</v>
      </c>
      <c r="M7" s="39" t="n">
        <v>1158177.87936677</v>
      </c>
      <c r="N7" s="40" t="n">
        <v>3</v>
      </c>
      <c r="O7" s="37" t="n">
        <v>6995940.35008306</v>
      </c>
      <c r="P7" s="41" t="n">
        <v>50</v>
      </c>
      <c r="Q7" s="26" t="n">
        <v>1.72600560068656</v>
      </c>
      <c r="R7" s="38" t="n">
        <v>1.15573783057612</v>
      </c>
    </row>
    <row r="8" customFormat="false" ht="15" hidden="false" customHeight="true" outlineLevel="0" collapsed="false">
      <c r="A8" s="5" t="n">
        <v>4</v>
      </c>
      <c r="B8" s="3" t="s">
        <v>218</v>
      </c>
      <c r="C8" s="37" t="n">
        <v>86899.7316057391</v>
      </c>
      <c r="D8" s="37" t="n">
        <v>647829.080696794</v>
      </c>
      <c r="E8" s="37" t="n">
        <v>2749858.25753135</v>
      </c>
      <c r="F8" s="37" t="n">
        <v>2535321.76008655</v>
      </c>
      <c r="G8" s="38" t="n">
        <v>0.148032555365546</v>
      </c>
      <c r="H8" s="38" t="n">
        <v>0.112332439315333</v>
      </c>
      <c r="I8" s="39" t="n">
        <v>-2733909.50804118</v>
      </c>
      <c r="J8" s="39" t="n">
        <v>-8163798.98847399</v>
      </c>
      <c r="K8" s="39" t="n">
        <v>-10897384.4198448</v>
      </c>
      <c r="L8" s="37" t="n">
        <v>21404300.1778676</v>
      </c>
      <c r="M8" s="39" t="n">
        <v>1753767.1446122</v>
      </c>
      <c r="N8" s="40" t="n">
        <v>1</v>
      </c>
      <c r="O8" s="37" t="n">
        <v>6095699.82213245</v>
      </c>
      <c r="P8" s="41" t="n">
        <v>50</v>
      </c>
      <c r="Q8" s="26" t="n">
        <v>5.40186565759145</v>
      </c>
      <c r="R8" s="38" t="n">
        <v>1.04308448933159</v>
      </c>
    </row>
    <row r="9" customFormat="false" ht="15" hidden="false" customHeight="true" outlineLevel="0" collapsed="false">
      <c r="A9" s="5" t="n">
        <v>5</v>
      </c>
      <c r="B9" s="3" t="s">
        <v>219</v>
      </c>
      <c r="C9" s="37" t="n">
        <v>158962.057783855</v>
      </c>
      <c r="D9" s="37" t="n">
        <v>1386244.79096699</v>
      </c>
      <c r="E9" s="37" t="n">
        <v>4716500.41297831</v>
      </c>
      <c r="F9" s="37" t="n">
        <v>4339103.43019746</v>
      </c>
      <c r="G9" s="38" t="n">
        <v>0.272489249061207</v>
      </c>
      <c r="H9" s="38" t="n">
        <v>0.22487870202709</v>
      </c>
      <c r="I9" s="39" t="n">
        <v>-3345515.46177876</v>
      </c>
      <c r="J9" s="39" t="n">
        <v>-8771423.46294425</v>
      </c>
      <c r="K9" s="39" t="n">
        <v>-10375074.6350131</v>
      </c>
      <c r="L9" s="37" t="n">
        <v>21671988.5778129</v>
      </c>
      <c r="M9" s="39" t="n">
        <v>1179879.03670413</v>
      </c>
      <c r="N9" s="40" t="n">
        <v>3</v>
      </c>
      <c r="O9" s="37" t="n">
        <v>5828011.42218714</v>
      </c>
      <c r="P9" s="41" t="n">
        <v>50</v>
      </c>
      <c r="Q9" s="26" t="n">
        <v>3.16075736024233</v>
      </c>
      <c r="R9" s="38" t="n">
        <v>1.07985652260366</v>
      </c>
    </row>
    <row r="10" customFormat="false" ht="15" hidden="false" customHeight="true" outlineLevel="0" collapsed="false">
      <c r="A10" s="5" t="n">
        <v>6</v>
      </c>
      <c r="B10" s="3" t="s">
        <v>220</v>
      </c>
      <c r="C10" s="37" t="n">
        <v>121947.857600596</v>
      </c>
      <c r="D10" s="37" t="n">
        <v>1067253.30976542</v>
      </c>
      <c r="E10" s="37" t="n">
        <v>3726701.26151749</v>
      </c>
      <c r="F10" s="37" t="n">
        <v>3248163.19676697</v>
      </c>
      <c r="G10" s="38" t="n">
        <v>0.248468438255431</v>
      </c>
      <c r="H10" s="38" t="n">
        <v>0.246452133790993</v>
      </c>
      <c r="I10" s="39" t="n">
        <v>-3354765.14184405</v>
      </c>
      <c r="J10" s="39" t="n">
        <v>-9906190.92751642</v>
      </c>
      <c r="K10" s="39" t="n">
        <v>-10022669.8838744</v>
      </c>
      <c r="L10" s="37" t="n">
        <v>23220759.5355089</v>
      </c>
      <c r="M10" s="39" t="n">
        <v>1133018.20278664</v>
      </c>
      <c r="N10" s="40" t="n">
        <v>7</v>
      </c>
      <c r="O10" s="37" t="n">
        <v>4279240.46449112</v>
      </c>
      <c r="P10" s="41" t="n">
        <v>50</v>
      </c>
      <c r="Q10" s="26" t="n">
        <v>4.2718867784294</v>
      </c>
      <c r="R10" s="38" t="n">
        <v>0.954474577689596</v>
      </c>
    </row>
    <row r="11" customFormat="false" ht="15" hidden="false" customHeight="true" outlineLevel="0" collapsed="false">
      <c r="A11" s="5" t="n">
        <v>7</v>
      </c>
      <c r="B11" s="3" t="s">
        <v>221</v>
      </c>
      <c r="C11" s="37" t="n">
        <v>142361.907230496</v>
      </c>
      <c r="D11" s="37" t="n">
        <v>1242150.16281271</v>
      </c>
      <c r="E11" s="37" t="n">
        <v>4216242.52659198</v>
      </c>
      <c r="F11" s="37" t="n">
        <v>3877721.29764795</v>
      </c>
      <c r="G11" s="38" t="n">
        <v>0.367290202983211</v>
      </c>
      <c r="H11" s="38" t="n">
        <v>0.378379761933204</v>
      </c>
      <c r="I11" s="39" t="n">
        <v>-2441195.97919675</v>
      </c>
      <c r="J11" s="39" t="n">
        <v>-5693128.96614776</v>
      </c>
      <c r="K11" s="39" t="n">
        <v>-8820387.44780138</v>
      </c>
      <c r="L11" s="37" t="n">
        <v>16218655.2375424</v>
      </c>
      <c r="M11" s="39" t="n">
        <v>2081223.44233462</v>
      </c>
      <c r="N11" s="40" t="n">
        <v>0</v>
      </c>
      <c r="O11" s="37" t="n">
        <v>11281344.7624576</v>
      </c>
      <c r="P11" s="41" t="n">
        <v>48</v>
      </c>
      <c r="Q11" s="26" t="n">
        <v>2.99558637874366</v>
      </c>
      <c r="R11" s="38" t="n">
        <v>1.07985652260366</v>
      </c>
    </row>
    <row r="12" customFormat="false" ht="15" hidden="false" customHeight="true" outlineLevel="0" collapsed="false">
      <c r="A12" s="5" t="n">
        <v>8</v>
      </c>
      <c r="B12" s="3" t="s">
        <v>222</v>
      </c>
      <c r="C12" s="37" t="n">
        <v>0</v>
      </c>
      <c r="D12" s="37" t="n">
        <v>418520.07020149</v>
      </c>
      <c r="E12" s="37" t="n">
        <v>3207398.98584721</v>
      </c>
      <c r="F12" s="37" t="n">
        <v>2954274.83556909</v>
      </c>
      <c r="G12" s="38" t="n">
        <v>0.204445240096002</v>
      </c>
      <c r="H12" s="38" t="n">
        <v>0.0769515566973524</v>
      </c>
      <c r="I12" s="39" t="n">
        <v>-3363892.43749434</v>
      </c>
      <c r="J12" s="39" t="n">
        <v>-9023593.51638867</v>
      </c>
      <c r="K12" s="39" t="n">
        <v>-10949651.4526548</v>
      </c>
      <c r="L12" s="37" t="n">
        <v>22902187.5367903</v>
      </c>
      <c r="M12" s="39" t="n">
        <v>1136196.81250566</v>
      </c>
      <c r="N12" s="40" t="n">
        <v>3</v>
      </c>
      <c r="O12" s="37" t="n">
        <v>4597812.46320971</v>
      </c>
      <c r="P12" s="41" t="n">
        <v>50</v>
      </c>
      <c r="Q12" s="26" t="n">
        <v>4.24489924360541</v>
      </c>
      <c r="R12" s="38" t="n">
        <v>1.12427272727273</v>
      </c>
    </row>
    <row r="13" customFormat="false" ht="15" hidden="false" customHeight="true" outlineLevel="0" collapsed="false">
      <c r="A13" s="5" t="n">
        <v>9</v>
      </c>
      <c r="B13" s="3" t="s">
        <v>223</v>
      </c>
      <c r="C13" s="37" t="n">
        <v>0</v>
      </c>
      <c r="D13" s="37" t="n">
        <v>418520.07020149</v>
      </c>
      <c r="E13" s="37" t="n">
        <v>3207398.98584721</v>
      </c>
      <c r="F13" s="37" t="n">
        <v>2954274.83556909</v>
      </c>
      <c r="G13" s="38" t="n">
        <v>0.253067909333022</v>
      </c>
      <c r="H13" s="38" t="n">
        <v>0.169428071038739</v>
      </c>
      <c r="I13" s="39" t="n">
        <v>-2469628.43749434</v>
      </c>
      <c r="J13" s="39" t="n">
        <v>-5997195.51638867</v>
      </c>
      <c r="K13" s="39" t="n">
        <v>-9536486.55265479</v>
      </c>
      <c r="L13" s="37" t="n">
        <v>17568360.6367903</v>
      </c>
      <c r="M13" s="39" t="n">
        <v>2030460.81250566</v>
      </c>
      <c r="N13" s="40" t="n">
        <v>0</v>
      </c>
      <c r="O13" s="37" t="n">
        <v>9931639.36320971</v>
      </c>
      <c r="P13" s="41" t="n">
        <v>48</v>
      </c>
      <c r="Q13" s="26" t="n">
        <v>3.68109536496856</v>
      </c>
      <c r="R13" s="38" t="n">
        <v>1.12427272727273</v>
      </c>
    </row>
    <row r="14" customFormat="false" ht="15" hidden="false" customHeight="true" outlineLevel="0" collapsed="false">
      <c r="A14" s="3" t="s">
        <v>283</v>
      </c>
    </row>
    <row r="15" customFormat="false" ht="57.75" hidden="false" customHeight="true" outlineLevel="0" collapsed="false">
      <c r="A15" s="36" t="s">
        <v>100</v>
      </c>
      <c r="B15" s="36" t="s">
        <v>213</v>
      </c>
      <c r="C15" s="36" t="s">
        <v>267</v>
      </c>
      <c r="D15" s="36" t="s">
        <v>268</v>
      </c>
      <c r="E15" s="36" t="s">
        <v>269</v>
      </c>
      <c r="F15" s="36" t="s">
        <v>270</v>
      </c>
      <c r="G15" s="36" t="s">
        <v>271</v>
      </c>
      <c r="H15" s="36" t="s">
        <v>272</v>
      </c>
      <c r="I15" s="36" t="s">
        <v>273</v>
      </c>
      <c r="J15" s="36" t="s">
        <v>274</v>
      </c>
      <c r="K15" s="36" t="s">
        <v>275</v>
      </c>
      <c r="L15" s="36" t="s">
        <v>276</v>
      </c>
      <c r="M15" s="36" t="s">
        <v>277</v>
      </c>
      <c r="N15" s="36" t="s">
        <v>278</v>
      </c>
      <c r="O15" s="36" t="s">
        <v>279</v>
      </c>
      <c r="P15" s="36" t="s">
        <v>280</v>
      </c>
      <c r="Q15" s="36" t="s">
        <v>281</v>
      </c>
      <c r="R15" s="36" t="s">
        <v>282</v>
      </c>
    </row>
    <row r="16" customFormat="false" ht="15" hidden="false" customHeight="true" outlineLevel="0" collapsed="false">
      <c r="A16" s="5" t="n">
        <v>1</v>
      </c>
      <c r="B16" s="3" t="s">
        <v>215</v>
      </c>
      <c r="C16" s="37" t="n">
        <f aca="false">IF(ISNUMBER(C5),C5-C$6,"n/a")</f>
        <v>-94156.5961151673</v>
      </c>
      <c r="D16" s="37" t="n">
        <f aca="false">IF(ISNUMBER(D5),D5-D$6,"n/a")</f>
        <v>-875811.667886819</v>
      </c>
      <c r="E16" s="37" t="n">
        <f aca="false">IF(ISNUMBER(E5),E5-E$6,"n/a")</f>
        <v>-2791433.17536546</v>
      </c>
      <c r="F16" s="37" t="n">
        <f aca="false">IF(ISNUMBER(F5),F5-F$6,"n/a")</f>
        <v>-2811895.68029285</v>
      </c>
      <c r="G16" s="38" t="n">
        <f aca="false">IF(ISNUMBER(G5),G5-G$6,"n/a")</f>
        <v>-0.423866559083248</v>
      </c>
      <c r="H16" s="38" t="n">
        <f aca="false">IF(ISNUMBER(H5),H5-H$6,"n/a")</f>
        <v>-0.603356421329375</v>
      </c>
      <c r="I16" s="39" t="n">
        <f aca="false">IF(ISNUMBER(I5),I5-I$6,"n/a")</f>
        <v>591917.5409887</v>
      </c>
      <c r="J16" s="39" t="n">
        <f aca="false">IF(ISNUMBER(J5),J5-J$6,"n/a")</f>
        <v>404435.237936701</v>
      </c>
      <c r="K16" s="39" t="n">
        <f aca="false">IF(ISNUMBER(K5),K5-K$6,"n/a")</f>
        <v>-1390498.69370757</v>
      </c>
      <c r="L16" s="37" t="n">
        <f aca="false">IF(ISNUMBER(L5),L5-L$6,"n/a")</f>
        <v>1105510.1914627</v>
      </c>
      <c r="M16" s="39" t="n">
        <f aca="false">IF(ISNUMBER(M5),M5-M$6,"n/a")</f>
        <v>554515.59142215</v>
      </c>
      <c r="N16" s="40" t="n">
        <f aca="false">IF(ISNUMBER(N5),N5-N$6,"n/a")</f>
        <v>-1</v>
      </c>
      <c r="O16" s="37" t="n">
        <f aca="false">IF(ISNUMBER(O5),O5-O$6,"n/a")</f>
        <v>-1105510.19146269</v>
      </c>
      <c r="P16" s="41" t="n">
        <f aca="false">IF(ISNUMBER(P5),P5-P$6,"n/a")</f>
        <v>0</v>
      </c>
      <c r="Q16" s="26" t="n">
        <f aca="false">IF(ISNUMBER(Q5),Q5-Q$6,"n/a")</f>
        <v>6.7350238628761</v>
      </c>
      <c r="R16" s="38" t="n">
        <f aca="false">IF(ISNUMBER(R5),R5-R$6,"n/a")</f>
        <v>-0.111315692179137</v>
      </c>
    </row>
    <row r="17" customFormat="false" ht="15" hidden="false" customHeight="true" outlineLevel="0" collapsed="false">
      <c r="A17" s="5" t="n">
        <v>2</v>
      </c>
      <c r="B17" s="3" t="s">
        <v>216</v>
      </c>
      <c r="C17" s="37" t="n">
        <f aca="false">IF(ISNUMBER(C6),C6-C$6,"n/a")</f>
        <v>0</v>
      </c>
      <c r="D17" s="37" t="n">
        <f aca="false">IF(ISNUMBER(D6),D6-D$6,"n/a")</f>
        <v>0</v>
      </c>
      <c r="E17" s="37" t="n">
        <f aca="false">IF(ISNUMBER(E6),E6-E$6,"n/a")</f>
        <v>0</v>
      </c>
      <c r="F17" s="37" t="n">
        <f aca="false">IF(ISNUMBER(F6),F6-F$6,"n/a")</f>
        <v>0</v>
      </c>
      <c r="G17" s="38" t="n">
        <f aca="false">IF(ISNUMBER(G6),G6-G$6,"n/a")</f>
        <v>0</v>
      </c>
      <c r="H17" s="38" t="n">
        <f aca="false">IF(ISNUMBER(H6),H6-H$6,"n/a")</f>
        <v>0</v>
      </c>
      <c r="I17" s="39" t="n">
        <f aca="false">IF(ISNUMBER(I6),I6-I$6,"n/a")</f>
        <v>0</v>
      </c>
      <c r="J17" s="39" t="n">
        <f aca="false">IF(ISNUMBER(J6),J6-J$6,"n/a")</f>
        <v>0</v>
      </c>
      <c r="K17" s="39" t="n">
        <f aca="false">IF(ISNUMBER(K6),K6-K$6,"n/a")</f>
        <v>0</v>
      </c>
      <c r="L17" s="37" t="n">
        <f aca="false">IF(ISNUMBER(L6),L6-L$6,"n/a")</f>
        <v>0</v>
      </c>
      <c r="M17" s="39" t="n">
        <f aca="false">IF(ISNUMBER(M6),M6-M$6,"n/a")</f>
        <v>0</v>
      </c>
      <c r="N17" s="40" t="n">
        <f aca="false">IF(ISNUMBER(N6),N6-N$6,"n/a")</f>
        <v>0</v>
      </c>
      <c r="O17" s="37" t="n">
        <f aca="false">IF(ISNUMBER(O6),O6-O$6,"n/a")</f>
        <v>0</v>
      </c>
      <c r="P17" s="41" t="n">
        <f aca="false">IF(ISNUMBER(P6),P6-P$6,"n/a")</f>
        <v>0</v>
      </c>
      <c r="Q17" s="26" t="n">
        <f aca="false">IF(ISNUMBER(Q6),Q6-Q$6,"n/a")</f>
        <v>0</v>
      </c>
      <c r="R17" s="38" t="n">
        <f aca="false">IF(ISNUMBER(R6),R6-R$6,"n/a")</f>
        <v>0</v>
      </c>
    </row>
    <row r="18" customFormat="false" ht="15" hidden="false" customHeight="true" outlineLevel="0" collapsed="false">
      <c r="A18" s="5" t="n">
        <v>3</v>
      </c>
      <c r="B18" s="3" t="s">
        <v>217</v>
      </c>
      <c r="C18" s="37" t="n">
        <f aca="false">IF(ISNUMBER(C7),C7-C$6,"n/a")</f>
        <v>72971.81623626</v>
      </c>
      <c r="D18" s="37" t="n">
        <f aca="false">IF(ISNUMBER(D7),D7-D$6,"n/a")</f>
        <v>656723.64089283</v>
      </c>
      <c r="E18" s="37" t="n">
        <f aca="false">IF(ISNUMBER(E7),E7-E$6,"n/a")</f>
        <v>2436246.18764742</v>
      </c>
      <c r="F18" s="37" t="n">
        <f aca="false">IF(ISNUMBER(F7),F7-F$6,"n/a")</f>
        <v>2554397.87456187</v>
      </c>
      <c r="G18" s="38" t="n">
        <f aca="false">IF(ISNUMBER(G7),G7-G$6,"n/a")</f>
        <v>0.098310065079348</v>
      </c>
      <c r="H18" s="38" t="n">
        <f aca="false">IF(ISNUMBER(H7),H7-H$6,"n/a")</f>
        <v>0.133444444820967</v>
      </c>
      <c r="I18" s="39" t="n">
        <f aca="false">IF(ISNUMBER(I7),I7-I$6,"n/a")</f>
        <v>-55015.3386636302</v>
      </c>
      <c r="J18" s="39" t="n">
        <f aca="false">IF(ISNUMBER(J7),J7-J$6,"n/a")</f>
        <v>-303188.46575075</v>
      </c>
      <c r="K18" s="39" t="n">
        <f aca="false">IF(ISNUMBER(K7),K7-K$6,"n/a")</f>
        <v>473064.470779721</v>
      </c>
      <c r="L18" s="37" t="n">
        <f aca="false">IF(ISNUMBER(L7),L7-L$6,"n/a")</f>
        <v>-629965.4688203</v>
      </c>
      <c r="M18" s="39" t="n">
        <f aca="false">IF(ISNUMBER(M7),M7-M$6,"n/a")</f>
        <v>-37661.9883463201</v>
      </c>
      <c r="N18" s="40" t="n">
        <f aca="false">IF(ISNUMBER(N7),N7-N$6,"n/a")</f>
        <v>0</v>
      </c>
      <c r="O18" s="37" t="n">
        <f aca="false">IF(ISNUMBER(O7),O7-O$6,"n/a")</f>
        <v>629965.468820229</v>
      </c>
      <c r="P18" s="41" t="n">
        <f aca="false">IF(ISNUMBER(P7),P7-P$6,"n/a")</f>
        <v>0</v>
      </c>
      <c r="Q18" s="26" t="n">
        <f aca="false">IF(ISNUMBER(Q7),Q7-Q$6,"n/a")</f>
        <v>-1.30292658100631</v>
      </c>
      <c r="R18" s="38" t="n">
        <f aca="false">IF(ISNUMBER(R7),R7-R$6,"n/a")</f>
        <v>0.0758813079724598</v>
      </c>
    </row>
    <row r="19" customFormat="false" ht="15" hidden="false" customHeight="true" outlineLevel="0" collapsed="false">
      <c r="A19" s="5" t="n">
        <v>4</v>
      </c>
      <c r="B19" s="3" t="s">
        <v>218</v>
      </c>
      <c r="C19" s="37" t="n">
        <f aca="false">IF(ISNUMBER(C8),C8-C$6,"n/a")</f>
        <v>-72062.3261781159</v>
      </c>
      <c r="D19" s="37" t="n">
        <f aca="false">IF(ISNUMBER(D8),D8-D$6,"n/a")</f>
        <v>-738415.710270196</v>
      </c>
      <c r="E19" s="37" t="n">
        <f aca="false">IF(ISNUMBER(E8),E8-E$6,"n/a")</f>
        <v>-1966642.15544696</v>
      </c>
      <c r="F19" s="37" t="n">
        <f aca="false">IF(ISNUMBER(F8),F8-F$6,"n/a")</f>
        <v>-1803781.67011091</v>
      </c>
      <c r="G19" s="38" t="n">
        <f aca="false">IF(ISNUMBER(G8),G8-G$6,"n/a")</f>
        <v>-0.210937404400664</v>
      </c>
      <c r="H19" s="38" t="n">
        <f aca="false">IF(ISNUMBER(H8),H8-H$6,"n/a")</f>
        <v>-0.252464935162078</v>
      </c>
      <c r="I19" s="39" t="n">
        <f aca="false">IF(ISNUMBER(I8),I8-I$6,"n/a")</f>
        <v>595645.12272862</v>
      </c>
      <c r="J19" s="39" t="n">
        <f aca="false">IF(ISNUMBER(J8),J8-J$6,"n/a")</f>
        <v>493508.154158331</v>
      </c>
      <c r="K19" s="39" t="n">
        <f aca="false">IF(ISNUMBER(K8),K8-K$6,"n/a")</f>
        <v>-930196.092586471</v>
      </c>
      <c r="L19" s="37" t="n">
        <f aca="false">IF(ISNUMBER(L8),L8-L$6,"n/a")</f>
        <v>270275.0591304</v>
      </c>
      <c r="M19" s="39" t="n">
        <f aca="false">IF(ISNUMBER(M8),M8-M$6,"n/a")</f>
        <v>557927.27689911</v>
      </c>
      <c r="N19" s="40" t="n">
        <f aca="false">IF(ISNUMBER(N8),N8-N$6,"n/a")</f>
        <v>-2</v>
      </c>
      <c r="O19" s="37" t="n">
        <f aca="false">IF(ISNUMBER(O8),O8-O$6,"n/a")</f>
        <v>-270275.059130381</v>
      </c>
      <c r="P19" s="41" t="n">
        <f aca="false">IF(ISNUMBER(P8),P8-P$6,"n/a")</f>
        <v>0</v>
      </c>
      <c r="Q19" s="26" t="n">
        <f aca="false">IF(ISNUMBER(Q8),Q8-Q$6,"n/a")</f>
        <v>2.37293347589858</v>
      </c>
      <c r="R19" s="38" t="n">
        <f aca="false">IF(ISNUMBER(R8),R8-R$6,"n/a")</f>
        <v>-0.03677203327207</v>
      </c>
    </row>
    <row r="20" customFormat="false" ht="15" hidden="false" customHeight="true" outlineLevel="0" collapsed="false">
      <c r="A20" s="5" t="n">
        <v>5</v>
      </c>
      <c r="B20" s="3" t="s">
        <v>219</v>
      </c>
      <c r="C20" s="37" t="n">
        <f aca="false">IF(ISNUMBER(C9),C9-C$6,"n/a")</f>
        <v>0</v>
      </c>
      <c r="D20" s="37" t="n">
        <f aca="false">IF(ISNUMBER(D9),D9-D$6,"n/a")</f>
        <v>0</v>
      </c>
      <c r="E20" s="37" t="n">
        <f aca="false">IF(ISNUMBER(E9),E9-E$6,"n/a")</f>
        <v>0</v>
      </c>
      <c r="F20" s="37" t="n">
        <f aca="false">IF(ISNUMBER(F9),F9-F$6,"n/a")</f>
        <v>0</v>
      </c>
      <c r="G20" s="38" t="n">
        <f aca="false">IF(ISNUMBER(G9),G9-G$6,"n/a")</f>
        <v>-0.086480710705003</v>
      </c>
      <c r="H20" s="38" t="n">
        <f aca="false">IF(ISNUMBER(H9),H9-H$6,"n/a")</f>
        <v>-0.139918672450321</v>
      </c>
      <c r="I20" s="39" t="n">
        <f aca="false">IF(ISNUMBER(I9),I9-I$6,"n/a")</f>
        <v>-15960.83100896</v>
      </c>
      <c r="J20" s="39" t="n">
        <f aca="false">IF(ISNUMBER(J9),J9-J$6,"n/a")</f>
        <v>-114116.32031193</v>
      </c>
      <c r="K20" s="39" t="n">
        <f aca="false">IF(ISNUMBER(K9),K9-K$6,"n/a")</f>
        <v>-407886.30775477</v>
      </c>
      <c r="L20" s="37" t="n">
        <f aca="false">IF(ISNUMBER(L9),L9-L$6,"n/a")</f>
        <v>537963.459075701</v>
      </c>
      <c r="M20" s="39" t="n">
        <f aca="false">IF(ISNUMBER(M9),M9-M$6,"n/a")</f>
        <v>-15960.83100896</v>
      </c>
      <c r="N20" s="40" t="n">
        <f aca="false">IF(ISNUMBER(N9),N9-N$6,"n/a")</f>
        <v>0</v>
      </c>
      <c r="O20" s="37" t="n">
        <f aca="false">IF(ISNUMBER(O9),O9-O$6,"n/a")</f>
        <v>-537963.45907569</v>
      </c>
      <c r="P20" s="41" t="n">
        <f aca="false">IF(ISNUMBER(P9),P9-P$6,"n/a")</f>
        <v>0</v>
      </c>
      <c r="Q20" s="26" t="n">
        <f aca="false">IF(ISNUMBER(Q9),Q9-Q$6,"n/a")</f>
        <v>0.13182517854946</v>
      </c>
      <c r="R20" s="38" t="n">
        <f aca="false">IF(ISNUMBER(R9),R9-R$6,"n/a")</f>
        <v>0</v>
      </c>
    </row>
    <row r="21" customFormat="false" ht="15" hidden="false" customHeight="true" outlineLevel="0" collapsed="false">
      <c r="A21" s="5" t="n">
        <v>6</v>
      </c>
      <c r="B21" s="3" t="s">
        <v>220</v>
      </c>
      <c r="C21" s="37" t="n">
        <f aca="false">IF(ISNUMBER(C10),C10-C$6,"n/a")</f>
        <v>-37014.200183259</v>
      </c>
      <c r="D21" s="37" t="n">
        <f aca="false">IF(ISNUMBER(D10),D10-D$6,"n/a")</f>
        <v>-318991.48120157</v>
      </c>
      <c r="E21" s="37" t="n">
        <f aca="false">IF(ISNUMBER(E10),E10-E$6,"n/a")</f>
        <v>-989799.15146082</v>
      </c>
      <c r="F21" s="37" t="n">
        <f aca="false">IF(ISNUMBER(F10),F10-F$6,"n/a")</f>
        <v>-1090940.23343049</v>
      </c>
      <c r="G21" s="38" t="n">
        <f aca="false">IF(ISNUMBER(G10),G10-G$6,"n/a")</f>
        <v>-0.110501521510779</v>
      </c>
      <c r="H21" s="38" t="n">
        <f aca="false">IF(ISNUMBER(H10),H10-H$6,"n/a")</f>
        <v>-0.118345240686418</v>
      </c>
      <c r="I21" s="39" t="n">
        <f aca="false">IF(ISNUMBER(I10),I10-I$6,"n/a")</f>
        <v>-25210.5110742501</v>
      </c>
      <c r="J21" s="39" t="n">
        <f aca="false">IF(ISNUMBER(J10),J10-J$6,"n/a")</f>
        <v>-1248883.7848841</v>
      </c>
      <c r="K21" s="39" t="n">
        <f aca="false">IF(ISNUMBER(K10),K10-K$6,"n/a")</f>
        <v>-55481.5566160698</v>
      </c>
      <c r="L21" s="37" t="n">
        <f aca="false">IF(ISNUMBER(L10),L10-L$6,"n/a")</f>
        <v>2086734.4167717</v>
      </c>
      <c r="M21" s="39" t="n">
        <f aca="false">IF(ISNUMBER(M10),M10-M$6,"n/a")</f>
        <v>-62821.66492645</v>
      </c>
      <c r="N21" s="40" t="n">
        <f aca="false">IF(ISNUMBER(N10),N10-N$6,"n/a")</f>
        <v>4</v>
      </c>
      <c r="O21" s="37" t="n">
        <f aca="false">IF(ISNUMBER(O10),O10-O$6,"n/a")</f>
        <v>-2086734.41677171</v>
      </c>
      <c r="P21" s="41" t="n">
        <f aca="false">IF(ISNUMBER(P10),P10-P$6,"n/a")</f>
        <v>0</v>
      </c>
      <c r="Q21" s="26" t="n">
        <f aca="false">IF(ISNUMBER(Q10),Q10-Q$6,"n/a")</f>
        <v>1.24295459673653</v>
      </c>
      <c r="R21" s="38" t="n">
        <f aca="false">IF(ISNUMBER(R10),R10-R$6,"n/a")</f>
        <v>-0.125381944914064</v>
      </c>
    </row>
    <row r="22" customFormat="false" ht="15" hidden="false" customHeight="true" outlineLevel="0" collapsed="false">
      <c r="A22" s="5" t="n">
        <v>7</v>
      </c>
      <c r="B22" s="3" t="s">
        <v>221</v>
      </c>
      <c r="C22" s="37" t="n">
        <f aca="false">IF(ISNUMBER(C11),C11-C$6,"n/a")</f>
        <v>-16600.150553359</v>
      </c>
      <c r="D22" s="37" t="n">
        <f aca="false">IF(ISNUMBER(D11),D11-D$6,"n/a")</f>
        <v>-144094.62815428</v>
      </c>
      <c r="E22" s="37" t="n">
        <f aca="false">IF(ISNUMBER(E11),E11-E$6,"n/a")</f>
        <v>-500257.88638633</v>
      </c>
      <c r="F22" s="37" t="n">
        <f aca="false">IF(ISNUMBER(F11),F11-F$6,"n/a")</f>
        <v>-461382.13254951</v>
      </c>
      <c r="G22" s="38" t="n">
        <f aca="false">IF(ISNUMBER(G11),G11-G$6,"n/a")</f>
        <v>0.00832024321700103</v>
      </c>
      <c r="H22" s="38" t="n">
        <f aca="false">IF(ISNUMBER(H11),H11-H$6,"n/a")</f>
        <v>0.013582387455793</v>
      </c>
      <c r="I22" s="39" t="n">
        <f aca="false">IF(ISNUMBER(I11),I11-I$6,"n/a")</f>
        <v>888358.65157305</v>
      </c>
      <c r="J22" s="39" t="n">
        <f aca="false">IF(ISNUMBER(J11),J11-J$6,"n/a")</f>
        <v>2964178.17648456</v>
      </c>
      <c r="K22" s="39" t="n">
        <f aca="false">IF(ISNUMBER(K11),K11-K$6,"n/a")</f>
        <v>1146800.87945695</v>
      </c>
      <c r="L22" s="37" t="n">
        <f aca="false">IF(ISNUMBER(L11),L11-L$6,"n/a")</f>
        <v>-4915369.8811948</v>
      </c>
      <c r="M22" s="39" t="n">
        <f aca="false">IF(ISNUMBER(M11),M11-M$6,"n/a")</f>
        <v>885383.57462153</v>
      </c>
      <c r="N22" s="40" t="n">
        <f aca="false">IF(ISNUMBER(N11),N11-N$6,"n/a")</f>
        <v>-3</v>
      </c>
      <c r="O22" s="37" t="n">
        <f aca="false">IF(ISNUMBER(O11),O11-O$6,"n/a")</f>
        <v>4915369.88119477</v>
      </c>
      <c r="P22" s="41" t="n">
        <f aca="false">IF(ISNUMBER(P11),P11-P$6,"n/a")</f>
        <v>-2</v>
      </c>
      <c r="Q22" s="26" t="n">
        <f aca="false">IF(ISNUMBER(Q11),Q11-Q$6,"n/a")</f>
        <v>-0.03334580294921</v>
      </c>
      <c r="R22" s="38" t="n">
        <f aca="false">IF(ISNUMBER(R11),R11-R$6,"n/a")</f>
        <v>0</v>
      </c>
    </row>
    <row r="23" customFormat="false" ht="15" hidden="false" customHeight="true" outlineLevel="0" collapsed="false">
      <c r="A23" s="5" t="n">
        <v>8</v>
      </c>
      <c r="B23" s="3" t="s">
        <v>222</v>
      </c>
      <c r="C23" s="37" t="n">
        <f aca="false">IF(ISNUMBER(C12),C12-C$6,"n/a")</f>
        <v>-158962.057783855</v>
      </c>
      <c r="D23" s="37" t="n">
        <f aca="false">IF(ISNUMBER(D12),D12-D$6,"n/a")</f>
        <v>-967724.7207655</v>
      </c>
      <c r="E23" s="37" t="n">
        <f aca="false">IF(ISNUMBER(E12),E12-E$6,"n/a")</f>
        <v>-1509101.4271311</v>
      </c>
      <c r="F23" s="37" t="n">
        <f aca="false">IF(ISNUMBER(F12),F12-F$6,"n/a")</f>
        <v>-1384828.59462837</v>
      </c>
      <c r="G23" s="38" t="n">
        <f aca="false">IF(ISNUMBER(G12),G12-G$6,"n/a")</f>
        <v>-0.154524719670208</v>
      </c>
      <c r="H23" s="38" t="n">
        <f aca="false">IF(ISNUMBER(H12),H12-H$6,"n/a")</f>
        <v>-0.287845817780059</v>
      </c>
      <c r="I23" s="39" t="n">
        <f aca="false">IF(ISNUMBER(I12),I12-I$6,"n/a")</f>
        <v>-34337.80672454</v>
      </c>
      <c r="J23" s="39" t="n">
        <f aca="false">IF(ISNUMBER(J12),J12-J$6,"n/a")</f>
        <v>-366286.373756349</v>
      </c>
      <c r="K23" s="39" t="n">
        <f aca="false">IF(ISNUMBER(K12),K12-K$6,"n/a")</f>
        <v>-982463.12539647</v>
      </c>
      <c r="L23" s="37" t="n">
        <f aca="false">IF(ISNUMBER(L12),L12-L$6,"n/a")</f>
        <v>1768162.4180531</v>
      </c>
      <c r="M23" s="39" t="n">
        <f aca="false">IF(ISNUMBER(M12),M12-M$6,"n/a")</f>
        <v>-59643.0552074299</v>
      </c>
      <c r="N23" s="40" t="n">
        <f aca="false">IF(ISNUMBER(N12),N12-N$6,"n/a")</f>
        <v>0</v>
      </c>
      <c r="O23" s="37" t="n">
        <f aca="false">IF(ISNUMBER(O12),O12-O$6,"n/a")</f>
        <v>-1768162.41805312</v>
      </c>
      <c r="P23" s="41" t="n">
        <f aca="false">IF(ISNUMBER(P12),P12-P$6,"n/a")</f>
        <v>0</v>
      </c>
      <c r="Q23" s="26" t="n">
        <f aca="false">IF(ISNUMBER(Q12),Q12-Q$6,"n/a")</f>
        <v>1.21596706191254</v>
      </c>
      <c r="R23" s="38" t="n">
        <f aca="false">IF(ISNUMBER(R12),R12-R$6,"n/a")</f>
        <v>0.0444162046690699</v>
      </c>
    </row>
    <row r="24" customFormat="false" ht="15" hidden="false" customHeight="true" outlineLevel="0" collapsed="false">
      <c r="A24" s="5" t="n">
        <v>9</v>
      </c>
      <c r="B24" s="3" t="s">
        <v>223</v>
      </c>
      <c r="C24" s="37" t="n">
        <f aca="false">IF(ISNUMBER(C13),C13-C$6,"n/a")</f>
        <v>-158962.057783855</v>
      </c>
      <c r="D24" s="37" t="n">
        <f aca="false">IF(ISNUMBER(D13),D13-D$6,"n/a")</f>
        <v>-967724.7207655</v>
      </c>
      <c r="E24" s="37" t="n">
        <f aca="false">IF(ISNUMBER(E13),E13-E$6,"n/a")</f>
        <v>-1509101.4271311</v>
      </c>
      <c r="F24" s="37" t="n">
        <f aca="false">IF(ISNUMBER(F13),F13-F$6,"n/a")</f>
        <v>-1384828.59462837</v>
      </c>
      <c r="G24" s="38" t="n">
        <f aca="false">IF(ISNUMBER(G13),G13-G$6,"n/a")</f>
        <v>-0.105902050433188</v>
      </c>
      <c r="H24" s="38" t="n">
        <f aca="false">IF(ISNUMBER(H13),H13-H$6,"n/a")</f>
        <v>-0.195369303438672</v>
      </c>
      <c r="I24" s="39" t="n">
        <f aca="false">IF(ISNUMBER(I13),I13-I$6,"n/a")</f>
        <v>859926.19327546</v>
      </c>
      <c r="J24" s="39" t="n">
        <f aca="false">IF(ISNUMBER(J13),J13-J$6,"n/a")</f>
        <v>2660111.62624365</v>
      </c>
      <c r="K24" s="39" t="n">
        <f aca="false">IF(ISNUMBER(K13),K13-K$6,"n/a")</f>
        <v>430701.77460354</v>
      </c>
      <c r="L24" s="37" t="n">
        <f aca="false">IF(ISNUMBER(L13),L13-L$6,"n/a")</f>
        <v>-3565664.4819469</v>
      </c>
      <c r="M24" s="39" t="n">
        <f aca="false">IF(ISNUMBER(M13),M13-M$6,"n/a")</f>
        <v>834620.94479257</v>
      </c>
      <c r="N24" s="40" t="n">
        <f aca="false">IF(ISNUMBER(N13),N13-N$6,"n/a")</f>
        <v>-3</v>
      </c>
      <c r="O24" s="37" t="n">
        <f aca="false">IF(ISNUMBER(O13),O13-O$6,"n/a")</f>
        <v>3565664.48194688</v>
      </c>
      <c r="P24" s="41" t="n">
        <f aca="false">IF(ISNUMBER(P13),P13-P$6,"n/a")</f>
        <v>-2</v>
      </c>
      <c r="Q24" s="26" t="n">
        <f aca="false">IF(ISNUMBER(Q13),Q13-Q$6,"n/a")</f>
        <v>0.65216318327569</v>
      </c>
      <c r="R24" s="38" t="n">
        <f aca="false">IF(ISNUMBER(R13),R13-R$6,"n/a")</f>
        <v>0.0444162046690699</v>
      </c>
    </row>
    <row r="25" customFormat="false" ht="15" hidden="false" customHeight="true" outlineLevel="0" collapsed="false">
      <c r="A25" s="3" t="s">
        <v>284</v>
      </c>
      <c r="C25" s="42" t="n">
        <f aca="false">Summary!E16-INDEX($E$5:$E$13,Scenario_Control!$D$3)</f>
        <v>0</v>
      </c>
    </row>
    <row r="27" customFormat="false" ht="15" hidden="false" customHeight="true" outlineLevel="0" collapsed="false">
      <c r="A27" s="3" t="s">
        <v>285</v>
      </c>
    </row>
    <row r="28" customFormat="false" ht="15" hidden="false" customHeight="true" outlineLevel="0" collapsed="false">
      <c r="A28" s="5" t="n">
        <v>1</v>
      </c>
      <c r="B28" s="3" t="s">
        <v>215</v>
      </c>
      <c r="C28" s="5" t="s">
        <v>286</v>
      </c>
    </row>
    <row r="29" customFormat="false" ht="15" hidden="false" customHeight="true" outlineLevel="0" collapsed="false">
      <c r="A29" s="5" t="n">
        <v>2</v>
      </c>
      <c r="B29" s="3" t="s">
        <v>216</v>
      </c>
      <c r="C29" s="5" t="s">
        <v>287</v>
      </c>
    </row>
    <row r="30" customFormat="false" ht="15" hidden="false" customHeight="true" outlineLevel="0" collapsed="false">
      <c r="A30" s="5" t="n">
        <v>3</v>
      </c>
      <c r="B30" s="3" t="s">
        <v>217</v>
      </c>
      <c r="C30" s="5" t="s">
        <v>288</v>
      </c>
    </row>
    <row r="31" customFormat="false" ht="15" hidden="false" customHeight="true" outlineLevel="0" collapsed="false">
      <c r="A31" s="5" t="n">
        <v>4</v>
      </c>
      <c r="B31" s="3" t="s">
        <v>218</v>
      </c>
      <c r="C31" s="5" t="s">
        <v>289</v>
      </c>
    </row>
    <row r="32" customFormat="false" ht="15" hidden="false" customHeight="true" outlineLevel="0" collapsed="false">
      <c r="A32" s="5" t="n">
        <v>5</v>
      </c>
      <c r="B32" s="3" t="s">
        <v>219</v>
      </c>
      <c r="C32" s="5" t="s">
        <v>290</v>
      </c>
    </row>
    <row r="33" customFormat="false" ht="15" hidden="false" customHeight="true" outlineLevel="0" collapsed="false">
      <c r="A33" s="5" t="n">
        <v>6</v>
      </c>
      <c r="B33" s="3" t="s">
        <v>220</v>
      </c>
      <c r="C33" s="5" t="s">
        <v>291</v>
      </c>
    </row>
    <row r="34" customFormat="false" ht="15" hidden="false" customHeight="true" outlineLevel="0" collapsed="false">
      <c r="A34" s="5" t="n">
        <v>7</v>
      </c>
      <c r="B34" s="3" t="s">
        <v>221</v>
      </c>
      <c r="C34" s="5" t="s">
        <v>292</v>
      </c>
    </row>
    <row r="35" customFormat="false" ht="15" hidden="false" customHeight="true" outlineLevel="0" collapsed="false">
      <c r="A35" s="5" t="n">
        <v>8</v>
      </c>
      <c r="B35" s="3" t="s">
        <v>222</v>
      </c>
      <c r="C35" s="5" t="s">
        <v>293</v>
      </c>
    </row>
    <row r="36" customFormat="false" ht="15" hidden="false" customHeight="true" outlineLevel="0" collapsed="false">
      <c r="A36" s="5" t="n">
        <v>9</v>
      </c>
      <c r="B36" s="3" t="s">
        <v>223</v>
      </c>
      <c r="C36" s="5" t="s">
        <v>294</v>
      </c>
    </row>
    <row r="38" customFormat="false" ht="15" hidden="false" customHeight="true" outlineLevel="0" collapsed="false">
      <c r="A38" s="5" t="s">
        <v>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0"/>
    <col collapsed="false" customWidth="true" hidden="false" outlineLevel="0" max="6" min="4" style="1" width="14"/>
    <col collapsed="false" customWidth="true" hidden="false" outlineLevel="0" max="7" min="7" style="1" width="12"/>
    <col collapsed="false" customWidth="true" hidden="false" outlineLevel="0" max="8" min="8" style="1" width="90"/>
  </cols>
  <sheetData>
    <row r="1" customFormat="false" ht="17.25" hidden="false" customHeight="true" outlineLevel="0" collapsed="false">
      <c r="A1" s="2" t="s">
        <v>296</v>
      </c>
    </row>
    <row r="2" customFormat="false" ht="42" hidden="false" customHeight="true" outlineLevel="0" collapsed="false">
      <c r="A2" s="43" t="s">
        <v>297</v>
      </c>
      <c r="B2" s="43"/>
      <c r="C2" s="43"/>
      <c r="D2" s="43"/>
      <c r="E2" s="43"/>
      <c r="F2" s="43"/>
      <c r="G2" s="43"/>
      <c r="H2" s="43"/>
    </row>
    <row r="4" customFormat="false" ht="15" hidden="false" customHeight="true" outlineLevel="0" collapsed="false">
      <c r="A4" s="44" t="s">
        <v>298</v>
      </c>
      <c r="B4" s="44" t="s">
        <v>299</v>
      </c>
      <c r="C4" s="44" t="s">
        <v>60</v>
      </c>
      <c r="D4" s="44" t="s">
        <v>300</v>
      </c>
      <c r="E4" s="44" t="s">
        <v>301</v>
      </c>
      <c r="F4" s="44" t="s">
        <v>302</v>
      </c>
      <c r="G4" s="44" t="s">
        <v>303</v>
      </c>
      <c r="H4" s="44" t="s">
        <v>304</v>
      </c>
    </row>
    <row r="5" customFormat="false" ht="15" hidden="false" customHeight="true" outlineLevel="0" collapsed="false">
      <c r="A5" s="8" t="s">
        <v>305</v>
      </c>
      <c r="B5" s="9"/>
      <c r="C5" s="9"/>
      <c r="D5" s="9"/>
      <c r="E5" s="9"/>
      <c r="F5" s="9"/>
      <c r="G5" s="9"/>
      <c r="H5" s="9"/>
    </row>
    <row r="6" customFormat="false" ht="15" hidden="false" customHeight="true" outlineLevel="0" collapsed="false">
      <c r="A6" s="5" t="s">
        <v>306</v>
      </c>
      <c r="B6" s="5" t="s">
        <v>307</v>
      </c>
      <c r="C6" s="5" t="s">
        <v>308</v>
      </c>
      <c r="D6" s="45" t="n">
        <v>46327</v>
      </c>
      <c r="G6" s="5" t="s">
        <v>309</v>
      </c>
      <c r="H6" s="10" t="s">
        <v>310</v>
      </c>
    </row>
    <row r="7" customFormat="false" ht="15" hidden="false" customHeight="true" outlineLevel="0" collapsed="false">
      <c r="A7" s="5" t="s">
        <v>311</v>
      </c>
      <c r="B7" s="5" t="s">
        <v>312</v>
      </c>
      <c r="C7" s="5" t="s">
        <v>64</v>
      </c>
      <c r="D7" s="46" t="n">
        <v>0</v>
      </c>
      <c r="G7" s="5" t="s">
        <v>313</v>
      </c>
      <c r="H7" s="10" t="s">
        <v>314</v>
      </c>
    </row>
    <row r="8" customFormat="false" ht="15" hidden="false" customHeight="true" outlineLevel="0" collapsed="false">
      <c r="A8" s="5" t="s">
        <v>315</v>
      </c>
      <c r="B8" s="5" t="s">
        <v>316</v>
      </c>
      <c r="C8" s="5" t="s">
        <v>74</v>
      </c>
      <c r="D8" s="22" t="n">
        <v>0.03</v>
      </c>
      <c r="G8" s="5" t="s">
        <v>313</v>
      </c>
      <c r="H8" s="10"/>
    </row>
    <row r="9" customFormat="false" ht="15" hidden="false" customHeight="true" outlineLevel="0" collapsed="false">
      <c r="A9" s="5" t="s">
        <v>317</v>
      </c>
      <c r="B9" s="5" t="s">
        <v>318</v>
      </c>
      <c r="C9" s="5" t="s">
        <v>74</v>
      </c>
      <c r="D9" s="22" t="n">
        <v>0.2</v>
      </c>
      <c r="G9" s="5" t="s">
        <v>313</v>
      </c>
      <c r="H9" s="10" t="s">
        <v>319</v>
      </c>
    </row>
    <row r="11" customFormat="false" ht="15" hidden="false" customHeight="true" outlineLevel="0" collapsed="false">
      <c r="A11" s="8" t="s">
        <v>320</v>
      </c>
      <c r="B11" s="9"/>
      <c r="C11" s="9"/>
      <c r="D11" s="9"/>
      <c r="E11" s="9"/>
      <c r="F11" s="9"/>
      <c r="G11" s="9"/>
      <c r="H11" s="9"/>
    </row>
    <row r="12" customFormat="false" ht="15" hidden="false" customHeight="true" outlineLevel="0" collapsed="false">
      <c r="A12" s="5" t="s">
        <v>321</v>
      </c>
      <c r="B12" s="5" t="s">
        <v>322</v>
      </c>
      <c r="C12" s="5" t="s">
        <v>323</v>
      </c>
      <c r="D12" s="30" t="n">
        <v>30000</v>
      </c>
      <c r="E12" s="30" t="n">
        <v>90000</v>
      </c>
      <c r="F12" s="30" t="n">
        <v>150000</v>
      </c>
      <c r="G12" s="5" t="s">
        <v>309</v>
      </c>
      <c r="H12" s="10" t="s">
        <v>324</v>
      </c>
    </row>
    <row r="13" customFormat="false" ht="15" hidden="false" customHeight="true" outlineLevel="0" collapsed="false">
      <c r="A13" s="5" t="s">
        <v>325</v>
      </c>
      <c r="B13" s="5" t="s">
        <v>326</v>
      </c>
      <c r="C13" s="5" t="s">
        <v>64</v>
      </c>
      <c r="D13" s="47" t="n">
        <v>4</v>
      </c>
      <c r="E13" s="47" t="n">
        <v>4.5</v>
      </c>
      <c r="F13" s="47" t="n">
        <v>5</v>
      </c>
      <c r="G13" s="5" t="s">
        <v>313</v>
      </c>
      <c r="H13" s="10" t="s">
        <v>327</v>
      </c>
    </row>
    <row r="14" customFormat="false" ht="15" hidden="false" customHeight="true" outlineLevel="0" collapsed="false">
      <c r="A14" s="5" t="s">
        <v>328</v>
      </c>
      <c r="B14" s="5" t="s">
        <v>329</v>
      </c>
      <c r="C14" s="5" t="s">
        <v>138</v>
      </c>
      <c r="D14" s="32" t="n">
        <v>1.5</v>
      </c>
      <c r="E14" s="32" t="n">
        <v>2</v>
      </c>
      <c r="F14" s="32" t="n">
        <v>2.5</v>
      </c>
      <c r="G14" s="5" t="s">
        <v>313</v>
      </c>
      <c r="H14" s="10" t="s">
        <v>330</v>
      </c>
    </row>
    <row r="15" customFormat="false" ht="15" hidden="false" customHeight="true" outlineLevel="0" collapsed="false">
      <c r="A15" s="5" t="s">
        <v>331</v>
      </c>
      <c r="B15" s="5" t="s">
        <v>332</v>
      </c>
      <c r="C15" s="5" t="s">
        <v>74</v>
      </c>
      <c r="D15" s="22" t="n">
        <v>0.5</v>
      </c>
      <c r="G15" s="5" t="s">
        <v>313</v>
      </c>
      <c r="H15" s="10" t="s">
        <v>333</v>
      </c>
    </row>
    <row r="16" customFormat="false" ht="15" hidden="false" customHeight="true" outlineLevel="0" collapsed="false">
      <c r="A16" s="5" t="s">
        <v>334</v>
      </c>
      <c r="B16" s="5" t="s">
        <v>335</v>
      </c>
      <c r="C16" s="5" t="s">
        <v>74</v>
      </c>
      <c r="D16" s="22" t="n">
        <v>0.06</v>
      </c>
      <c r="E16" s="22" t="n">
        <v>0.065</v>
      </c>
      <c r="F16" s="22" t="n">
        <v>0.07</v>
      </c>
      <c r="G16" s="5" t="s">
        <v>313</v>
      </c>
      <c r="H16" s="10" t="s">
        <v>336</v>
      </c>
    </row>
    <row r="17" customFormat="false" ht="15" hidden="false" customHeight="true" outlineLevel="0" collapsed="false">
      <c r="A17" s="5" t="s">
        <v>337</v>
      </c>
      <c r="B17" s="5" t="s">
        <v>338</v>
      </c>
      <c r="C17" s="5" t="s">
        <v>74</v>
      </c>
      <c r="D17" s="22" t="n">
        <v>0.65</v>
      </c>
      <c r="G17" s="5" t="s">
        <v>313</v>
      </c>
      <c r="H17" s="10"/>
    </row>
    <row r="18" customFormat="false" ht="15" hidden="false" customHeight="true" outlineLevel="0" collapsed="false">
      <c r="A18" s="5" t="s">
        <v>339</v>
      </c>
      <c r="B18" s="5" t="s">
        <v>340</v>
      </c>
      <c r="C18" s="5" t="s">
        <v>341</v>
      </c>
      <c r="D18" s="48" t="n">
        <v>7.99</v>
      </c>
      <c r="G18" s="5" t="s">
        <v>342</v>
      </c>
      <c r="H18" s="10" t="s">
        <v>343</v>
      </c>
    </row>
    <row r="19" customFormat="false" ht="15" hidden="false" customHeight="true" outlineLevel="0" collapsed="false">
      <c r="A19" s="5" t="s">
        <v>344</v>
      </c>
      <c r="B19" s="5" t="s">
        <v>345</v>
      </c>
      <c r="C19" s="5" t="s">
        <v>323</v>
      </c>
      <c r="D19" s="48" t="n">
        <v>59</v>
      </c>
      <c r="G19" s="5" t="s">
        <v>342</v>
      </c>
      <c r="H19" s="10" t="s">
        <v>346</v>
      </c>
    </row>
    <row r="20" customFormat="false" ht="15" hidden="false" customHeight="true" outlineLevel="0" collapsed="false">
      <c r="A20" s="5" t="s">
        <v>347</v>
      </c>
      <c r="B20" s="5" t="s">
        <v>348</v>
      </c>
      <c r="C20" s="5" t="s">
        <v>74</v>
      </c>
      <c r="D20" s="22" t="n">
        <v>0.08</v>
      </c>
      <c r="G20" s="5" t="s">
        <v>313</v>
      </c>
      <c r="H20" s="10" t="s">
        <v>349</v>
      </c>
    </row>
    <row r="21" customFormat="false" ht="15" hidden="false" customHeight="true" outlineLevel="0" collapsed="false">
      <c r="A21" s="5" t="s">
        <v>350</v>
      </c>
      <c r="B21" s="5" t="s">
        <v>351</v>
      </c>
      <c r="C21" s="5" t="s">
        <v>74</v>
      </c>
      <c r="D21" s="22" t="n">
        <v>0.03</v>
      </c>
      <c r="G21" s="5" t="s">
        <v>313</v>
      </c>
      <c r="H21" s="10" t="s">
        <v>352</v>
      </c>
    </row>
    <row r="22" customFormat="false" ht="15" hidden="false" customHeight="true" outlineLevel="0" collapsed="false">
      <c r="A22" s="5" t="s">
        <v>353</v>
      </c>
      <c r="B22" s="5" t="s">
        <v>354</v>
      </c>
      <c r="C22" s="5" t="s">
        <v>143</v>
      </c>
      <c r="D22" s="22" t="n">
        <v>0.08</v>
      </c>
      <c r="G22" s="5" t="s">
        <v>313</v>
      </c>
      <c r="H22" s="10" t="s">
        <v>355</v>
      </c>
    </row>
    <row r="23" customFormat="false" ht="15" hidden="false" customHeight="true" outlineLevel="0" collapsed="false">
      <c r="A23" s="5" t="s">
        <v>356</v>
      </c>
      <c r="B23" s="5" t="s">
        <v>357</v>
      </c>
      <c r="C23" s="5" t="s">
        <v>74</v>
      </c>
      <c r="D23" s="22" t="n">
        <v>0.55</v>
      </c>
      <c r="G23" s="5" t="s">
        <v>313</v>
      </c>
      <c r="H23" s="10" t="s">
        <v>358</v>
      </c>
    </row>
    <row r="24" customFormat="false" ht="15" hidden="false" customHeight="true" outlineLevel="0" collapsed="false">
      <c r="A24" s="5" t="s">
        <v>359</v>
      </c>
      <c r="B24" s="5" t="s">
        <v>360</v>
      </c>
      <c r="C24" s="5" t="s">
        <v>74</v>
      </c>
      <c r="D24" s="22" t="n">
        <v>0.7</v>
      </c>
      <c r="G24" s="5" t="s">
        <v>313</v>
      </c>
      <c r="H24" s="10"/>
    </row>
    <row r="25" customFormat="false" ht="15" hidden="false" customHeight="true" outlineLevel="0" collapsed="false">
      <c r="A25" s="5" t="s">
        <v>361</v>
      </c>
      <c r="B25" s="5" t="s">
        <v>362</v>
      </c>
      <c r="C25" s="5" t="s">
        <v>143</v>
      </c>
      <c r="D25" s="22" t="n">
        <v>0.05</v>
      </c>
      <c r="G25" s="5" t="s">
        <v>313</v>
      </c>
      <c r="H25" s="10"/>
    </row>
    <row r="26" customFormat="false" ht="15" hidden="false" customHeight="true" outlineLevel="0" collapsed="false">
      <c r="A26" s="5" t="s">
        <v>363</v>
      </c>
      <c r="B26" s="5" t="s">
        <v>364</v>
      </c>
      <c r="C26" s="5" t="s">
        <v>74</v>
      </c>
      <c r="D26" s="22" t="n">
        <v>0.65</v>
      </c>
      <c r="G26" s="5" t="s">
        <v>313</v>
      </c>
      <c r="H26" s="10" t="s">
        <v>365</v>
      </c>
    </row>
    <row r="27" customFormat="false" ht="15" hidden="false" customHeight="true" outlineLevel="0" collapsed="false">
      <c r="A27" s="5" t="s">
        <v>366</v>
      </c>
      <c r="B27" s="5" t="s">
        <v>367</v>
      </c>
      <c r="C27" s="5" t="s">
        <v>74</v>
      </c>
      <c r="D27" s="22" t="n">
        <v>0.029</v>
      </c>
      <c r="G27" s="5" t="s">
        <v>368</v>
      </c>
      <c r="H27" s="10" t="s">
        <v>369</v>
      </c>
    </row>
    <row r="28" customFormat="false" ht="15" hidden="false" customHeight="true" outlineLevel="0" collapsed="false">
      <c r="A28" s="5" t="s">
        <v>370</v>
      </c>
      <c r="B28" s="5" t="s">
        <v>371</v>
      </c>
      <c r="C28" s="5" t="s">
        <v>64</v>
      </c>
      <c r="D28" s="47" t="n">
        <v>0.3</v>
      </c>
      <c r="G28" s="5" t="s">
        <v>368</v>
      </c>
      <c r="H28" s="10"/>
    </row>
    <row r="29" customFormat="false" ht="15" hidden="false" customHeight="true" outlineLevel="0" collapsed="false">
      <c r="A29" s="5" t="s">
        <v>372</v>
      </c>
      <c r="B29" s="5" t="s">
        <v>373</v>
      </c>
      <c r="C29" s="5" t="s">
        <v>74</v>
      </c>
      <c r="D29" s="22" t="n">
        <v>0.15</v>
      </c>
      <c r="G29" s="5" t="s">
        <v>368</v>
      </c>
      <c r="H29" s="10" t="s">
        <v>374</v>
      </c>
    </row>
    <row r="30" customFormat="false" ht="15" hidden="false" customHeight="true" outlineLevel="0" collapsed="false">
      <c r="A30" s="5" t="s">
        <v>375</v>
      </c>
      <c r="B30" s="5" t="s">
        <v>376</v>
      </c>
      <c r="C30" s="5" t="s">
        <v>74</v>
      </c>
      <c r="D30" s="22" t="n">
        <v>0.03</v>
      </c>
      <c r="E30" s="22" t="n">
        <v>0.06</v>
      </c>
      <c r="F30" s="22" t="n">
        <v>0.08</v>
      </c>
      <c r="G30" s="5" t="s">
        <v>313</v>
      </c>
      <c r="H30" s="10" t="s">
        <v>377</v>
      </c>
    </row>
    <row r="31" customFormat="false" ht="15" hidden="false" customHeight="true" outlineLevel="0" collapsed="false">
      <c r="A31" s="5" t="s">
        <v>378</v>
      </c>
      <c r="B31" s="5" t="s">
        <v>379</v>
      </c>
      <c r="C31" s="5" t="s">
        <v>341</v>
      </c>
      <c r="D31" s="47" t="n">
        <v>4.99</v>
      </c>
      <c r="G31" s="5" t="s">
        <v>309</v>
      </c>
      <c r="H31" s="10"/>
    </row>
    <row r="33" customFormat="false" ht="15" hidden="false" customHeight="true" outlineLevel="0" collapsed="false">
      <c r="A33" s="8" t="s">
        <v>380</v>
      </c>
      <c r="B33" s="9"/>
      <c r="C33" s="9"/>
      <c r="D33" s="9"/>
      <c r="E33" s="9"/>
      <c r="F33" s="9"/>
      <c r="G33" s="9"/>
      <c r="H33" s="9"/>
    </row>
    <row r="34" customFormat="false" ht="15" hidden="false" customHeight="true" outlineLevel="0" collapsed="false">
      <c r="A34" s="5" t="s">
        <v>381</v>
      </c>
      <c r="B34" s="5" t="s">
        <v>382</v>
      </c>
      <c r="C34" s="5" t="s">
        <v>383</v>
      </c>
      <c r="D34" s="32" t="n">
        <v>4</v>
      </c>
      <c r="E34" s="32" t="n">
        <v>10</v>
      </c>
      <c r="F34" s="32" t="n">
        <v>14</v>
      </c>
      <c r="G34" s="5" t="s">
        <v>313</v>
      </c>
      <c r="H34" s="10" t="s">
        <v>384</v>
      </c>
    </row>
    <row r="35" customFormat="false" ht="15" hidden="false" customHeight="true" outlineLevel="0" collapsed="false">
      <c r="A35" s="5" t="s">
        <v>385</v>
      </c>
      <c r="B35" s="5" t="s">
        <v>386</v>
      </c>
      <c r="C35" s="5" t="s">
        <v>64</v>
      </c>
      <c r="D35" s="30" t="n">
        <v>12000</v>
      </c>
      <c r="G35" s="5" t="s">
        <v>309</v>
      </c>
      <c r="H35" s="10" t="s">
        <v>387</v>
      </c>
    </row>
    <row r="36" customFormat="false" ht="15" hidden="false" customHeight="true" outlineLevel="0" collapsed="false">
      <c r="A36" s="5" t="s">
        <v>388</v>
      </c>
      <c r="B36" s="5" t="s">
        <v>389</v>
      </c>
      <c r="C36" s="5" t="s">
        <v>100</v>
      </c>
      <c r="D36" s="49" t="n">
        <v>125</v>
      </c>
      <c r="G36" s="5" t="s">
        <v>342</v>
      </c>
      <c r="H36" s="10" t="s">
        <v>390</v>
      </c>
    </row>
    <row r="37" customFormat="false" ht="15" hidden="false" customHeight="true" outlineLevel="0" collapsed="false">
      <c r="A37" s="5" t="s">
        <v>391</v>
      </c>
      <c r="B37" s="5" t="s">
        <v>392</v>
      </c>
      <c r="C37" s="5" t="s">
        <v>64</v>
      </c>
      <c r="D37" s="30" t="n">
        <v>15000</v>
      </c>
      <c r="G37" s="5" t="s">
        <v>309</v>
      </c>
      <c r="H37" s="10" t="s">
        <v>393</v>
      </c>
    </row>
    <row r="38" customFormat="false" ht="15" hidden="false" customHeight="true" outlineLevel="0" collapsed="false">
      <c r="A38" s="5" t="s">
        <v>394</v>
      </c>
      <c r="B38" s="5" t="s">
        <v>395</v>
      </c>
      <c r="C38" s="5" t="s">
        <v>163</v>
      </c>
      <c r="D38" s="34" t="n">
        <v>120</v>
      </c>
      <c r="G38" s="5" t="s">
        <v>313</v>
      </c>
      <c r="H38" s="10" t="s">
        <v>396</v>
      </c>
    </row>
    <row r="39" customFormat="false" ht="15" hidden="false" customHeight="true" outlineLevel="0" collapsed="false">
      <c r="A39" s="5" t="s">
        <v>397</v>
      </c>
      <c r="B39" s="5" t="s">
        <v>398</v>
      </c>
      <c r="C39" s="5" t="s">
        <v>399</v>
      </c>
      <c r="D39" s="49" t="n">
        <v>2</v>
      </c>
      <c r="G39" s="5" t="s">
        <v>342</v>
      </c>
      <c r="H39" s="10" t="s">
        <v>400</v>
      </c>
    </row>
    <row r="40" customFormat="false" ht="15" hidden="false" customHeight="true" outlineLevel="0" collapsed="false">
      <c r="A40" s="5" t="s">
        <v>401</v>
      </c>
      <c r="B40" s="5" t="s">
        <v>402</v>
      </c>
      <c r="C40" s="5" t="s">
        <v>74</v>
      </c>
      <c r="D40" s="22" t="n">
        <v>0.5</v>
      </c>
      <c r="G40" s="5" t="s">
        <v>313</v>
      </c>
      <c r="H40" s="10" t="s">
        <v>403</v>
      </c>
    </row>
    <row r="41" customFormat="false" ht="15" hidden="false" customHeight="true" outlineLevel="0" collapsed="false">
      <c r="A41" s="5" t="s">
        <v>404</v>
      </c>
      <c r="B41" s="5" t="s">
        <v>405</v>
      </c>
      <c r="C41" s="5" t="s">
        <v>74</v>
      </c>
      <c r="D41" s="22" t="n">
        <v>0.6</v>
      </c>
      <c r="G41" s="5" t="s">
        <v>313</v>
      </c>
      <c r="H41" s="10"/>
    </row>
    <row r="42" customFormat="false" ht="15" hidden="false" customHeight="true" outlineLevel="0" collapsed="false">
      <c r="A42" s="5" t="s">
        <v>406</v>
      </c>
      <c r="B42" s="5" t="s">
        <v>407</v>
      </c>
      <c r="C42" s="5" t="s">
        <v>383</v>
      </c>
      <c r="D42" s="32" t="n">
        <v>1</v>
      </c>
      <c r="E42" s="32" t="n">
        <v>8</v>
      </c>
      <c r="F42" s="32" t="n">
        <v>18</v>
      </c>
      <c r="G42" s="5" t="s">
        <v>313</v>
      </c>
      <c r="H42" s="10" t="s">
        <v>408</v>
      </c>
    </row>
    <row r="43" customFormat="false" ht="15" hidden="false" customHeight="true" outlineLevel="0" collapsed="false">
      <c r="A43" s="5" t="s">
        <v>409</v>
      </c>
      <c r="B43" s="5" t="s">
        <v>410</v>
      </c>
      <c r="C43" s="5" t="s">
        <v>323</v>
      </c>
      <c r="D43" s="30" t="n">
        <v>35000</v>
      </c>
      <c r="G43" s="5" t="s">
        <v>309</v>
      </c>
      <c r="H43" s="10"/>
    </row>
    <row r="44" customFormat="false" ht="15" hidden="false" customHeight="true" outlineLevel="0" collapsed="false">
      <c r="A44" s="5" t="s">
        <v>411</v>
      </c>
      <c r="B44" s="5" t="s">
        <v>412</v>
      </c>
      <c r="C44" s="5" t="s">
        <v>100</v>
      </c>
      <c r="D44" s="34" t="n">
        <v>1500</v>
      </c>
      <c r="G44" s="5" t="s">
        <v>313</v>
      </c>
      <c r="H44" s="10"/>
    </row>
    <row r="45" customFormat="false" ht="15" hidden="false" customHeight="true" outlineLevel="0" collapsed="false">
      <c r="A45" s="5" t="s">
        <v>413</v>
      </c>
      <c r="B45" s="5" t="s">
        <v>414</v>
      </c>
      <c r="C45" s="5" t="s">
        <v>64</v>
      </c>
      <c r="D45" s="47" t="n">
        <v>10</v>
      </c>
      <c r="G45" s="5" t="s">
        <v>309</v>
      </c>
      <c r="H45" s="10"/>
    </row>
    <row r="46" customFormat="false" ht="15" hidden="false" customHeight="true" outlineLevel="0" collapsed="false">
      <c r="A46" s="5" t="s">
        <v>415</v>
      </c>
      <c r="B46" s="5" t="s">
        <v>416</v>
      </c>
      <c r="C46" s="5" t="s">
        <v>64</v>
      </c>
      <c r="D46" s="30" t="n">
        <v>40000</v>
      </c>
      <c r="G46" s="5" t="s">
        <v>309</v>
      </c>
      <c r="H46" s="10"/>
    </row>
    <row r="47" customFormat="false" ht="15" hidden="false" customHeight="true" outlineLevel="0" collapsed="false">
      <c r="A47" s="5" t="s">
        <v>417</v>
      </c>
      <c r="B47" s="5" t="s">
        <v>418</v>
      </c>
      <c r="C47" s="5" t="s">
        <v>163</v>
      </c>
      <c r="D47" s="34" t="n">
        <v>300</v>
      </c>
      <c r="G47" s="5" t="s">
        <v>313</v>
      </c>
      <c r="H47" s="10"/>
    </row>
    <row r="48" customFormat="false" ht="15" hidden="false" customHeight="true" outlineLevel="0" collapsed="false">
      <c r="A48" s="5" t="s">
        <v>419</v>
      </c>
      <c r="B48" s="5" t="s">
        <v>420</v>
      </c>
      <c r="C48" s="5" t="s">
        <v>399</v>
      </c>
      <c r="D48" s="34" t="n">
        <v>4</v>
      </c>
      <c r="G48" s="5" t="s">
        <v>313</v>
      </c>
      <c r="H48" s="10"/>
    </row>
    <row r="49" customFormat="false" ht="15" hidden="false" customHeight="true" outlineLevel="0" collapsed="false">
      <c r="A49" s="5" t="s">
        <v>421</v>
      </c>
      <c r="B49" s="5" t="s">
        <v>422</v>
      </c>
      <c r="C49" s="5" t="s">
        <v>74</v>
      </c>
      <c r="D49" s="22" t="n">
        <v>0.12</v>
      </c>
      <c r="G49" s="5" t="s">
        <v>313</v>
      </c>
      <c r="H49" s="10"/>
    </row>
    <row r="50" customFormat="false" ht="15" hidden="false" customHeight="true" outlineLevel="0" collapsed="false">
      <c r="A50" s="5" t="s">
        <v>423</v>
      </c>
      <c r="B50" s="5" t="s">
        <v>424</v>
      </c>
      <c r="C50" s="5" t="s">
        <v>74</v>
      </c>
      <c r="D50" s="22" t="n">
        <v>0.12</v>
      </c>
      <c r="G50" s="5" t="s">
        <v>313</v>
      </c>
      <c r="H50" s="10" t="s">
        <v>425</v>
      </c>
    </row>
    <row r="51" customFormat="false" ht="15" hidden="false" customHeight="true" outlineLevel="0" collapsed="false">
      <c r="A51" s="5" t="s">
        <v>426</v>
      </c>
      <c r="B51" s="5" t="s">
        <v>427</v>
      </c>
      <c r="C51" s="5" t="s">
        <v>74</v>
      </c>
      <c r="D51" s="22" t="n">
        <v>0.1</v>
      </c>
      <c r="G51" s="5" t="s">
        <v>313</v>
      </c>
      <c r="H51" s="10"/>
    </row>
    <row r="52" customFormat="false" ht="15" hidden="false" customHeight="true" outlineLevel="0" collapsed="false">
      <c r="A52" s="5" t="s">
        <v>428</v>
      </c>
      <c r="B52" s="5" t="s">
        <v>429</v>
      </c>
      <c r="C52" s="5" t="s">
        <v>383</v>
      </c>
      <c r="D52" s="32" t="n">
        <v>0</v>
      </c>
      <c r="E52" s="32" t="n">
        <v>3</v>
      </c>
      <c r="F52" s="32" t="n">
        <v>9</v>
      </c>
      <c r="G52" s="5" t="s">
        <v>313</v>
      </c>
      <c r="H52" s="10" t="s">
        <v>430</v>
      </c>
    </row>
    <row r="53" customFormat="false" ht="15" hidden="false" customHeight="true" outlineLevel="0" collapsed="false">
      <c r="A53" s="5" t="s">
        <v>431</v>
      </c>
      <c r="B53" s="5" t="s">
        <v>432</v>
      </c>
      <c r="C53" s="5" t="s">
        <v>323</v>
      </c>
      <c r="D53" s="30" t="n">
        <v>90000</v>
      </c>
      <c r="G53" s="5" t="s">
        <v>309</v>
      </c>
      <c r="H53" s="10"/>
    </row>
    <row r="54" customFormat="false" ht="15" hidden="false" customHeight="true" outlineLevel="0" collapsed="false">
      <c r="A54" s="5" t="s">
        <v>433</v>
      </c>
      <c r="B54" s="5" t="s">
        <v>434</v>
      </c>
      <c r="C54" s="5" t="s">
        <v>100</v>
      </c>
      <c r="D54" s="34" t="n">
        <v>5000</v>
      </c>
      <c r="G54" s="5" t="s">
        <v>313</v>
      </c>
      <c r="H54" s="10" t="s">
        <v>435</v>
      </c>
    </row>
    <row r="55" customFormat="false" ht="15" hidden="false" customHeight="true" outlineLevel="0" collapsed="false">
      <c r="A55" s="5" t="s">
        <v>436</v>
      </c>
      <c r="B55" s="5" t="s">
        <v>437</v>
      </c>
      <c r="C55" s="5" t="s">
        <v>64</v>
      </c>
      <c r="D55" s="47" t="n">
        <v>11</v>
      </c>
      <c r="G55" s="5" t="s">
        <v>309</v>
      </c>
      <c r="H55" s="10"/>
    </row>
    <row r="56" customFormat="false" ht="15" hidden="false" customHeight="true" outlineLevel="0" collapsed="false">
      <c r="A56" s="5" t="s">
        <v>438</v>
      </c>
      <c r="B56" s="5" t="s">
        <v>439</v>
      </c>
      <c r="C56" s="5" t="s">
        <v>64</v>
      </c>
      <c r="D56" s="30" t="n">
        <v>120000</v>
      </c>
      <c r="G56" s="5" t="s">
        <v>309</v>
      </c>
      <c r="H56" s="10"/>
    </row>
    <row r="57" customFormat="false" ht="15" hidden="false" customHeight="true" outlineLevel="0" collapsed="false">
      <c r="A57" s="5" t="s">
        <v>440</v>
      </c>
      <c r="B57" s="5" t="s">
        <v>441</v>
      </c>
      <c r="C57" s="5" t="s">
        <v>163</v>
      </c>
      <c r="D57" s="34" t="n">
        <v>850</v>
      </c>
      <c r="G57" s="5" t="s">
        <v>313</v>
      </c>
      <c r="H57" s="10" t="s">
        <v>442</v>
      </c>
    </row>
    <row r="58" customFormat="false" ht="15" hidden="false" customHeight="true" outlineLevel="0" collapsed="false">
      <c r="A58" s="5" t="s">
        <v>443</v>
      </c>
      <c r="B58" s="5" t="s">
        <v>444</v>
      </c>
      <c r="C58" s="5" t="s">
        <v>399</v>
      </c>
      <c r="D58" s="34" t="n">
        <v>6</v>
      </c>
      <c r="G58" s="5" t="s">
        <v>313</v>
      </c>
      <c r="H58" s="10"/>
    </row>
    <row r="59" customFormat="false" ht="15" hidden="false" customHeight="true" outlineLevel="0" collapsed="false">
      <c r="A59" s="5" t="s">
        <v>445</v>
      </c>
      <c r="B59" s="5" t="s">
        <v>446</v>
      </c>
      <c r="C59" s="5" t="s">
        <v>74</v>
      </c>
      <c r="D59" s="22" t="n">
        <v>0.08</v>
      </c>
      <c r="G59" s="5" t="s">
        <v>313</v>
      </c>
      <c r="H59" s="10"/>
    </row>
    <row r="60" customFormat="false" ht="15" hidden="false" customHeight="true" outlineLevel="0" collapsed="false">
      <c r="A60" s="5" t="s">
        <v>447</v>
      </c>
      <c r="B60" s="5" t="s">
        <v>448</v>
      </c>
      <c r="C60" s="5" t="s">
        <v>74</v>
      </c>
      <c r="D60" s="22" t="n">
        <v>0.3</v>
      </c>
      <c r="G60" s="5" t="s">
        <v>313</v>
      </c>
      <c r="H60" s="10" t="s">
        <v>449</v>
      </c>
    </row>
    <row r="61" customFormat="false" ht="15" hidden="false" customHeight="true" outlineLevel="0" collapsed="false">
      <c r="A61" s="5" t="s">
        <v>450</v>
      </c>
      <c r="B61" s="5" t="s">
        <v>451</v>
      </c>
      <c r="C61" s="5" t="s">
        <v>74</v>
      </c>
      <c r="D61" s="22" t="n">
        <v>0.2</v>
      </c>
      <c r="G61" s="5" t="s">
        <v>313</v>
      </c>
      <c r="H61" s="10"/>
    </row>
    <row r="62" customFormat="false" ht="15" hidden="false" customHeight="true" outlineLevel="0" collapsed="false">
      <c r="A62" s="5" t="s">
        <v>452</v>
      </c>
      <c r="B62" s="5" t="s">
        <v>453</v>
      </c>
      <c r="C62" s="5" t="s">
        <v>74</v>
      </c>
      <c r="D62" s="22" t="n">
        <v>0.05</v>
      </c>
      <c r="G62" s="5" t="s">
        <v>313</v>
      </c>
      <c r="H62" s="10" t="s">
        <v>454</v>
      </c>
    </row>
    <row r="63" customFormat="false" ht="15" hidden="false" customHeight="true" outlineLevel="0" collapsed="false">
      <c r="A63" s="5" t="s">
        <v>455</v>
      </c>
      <c r="B63" s="5" t="s">
        <v>456</v>
      </c>
      <c r="C63" s="5" t="s">
        <v>74</v>
      </c>
      <c r="D63" s="22" t="n">
        <v>0.25</v>
      </c>
      <c r="G63" s="5" t="s">
        <v>313</v>
      </c>
      <c r="H63" s="10"/>
    </row>
    <row r="64" customFormat="false" ht="15" hidden="false" customHeight="true" outlineLevel="0" collapsed="false">
      <c r="A64" s="5" t="s">
        <v>457</v>
      </c>
      <c r="B64" s="5" t="s">
        <v>458</v>
      </c>
      <c r="C64" s="5" t="s">
        <v>74</v>
      </c>
      <c r="D64" s="22" t="n">
        <v>0.4</v>
      </c>
      <c r="G64" s="5" t="s">
        <v>313</v>
      </c>
      <c r="H64" s="10"/>
    </row>
    <row r="65" customFormat="false" ht="15" hidden="false" customHeight="true" outlineLevel="0" collapsed="false">
      <c r="A65" s="5" t="s">
        <v>459</v>
      </c>
      <c r="B65" s="5" t="s">
        <v>460</v>
      </c>
      <c r="C65" s="5" t="s">
        <v>74</v>
      </c>
      <c r="D65" s="22" t="n">
        <v>0.25</v>
      </c>
      <c r="G65" s="5" t="s">
        <v>313</v>
      </c>
      <c r="H65" s="10"/>
    </row>
    <row r="66" customFormat="false" ht="15" hidden="false" customHeight="true" outlineLevel="0" collapsed="false">
      <c r="A66" s="5" t="s">
        <v>461</v>
      </c>
      <c r="B66" s="5" t="s">
        <v>462</v>
      </c>
      <c r="C66" s="5" t="s">
        <v>74</v>
      </c>
      <c r="D66" s="22" t="n">
        <v>0.05</v>
      </c>
      <c r="G66" s="5" t="s">
        <v>313</v>
      </c>
      <c r="H66" s="10"/>
    </row>
    <row r="67" customFormat="false" ht="15" hidden="false" customHeight="true" outlineLevel="0" collapsed="false">
      <c r="A67" s="5" t="s">
        <v>463</v>
      </c>
      <c r="B67" s="5" t="s">
        <v>464</v>
      </c>
      <c r="C67" s="5" t="s">
        <v>74</v>
      </c>
      <c r="D67" s="22" t="n">
        <v>0.01</v>
      </c>
      <c r="G67" s="5" t="s">
        <v>465</v>
      </c>
      <c r="H67" s="10" t="s">
        <v>466</v>
      </c>
    </row>
    <row r="68" customFormat="false" ht="15" hidden="false" customHeight="true" outlineLevel="0" collapsed="false">
      <c r="A68" s="5" t="s">
        <v>467</v>
      </c>
      <c r="B68" s="5" t="s">
        <v>468</v>
      </c>
      <c r="C68" s="5" t="s">
        <v>74</v>
      </c>
      <c r="D68" s="22" t="n">
        <v>0.1</v>
      </c>
      <c r="G68" s="5" t="s">
        <v>309</v>
      </c>
      <c r="H68" s="10" t="s">
        <v>469</v>
      </c>
    </row>
    <row r="69" customFormat="false" ht="15" hidden="false" customHeight="true" outlineLevel="0" collapsed="false">
      <c r="A69" s="5" t="s">
        <v>470</v>
      </c>
      <c r="B69" s="5" t="s">
        <v>471</v>
      </c>
      <c r="C69" s="5" t="s">
        <v>74</v>
      </c>
      <c r="D69" s="22" t="n">
        <v>0.01</v>
      </c>
      <c r="G69" s="5" t="s">
        <v>313</v>
      </c>
      <c r="H69" s="10" t="s">
        <v>472</v>
      </c>
    </row>
    <row r="70" customFormat="false" ht="15" hidden="false" customHeight="true" outlineLevel="0" collapsed="false">
      <c r="A70" s="5" t="s">
        <v>473</v>
      </c>
      <c r="B70" s="5" t="s">
        <v>474</v>
      </c>
      <c r="C70" s="5" t="s">
        <v>475</v>
      </c>
      <c r="D70" s="30" t="n">
        <v>62</v>
      </c>
      <c r="G70" s="5" t="s">
        <v>313</v>
      </c>
      <c r="H70" s="10" t="s">
        <v>476</v>
      </c>
    </row>
    <row r="71" customFormat="false" ht="15" hidden="false" customHeight="true" outlineLevel="0" collapsed="false">
      <c r="A71" s="5" t="s">
        <v>477</v>
      </c>
      <c r="B71" s="5" t="s">
        <v>478</v>
      </c>
      <c r="C71" s="5" t="s">
        <v>74</v>
      </c>
      <c r="D71" s="22" t="n">
        <v>0.7</v>
      </c>
      <c r="G71" s="5" t="s">
        <v>313</v>
      </c>
      <c r="H71" s="10"/>
    </row>
    <row r="72" customFormat="false" ht="15" hidden="false" customHeight="true" outlineLevel="0" collapsed="false">
      <c r="A72" s="5" t="s">
        <v>479</v>
      </c>
      <c r="B72" s="5" t="s">
        <v>480</v>
      </c>
      <c r="C72" s="5" t="s">
        <v>163</v>
      </c>
      <c r="D72" s="34" t="n">
        <v>130</v>
      </c>
      <c r="G72" s="5" t="s">
        <v>313</v>
      </c>
      <c r="H72" s="10" t="s">
        <v>481</v>
      </c>
    </row>
    <row r="74" customFormat="false" ht="15" hidden="false" customHeight="true" outlineLevel="0" collapsed="false">
      <c r="A74" s="8" t="s">
        <v>482</v>
      </c>
      <c r="B74" s="9"/>
      <c r="C74" s="9"/>
      <c r="D74" s="9"/>
      <c r="E74" s="9"/>
      <c r="F74" s="9"/>
      <c r="G74" s="9"/>
      <c r="H74" s="9"/>
    </row>
    <row r="75" customFormat="false" ht="15" hidden="false" customHeight="true" outlineLevel="0" collapsed="false">
      <c r="A75" s="5" t="s">
        <v>483</v>
      </c>
      <c r="B75" s="5" t="s">
        <v>484</v>
      </c>
      <c r="C75" s="5" t="s">
        <v>485</v>
      </c>
      <c r="D75" s="34" t="n">
        <v>13</v>
      </c>
      <c r="G75" s="5" t="s">
        <v>309</v>
      </c>
      <c r="H75" s="10" t="s">
        <v>486</v>
      </c>
    </row>
    <row r="76" customFormat="false" ht="15" hidden="false" customHeight="true" outlineLevel="0" collapsed="false">
      <c r="A76" s="5" t="s">
        <v>487</v>
      </c>
      <c r="B76" s="5" t="s">
        <v>488</v>
      </c>
      <c r="C76" s="5" t="s">
        <v>383</v>
      </c>
      <c r="D76" s="32" t="n">
        <v>0</v>
      </c>
      <c r="E76" s="32" t="n">
        <v>60</v>
      </c>
      <c r="F76" s="32" t="n">
        <v>180</v>
      </c>
      <c r="G76" s="5" t="s">
        <v>313</v>
      </c>
      <c r="H76" s="10"/>
    </row>
    <row r="77" customFormat="false" ht="15" hidden="false" customHeight="true" outlineLevel="0" collapsed="false">
      <c r="A77" s="5" t="s">
        <v>489</v>
      </c>
      <c r="B77" s="5" t="s">
        <v>490</v>
      </c>
      <c r="C77" s="5" t="s">
        <v>323</v>
      </c>
      <c r="D77" s="30" t="n">
        <v>3600</v>
      </c>
      <c r="G77" s="5" t="s">
        <v>309</v>
      </c>
      <c r="H77" s="10"/>
    </row>
    <row r="78" customFormat="false" ht="15" hidden="false" customHeight="true" outlineLevel="0" collapsed="false">
      <c r="A78" s="5" t="s">
        <v>491</v>
      </c>
      <c r="B78" s="5" t="s">
        <v>492</v>
      </c>
      <c r="C78" s="5" t="s">
        <v>74</v>
      </c>
      <c r="D78" s="22" t="n">
        <v>0.3</v>
      </c>
      <c r="G78" s="5" t="s">
        <v>313</v>
      </c>
      <c r="H78" s="10"/>
    </row>
    <row r="79" customFormat="false" ht="15" hidden="false" customHeight="true" outlineLevel="0" collapsed="false">
      <c r="A79" s="5" t="s">
        <v>493</v>
      </c>
      <c r="B79" s="5" t="s">
        <v>494</v>
      </c>
      <c r="C79" s="5" t="s">
        <v>74</v>
      </c>
      <c r="D79" s="22" t="n">
        <v>0.1</v>
      </c>
      <c r="G79" s="5" t="s">
        <v>313</v>
      </c>
      <c r="H79" s="10"/>
    </row>
    <row r="80" customFormat="false" ht="15" hidden="false" customHeight="true" outlineLevel="0" collapsed="false">
      <c r="A80" s="5" t="s">
        <v>495</v>
      </c>
      <c r="B80" s="5" t="s">
        <v>496</v>
      </c>
      <c r="C80" s="5" t="s">
        <v>74</v>
      </c>
      <c r="D80" s="22" t="n">
        <v>0.1</v>
      </c>
      <c r="G80" s="5" t="s">
        <v>313</v>
      </c>
      <c r="H80" s="10"/>
    </row>
    <row r="81" customFormat="false" ht="15" hidden="false" customHeight="true" outlineLevel="0" collapsed="false">
      <c r="A81" s="5" t="s">
        <v>497</v>
      </c>
      <c r="B81" s="5" t="s">
        <v>498</v>
      </c>
      <c r="C81" s="5" t="s">
        <v>485</v>
      </c>
      <c r="D81" s="34" t="n">
        <v>13</v>
      </c>
      <c r="G81" s="5" t="s">
        <v>309</v>
      </c>
      <c r="H81" s="10" t="s">
        <v>499</v>
      </c>
    </row>
    <row r="82" customFormat="false" ht="15" hidden="false" customHeight="true" outlineLevel="0" collapsed="false">
      <c r="A82" s="5" t="s">
        <v>500</v>
      </c>
      <c r="B82" s="5" t="s">
        <v>501</v>
      </c>
      <c r="C82" s="5" t="s">
        <v>74</v>
      </c>
      <c r="D82" s="22" t="n">
        <v>0</v>
      </c>
      <c r="E82" s="22" t="n">
        <v>0.1</v>
      </c>
      <c r="F82" s="22" t="n">
        <v>0.25</v>
      </c>
      <c r="G82" s="5" t="s">
        <v>313</v>
      </c>
      <c r="H82" s="10"/>
    </row>
    <row r="83" customFormat="false" ht="15" hidden="false" customHeight="true" outlineLevel="0" collapsed="false">
      <c r="A83" s="5" t="s">
        <v>502</v>
      </c>
      <c r="B83" s="5" t="s">
        <v>503</v>
      </c>
      <c r="C83" s="5" t="s">
        <v>323</v>
      </c>
      <c r="D83" s="30" t="n">
        <v>15000</v>
      </c>
      <c r="G83" s="5" t="s">
        <v>309</v>
      </c>
      <c r="H83" s="10"/>
    </row>
    <row r="84" customFormat="false" ht="15" hidden="false" customHeight="true" outlineLevel="0" collapsed="false">
      <c r="A84" s="5" t="s">
        <v>504</v>
      </c>
      <c r="B84" s="5" t="s">
        <v>505</v>
      </c>
      <c r="C84" s="5" t="s">
        <v>74</v>
      </c>
      <c r="D84" s="22" t="n">
        <v>0.1</v>
      </c>
      <c r="E84" s="22" t="n">
        <v>0.25</v>
      </c>
      <c r="F84" s="22" t="n">
        <v>0.4</v>
      </c>
      <c r="G84" s="5" t="s">
        <v>313</v>
      </c>
      <c r="H84" s="10" t="s">
        <v>506</v>
      </c>
    </row>
    <row r="85" customFormat="false" ht="15" hidden="false" customHeight="true" outlineLevel="0" collapsed="false">
      <c r="A85" s="5" t="s">
        <v>507</v>
      </c>
      <c r="B85" s="5" t="s">
        <v>508</v>
      </c>
      <c r="C85" s="5" t="s">
        <v>323</v>
      </c>
      <c r="D85" s="47" t="n">
        <v>2.5</v>
      </c>
      <c r="G85" s="5" t="s">
        <v>309</v>
      </c>
      <c r="H85" s="10"/>
    </row>
    <row r="87" customFormat="false" ht="15" hidden="false" customHeight="true" outlineLevel="0" collapsed="false">
      <c r="A87" s="8" t="s">
        <v>509</v>
      </c>
      <c r="B87" s="9"/>
      <c r="C87" s="9"/>
      <c r="D87" s="9"/>
      <c r="E87" s="9"/>
      <c r="F87" s="9"/>
      <c r="G87" s="9"/>
      <c r="H87" s="9"/>
    </row>
    <row r="88" customFormat="false" ht="15" hidden="false" customHeight="true" outlineLevel="0" collapsed="false">
      <c r="A88" s="5" t="s">
        <v>510</v>
      </c>
      <c r="B88" s="5" t="s">
        <v>511</v>
      </c>
      <c r="C88" s="5" t="s">
        <v>100</v>
      </c>
      <c r="D88" s="32" t="n">
        <v>8</v>
      </c>
      <c r="G88" s="5" t="s">
        <v>313</v>
      </c>
      <c r="H88" s="10"/>
    </row>
    <row r="89" customFormat="false" ht="15" hidden="false" customHeight="true" outlineLevel="0" collapsed="false">
      <c r="A89" s="5" t="s">
        <v>512</v>
      </c>
      <c r="B89" s="5" t="s">
        <v>513</v>
      </c>
      <c r="C89" s="5" t="s">
        <v>100</v>
      </c>
      <c r="D89" s="32" t="n">
        <v>40</v>
      </c>
      <c r="G89" s="5" t="s">
        <v>313</v>
      </c>
      <c r="H89" s="10"/>
    </row>
    <row r="90" customFormat="false" ht="15" hidden="false" customHeight="true" outlineLevel="0" collapsed="false">
      <c r="A90" s="5" t="s">
        <v>514</v>
      </c>
      <c r="B90" s="5" t="s">
        <v>515</v>
      </c>
      <c r="C90" s="5" t="s">
        <v>100</v>
      </c>
      <c r="D90" s="32" t="n">
        <v>150</v>
      </c>
      <c r="G90" s="5" t="s">
        <v>313</v>
      </c>
      <c r="H90" s="10" t="s">
        <v>516</v>
      </c>
    </row>
    <row r="91" customFormat="false" ht="15" hidden="false" customHeight="true" outlineLevel="0" collapsed="false">
      <c r="A91" s="5" t="s">
        <v>517</v>
      </c>
      <c r="B91" s="5" t="s">
        <v>518</v>
      </c>
      <c r="C91" s="5" t="s">
        <v>100</v>
      </c>
      <c r="D91" s="32" t="n">
        <v>12</v>
      </c>
      <c r="G91" s="5" t="s">
        <v>309</v>
      </c>
      <c r="H91" s="10" t="s">
        <v>519</v>
      </c>
    </row>
    <row r="92" customFormat="false" ht="15" hidden="false" customHeight="true" outlineLevel="0" collapsed="false">
      <c r="A92" s="5" t="s">
        <v>520</v>
      </c>
      <c r="B92" s="5" t="s">
        <v>521</v>
      </c>
      <c r="C92" s="5" t="s">
        <v>522</v>
      </c>
      <c r="D92" s="34" t="n">
        <v>6000</v>
      </c>
      <c r="G92" s="5" t="s">
        <v>313</v>
      </c>
      <c r="H92" s="10"/>
    </row>
    <row r="93" customFormat="false" ht="15" hidden="false" customHeight="true" outlineLevel="0" collapsed="false">
      <c r="A93" s="5" t="s">
        <v>523</v>
      </c>
      <c r="B93" s="5" t="s">
        <v>524</v>
      </c>
      <c r="C93" s="5" t="s">
        <v>522</v>
      </c>
      <c r="D93" s="34" t="n">
        <v>800</v>
      </c>
      <c r="G93" s="5" t="s">
        <v>313</v>
      </c>
      <c r="H93" s="10"/>
    </row>
    <row r="94" customFormat="false" ht="15" hidden="false" customHeight="true" outlineLevel="0" collapsed="false">
      <c r="A94" s="5" t="s">
        <v>525</v>
      </c>
      <c r="B94" s="5" t="s">
        <v>526</v>
      </c>
      <c r="C94" s="5" t="s">
        <v>74</v>
      </c>
      <c r="D94" s="22" t="n">
        <v>0.75</v>
      </c>
      <c r="G94" s="5" t="s">
        <v>309</v>
      </c>
      <c r="H94" s="10" t="s">
        <v>527</v>
      </c>
    </row>
    <row r="95" customFormat="false" ht="15" hidden="false" customHeight="true" outlineLevel="0" collapsed="false">
      <c r="A95" s="5" t="s">
        <v>528</v>
      </c>
      <c r="B95" s="5" t="s">
        <v>529</v>
      </c>
      <c r="C95" s="5" t="s">
        <v>74</v>
      </c>
      <c r="D95" s="22" t="n">
        <v>0.2</v>
      </c>
      <c r="G95" s="5" t="s">
        <v>309</v>
      </c>
      <c r="H95" s="10"/>
    </row>
    <row r="96" customFormat="false" ht="15" hidden="false" customHeight="true" outlineLevel="0" collapsed="false">
      <c r="A96" s="5" t="s">
        <v>530</v>
      </c>
      <c r="B96" s="5" t="s">
        <v>531</v>
      </c>
      <c r="C96" s="5" t="s">
        <v>74</v>
      </c>
      <c r="D96" s="22" t="n">
        <v>0.05</v>
      </c>
      <c r="G96" s="5" t="s">
        <v>309</v>
      </c>
      <c r="H96" s="10"/>
    </row>
    <row r="97" customFormat="false" ht="15" hidden="false" customHeight="true" outlineLevel="0" collapsed="false">
      <c r="A97" s="5" t="s">
        <v>532</v>
      </c>
      <c r="B97" s="5" t="s">
        <v>533</v>
      </c>
      <c r="C97" s="5" t="s">
        <v>534</v>
      </c>
      <c r="D97" s="47" t="n">
        <v>1</v>
      </c>
      <c r="G97" s="5" t="s">
        <v>368</v>
      </c>
      <c r="H97" s="10" t="s">
        <v>535</v>
      </c>
    </row>
    <row r="98" customFormat="false" ht="15" hidden="false" customHeight="true" outlineLevel="0" collapsed="false">
      <c r="A98" s="5" t="s">
        <v>536</v>
      </c>
      <c r="B98" s="5" t="s">
        <v>537</v>
      </c>
      <c r="C98" s="5" t="s">
        <v>534</v>
      </c>
      <c r="D98" s="47" t="n">
        <v>5</v>
      </c>
      <c r="G98" s="5" t="s">
        <v>368</v>
      </c>
      <c r="H98" s="10"/>
    </row>
    <row r="99" customFormat="false" ht="15" hidden="false" customHeight="true" outlineLevel="0" collapsed="false">
      <c r="A99" s="5" t="s">
        <v>538</v>
      </c>
      <c r="B99" s="5" t="s">
        <v>539</v>
      </c>
      <c r="C99" s="5" t="s">
        <v>534</v>
      </c>
      <c r="D99" s="47" t="n">
        <v>3</v>
      </c>
      <c r="G99" s="5" t="s">
        <v>368</v>
      </c>
      <c r="H99" s="10"/>
    </row>
    <row r="100" customFormat="false" ht="15" hidden="false" customHeight="true" outlineLevel="0" collapsed="false">
      <c r="A100" s="5" t="s">
        <v>540</v>
      </c>
      <c r="B100" s="5" t="s">
        <v>541</v>
      </c>
      <c r="C100" s="5" t="s">
        <v>534</v>
      </c>
      <c r="D100" s="47" t="n">
        <v>15</v>
      </c>
      <c r="G100" s="5" t="s">
        <v>368</v>
      </c>
      <c r="H100" s="10"/>
    </row>
    <row r="101" customFormat="false" ht="15" hidden="false" customHeight="true" outlineLevel="0" collapsed="false">
      <c r="A101" s="5" t="s">
        <v>542</v>
      </c>
      <c r="B101" s="5" t="s">
        <v>543</v>
      </c>
      <c r="C101" s="5" t="s">
        <v>534</v>
      </c>
      <c r="D101" s="47" t="n">
        <v>5</v>
      </c>
      <c r="G101" s="5" t="s">
        <v>368</v>
      </c>
      <c r="H101" s="10" t="s">
        <v>544</v>
      </c>
    </row>
    <row r="102" customFormat="false" ht="15" hidden="false" customHeight="true" outlineLevel="0" collapsed="false">
      <c r="A102" s="5" t="s">
        <v>545</v>
      </c>
      <c r="B102" s="5" t="s">
        <v>546</v>
      </c>
      <c r="C102" s="5" t="s">
        <v>534</v>
      </c>
      <c r="D102" s="47" t="n">
        <v>25</v>
      </c>
      <c r="G102" s="5" t="s">
        <v>368</v>
      </c>
      <c r="H102" s="10" t="s">
        <v>547</v>
      </c>
    </row>
    <row r="103" customFormat="false" ht="15" hidden="false" customHeight="true" outlineLevel="0" collapsed="false">
      <c r="A103" s="5" t="s">
        <v>548</v>
      </c>
      <c r="B103" s="5" t="s">
        <v>549</v>
      </c>
      <c r="C103" s="5" t="s">
        <v>74</v>
      </c>
      <c r="D103" s="22" t="n">
        <v>0.4</v>
      </c>
      <c r="G103" s="5" t="s">
        <v>313</v>
      </c>
      <c r="H103" s="10"/>
    </row>
    <row r="104" customFormat="false" ht="15" hidden="false" customHeight="true" outlineLevel="0" collapsed="false">
      <c r="A104" s="5" t="s">
        <v>550</v>
      </c>
      <c r="B104" s="5" t="s">
        <v>551</v>
      </c>
      <c r="C104" s="5" t="s">
        <v>74</v>
      </c>
      <c r="D104" s="22" t="n">
        <v>0.2</v>
      </c>
      <c r="G104" s="5" t="s">
        <v>313</v>
      </c>
      <c r="H104" s="10"/>
    </row>
    <row r="105" customFormat="false" ht="15" hidden="false" customHeight="true" outlineLevel="0" collapsed="false">
      <c r="A105" s="5" t="s">
        <v>552</v>
      </c>
      <c r="B105" s="5" t="s">
        <v>553</v>
      </c>
      <c r="C105" s="5" t="s">
        <v>341</v>
      </c>
      <c r="D105" s="30" t="n">
        <v>2000</v>
      </c>
      <c r="E105" s="30" t="n">
        <v>3500</v>
      </c>
      <c r="F105" s="30" t="n">
        <v>6000</v>
      </c>
      <c r="G105" s="5" t="s">
        <v>313</v>
      </c>
      <c r="H105" s="10"/>
    </row>
    <row r="107" customFormat="false" ht="15" hidden="false" customHeight="true" outlineLevel="0" collapsed="false">
      <c r="A107" s="8" t="s">
        <v>554</v>
      </c>
      <c r="B107" s="9"/>
      <c r="C107" s="9"/>
      <c r="D107" s="9"/>
      <c r="E107" s="9"/>
      <c r="F107" s="9"/>
      <c r="G107" s="9"/>
      <c r="H107" s="9"/>
    </row>
    <row r="108" customFormat="false" ht="15" hidden="false" customHeight="true" outlineLevel="0" collapsed="false">
      <c r="A108" s="5" t="s">
        <v>555</v>
      </c>
      <c r="B108" s="5" t="s">
        <v>556</v>
      </c>
      <c r="C108" s="5" t="s">
        <v>485</v>
      </c>
      <c r="D108" s="34" t="n">
        <v>19</v>
      </c>
      <c r="G108" s="5" t="s">
        <v>309</v>
      </c>
      <c r="H108" s="10" t="s">
        <v>557</v>
      </c>
    </row>
    <row r="109" customFormat="false" ht="15" hidden="false" customHeight="true" outlineLevel="0" collapsed="false">
      <c r="A109" s="5" t="s">
        <v>558</v>
      </c>
      <c r="B109" s="5" t="s">
        <v>559</v>
      </c>
      <c r="C109" s="5" t="s">
        <v>74</v>
      </c>
      <c r="D109" s="22" t="n">
        <v>0</v>
      </c>
      <c r="E109" s="22" t="n">
        <v>0.01</v>
      </c>
      <c r="F109" s="22" t="n">
        <v>0.025</v>
      </c>
      <c r="G109" s="5" t="s">
        <v>313</v>
      </c>
      <c r="H109" s="10"/>
    </row>
    <row r="110" customFormat="false" ht="15" hidden="false" customHeight="true" outlineLevel="0" collapsed="false">
      <c r="A110" s="5" t="s">
        <v>560</v>
      </c>
      <c r="B110" s="5" t="s">
        <v>561</v>
      </c>
      <c r="C110" s="5" t="s">
        <v>100</v>
      </c>
      <c r="D110" s="32" t="n">
        <v>0.6</v>
      </c>
      <c r="G110" s="5" t="s">
        <v>313</v>
      </c>
      <c r="H110" s="10"/>
    </row>
    <row r="111" customFormat="false" ht="15" hidden="false" customHeight="true" outlineLevel="0" collapsed="false">
      <c r="A111" s="5" t="s">
        <v>562</v>
      </c>
      <c r="B111" s="5" t="s">
        <v>563</v>
      </c>
      <c r="C111" s="5" t="s">
        <v>64</v>
      </c>
      <c r="D111" s="30" t="n">
        <v>45</v>
      </c>
      <c r="G111" s="5" t="s">
        <v>313</v>
      </c>
      <c r="H111" s="10"/>
    </row>
    <row r="112" customFormat="false" ht="15" hidden="false" customHeight="true" outlineLevel="0" collapsed="false">
      <c r="A112" s="5" t="s">
        <v>564</v>
      </c>
      <c r="B112" s="5" t="s">
        <v>565</v>
      </c>
      <c r="C112" s="5" t="s">
        <v>74</v>
      </c>
      <c r="D112" s="22" t="n">
        <v>0.15</v>
      </c>
      <c r="G112" s="5" t="s">
        <v>309</v>
      </c>
      <c r="H112" s="10" t="s">
        <v>566</v>
      </c>
    </row>
    <row r="113" customFormat="false" ht="15" hidden="false" customHeight="true" outlineLevel="0" collapsed="false">
      <c r="A113" s="5" t="s">
        <v>567</v>
      </c>
      <c r="B113" s="5" t="s">
        <v>568</v>
      </c>
      <c r="C113" s="5" t="s">
        <v>74</v>
      </c>
      <c r="D113" s="22" t="n">
        <v>0.029</v>
      </c>
      <c r="G113" s="5" t="s">
        <v>368</v>
      </c>
      <c r="H113" s="10"/>
    </row>
    <row r="114" customFormat="false" ht="15" hidden="false" customHeight="true" outlineLevel="0" collapsed="false">
      <c r="A114" s="5" t="s">
        <v>569</v>
      </c>
      <c r="B114" s="5" t="s">
        <v>570</v>
      </c>
      <c r="C114" s="5" t="s">
        <v>64</v>
      </c>
      <c r="D114" s="47" t="n">
        <v>0.3</v>
      </c>
      <c r="G114" s="5" t="s">
        <v>368</v>
      </c>
      <c r="H114" s="10"/>
    </row>
    <row r="115" customFormat="false" ht="15" hidden="false" customHeight="true" outlineLevel="0" collapsed="false">
      <c r="A115" s="5" t="s">
        <v>571</v>
      </c>
      <c r="B115" s="5" t="s">
        <v>572</v>
      </c>
      <c r="C115" s="5" t="s">
        <v>74</v>
      </c>
      <c r="D115" s="22" t="n">
        <v>0.008</v>
      </c>
      <c r="G115" s="5" t="s">
        <v>313</v>
      </c>
      <c r="H115" s="10"/>
    </row>
    <row r="116" customFormat="false" ht="15" hidden="false" customHeight="true" outlineLevel="0" collapsed="false">
      <c r="A116" s="5" t="s">
        <v>573</v>
      </c>
      <c r="B116" s="5" t="s">
        <v>574</v>
      </c>
      <c r="C116" s="5" t="s">
        <v>64</v>
      </c>
      <c r="D116" s="47" t="n">
        <v>0.25</v>
      </c>
      <c r="G116" s="5" t="s">
        <v>313</v>
      </c>
      <c r="H116" s="10"/>
    </row>
    <row r="118" customFormat="false" ht="15" hidden="false" customHeight="true" outlineLevel="0" collapsed="false">
      <c r="A118" s="8" t="s">
        <v>575</v>
      </c>
      <c r="B118" s="9"/>
      <c r="C118" s="9"/>
      <c r="D118" s="9"/>
      <c r="E118" s="9"/>
      <c r="F118" s="9"/>
      <c r="G118" s="9"/>
      <c r="H118" s="9"/>
    </row>
    <row r="119" customFormat="false" ht="15" hidden="false" customHeight="true" outlineLevel="0" collapsed="false">
      <c r="A119" s="5" t="s">
        <v>576</v>
      </c>
      <c r="B119" s="5" t="s">
        <v>577</v>
      </c>
      <c r="C119" s="5" t="s">
        <v>341</v>
      </c>
      <c r="D119" s="30" t="n">
        <v>4000</v>
      </c>
      <c r="E119" s="30" t="n">
        <v>9000</v>
      </c>
      <c r="F119" s="30" t="n">
        <v>16000</v>
      </c>
      <c r="G119" s="5" t="s">
        <v>313</v>
      </c>
      <c r="H119" s="10"/>
    </row>
    <row r="120" customFormat="false" ht="15" hidden="false" customHeight="true" outlineLevel="0" collapsed="false">
      <c r="A120" s="5" t="s">
        <v>578</v>
      </c>
      <c r="B120" s="5" t="s">
        <v>579</v>
      </c>
      <c r="C120" s="5" t="s">
        <v>341</v>
      </c>
      <c r="D120" s="47" t="n">
        <v>0.08</v>
      </c>
      <c r="G120" s="5" t="s">
        <v>313</v>
      </c>
      <c r="H120" s="10"/>
    </row>
    <row r="121" customFormat="false" ht="15" hidden="false" customHeight="true" outlineLevel="0" collapsed="false">
      <c r="A121" s="5" t="s">
        <v>580</v>
      </c>
      <c r="B121" s="5" t="s">
        <v>581</v>
      </c>
      <c r="C121" s="5" t="s">
        <v>582</v>
      </c>
      <c r="D121" s="32" t="n">
        <v>0.25</v>
      </c>
      <c r="E121" s="32" t="n">
        <v>0.45</v>
      </c>
      <c r="F121" s="32" t="n">
        <v>0.7</v>
      </c>
      <c r="G121" s="5" t="s">
        <v>313</v>
      </c>
      <c r="H121" s="10" t="s">
        <v>583</v>
      </c>
    </row>
    <row r="122" customFormat="false" ht="15" hidden="false" customHeight="true" outlineLevel="0" collapsed="false">
      <c r="A122" s="5" t="s">
        <v>584</v>
      </c>
      <c r="B122" s="5" t="s">
        <v>585</v>
      </c>
      <c r="C122" s="5" t="s">
        <v>586</v>
      </c>
      <c r="D122" s="47" t="n">
        <v>0.023</v>
      </c>
      <c r="G122" s="5" t="s">
        <v>368</v>
      </c>
      <c r="H122" s="10"/>
    </row>
    <row r="123" customFormat="false" ht="15" hidden="false" customHeight="true" outlineLevel="0" collapsed="false">
      <c r="A123" s="5" t="s">
        <v>587</v>
      </c>
      <c r="B123" s="5" t="s">
        <v>588</v>
      </c>
      <c r="C123" s="5" t="s">
        <v>138</v>
      </c>
      <c r="D123" s="32" t="n">
        <v>2</v>
      </c>
      <c r="G123" s="5" t="s">
        <v>313</v>
      </c>
      <c r="H123" s="10"/>
    </row>
    <row r="124" customFormat="false" ht="15" hidden="false" customHeight="true" outlineLevel="0" collapsed="false">
      <c r="A124" s="5" t="s">
        <v>589</v>
      </c>
      <c r="B124" s="5" t="s">
        <v>590</v>
      </c>
      <c r="C124" s="5" t="s">
        <v>582</v>
      </c>
      <c r="D124" s="32" t="n">
        <v>0.9</v>
      </c>
      <c r="G124" s="5" t="s">
        <v>313</v>
      </c>
      <c r="H124" s="10"/>
    </row>
    <row r="125" customFormat="false" ht="15" hidden="false" customHeight="true" outlineLevel="0" collapsed="false">
      <c r="A125" s="5" t="s">
        <v>591</v>
      </c>
      <c r="B125" s="5" t="s">
        <v>592</v>
      </c>
      <c r="C125" s="5" t="s">
        <v>593</v>
      </c>
      <c r="D125" s="47" t="n">
        <v>0.05</v>
      </c>
      <c r="G125" s="5" t="s">
        <v>368</v>
      </c>
      <c r="H125" s="10"/>
    </row>
    <row r="126" customFormat="false" ht="15" hidden="false" customHeight="true" outlineLevel="0" collapsed="false">
      <c r="A126" s="5" t="s">
        <v>594</v>
      </c>
      <c r="B126" s="5" t="s">
        <v>595</v>
      </c>
      <c r="C126" s="5" t="s">
        <v>341</v>
      </c>
      <c r="D126" s="30" t="n">
        <v>800</v>
      </c>
      <c r="E126" s="30" t="n">
        <v>1500</v>
      </c>
      <c r="F126" s="30" t="n">
        <v>3000</v>
      </c>
      <c r="G126" s="5" t="s">
        <v>313</v>
      </c>
      <c r="H126" s="10"/>
    </row>
    <row r="127" customFormat="false" ht="15" hidden="false" customHeight="true" outlineLevel="0" collapsed="false">
      <c r="A127" s="5" t="s">
        <v>596</v>
      </c>
      <c r="B127" s="5" t="s">
        <v>597</v>
      </c>
      <c r="C127" s="5" t="s">
        <v>341</v>
      </c>
      <c r="D127" s="47" t="n">
        <v>0.025</v>
      </c>
      <c r="G127" s="5" t="s">
        <v>313</v>
      </c>
      <c r="H127" s="10"/>
    </row>
    <row r="128" customFormat="false" ht="15" hidden="false" customHeight="true" outlineLevel="0" collapsed="false">
      <c r="A128" s="5" t="s">
        <v>598</v>
      </c>
      <c r="B128" s="5" t="s">
        <v>599</v>
      </c>
      <c r="C128" s="5" t="s">
        <v>341</v>
      </c>
      <c r="D128" s="47" t="n">
        <v>0.03</v>
      </c>
      <c r="G128" s="5" t="s">
        <v>313</v>
      </c>
      <c r="H128" s="10"/>
    </row>
    <row r="129" customFormat="false" ht="15" hidden="false" customHeight="true" outlineLevel="0" collapsed="false">
      <c r="A129" s="5" t="s">
        <v>600</v>
      </c>
      <c r="B129" s="5" t="s">
        <v>601</v>
      </c>
      <c r="C129" s="5" t="s">
        <v>341</v>
      </c>
      <c r="D129" s="30" t="n">
        <v>350</v>
      </c>
      <c r="G129" s="5" t="s">
        <v>313</v>
      </c>
      <c r="H129" s="10" t="s">
        <v>602</v>
      </c>
    </row>
    <row r="130" customFormat="false" ht="15" hidden="false" customHeight="true" outlineLevel="0" collapsed="false">
      <c r="A130" s="5" t="s">
        <v>603</v>
      </c>
      <c r="B130" s="5" t="s">
        <v>604</v>
      </c>
      <c r="C130" s="5" t="s">
        <v>323</v>
      </c>
      <c r="D130" s="30" t="n">
        <v>20000</v>
      </c>
      <c r="E130" s="30" t="n">
        <v>35000</v>
      </c>
      <c r="F130" s="30" t="n">
        <v>40000</v>
      </c>
      <c r="G130" s="5" t="s">
        <v>313</v>
      </c>
      <c r="H130" s="10" t="s">
        <v>605</v>
      </c>
    </row>
    <row r="131" customFormat="false" ht="15" hidden="false" customHeight="true" outlineLevel="0" collapsed="false">
      <c r="A131" s="5" t="s">
        <v>606</v>
      </c>
      <c r="B131" s="5" t="s">
        <v>607</v>
      </c>
      <c r="C131" s="5" t="s">
        <v>341</v>
      </c>
      <c r="D131" s="30" t="n">
        <v>1500</v>
      </c>
      <c r="E131" s="30" t="n">
        <v>2500</v>
      </c>
      <c r="F131" s="30" t="n">
        <v>4000</v>
      </c>
      <c r="G131" s="5" t="s">
        <v>313</v>
      </c>
      <c r="H131" s="10"/>
    </row>
    <row r="132" customFormat="false" ht="15" hidden="false" customHeight="true" outlineLevel="0" collapsed="false">
      <c r="A132" s="5" t="s">
        <v>608</v>
      </c>
      <c r="B132" s="5" t="s">
        <v>609</v>
      </c>
      <c r="C132" s="5" t="s">
        <v>74</v>
      </c>
      <c r="D132" s="22" t="n">
        <v>0.005</v>
      </c>
      <c r="G132" s="5" t="s">
        <v>368</v>
      </c>
      <c r="H132" s="10"/>
    </row>
    <row r="133" customFormat="false" ht="15" hidden="false" customHeight="true" outlineLevel="0" collapsed="false">
      <c r="A133" s="5" t="s">
        <v>610</v>
      </c>
      <c r="B133" s="5" t="s">
        <v>611</v>
      </c>
      <c r="C133" s="5" t="s">
        <v>100</v>
      </c>
      <c r="D133" s="32" t="n">
        <v>2</v>
      </c>
      <c r="G133" s="5" t="s">
        <v>313</v>
      </c>
      <c r="H133" s="10" t="s">
        <v>612</v>
      </c>
    </row>
    <row r="134" customFormat="false" ht="15" hidden="false" customHeight="true" outlineLevel="0" collapsed="false">
      <c r="A134" s="5" t="s">
        <v>613</v>
      </c>
      <c r="B134" s="5" t="s">
        <v>614</v>
      </c>
      <c r="C134" s="5" t="s">
        <v>100</v>
      </c>
      <c r="D134" s="32" t="n">
        <v>1.5</v>
      </c>
      <c r="G134" s="5" t="s">
        <v>313</v>
      </c>
      <c r="H134" s="10" t="s">
        <v>615</v>
      </c>
    </row>
    <row r="135" customFormat="false" ht="15" hidden="false" customHeight="true" outlineLevel="0" collapsed="false">
      <c r="A135" s="5" t="s">
        <v>616</v>
      </c>
      <c r="B135" s="5" t="s">
        <v>617</v>
      </c>
      <c r="C135" s="5" t="s">
        <v>64</v>
      </c>
      <c r="D135" s="47" t="n">
        <v>4.5</v>
      </c>
      <c r="G135" s="5" t="s">
        <v>313</v>
      </c>
      <c r="H135" s="10" t="s">
        <v>618</v>
      </c>
    </row>
    <row r="136" customFormat="false" ht="15" hidden="false" customHeight="true" outlineLevel="0" collapsed="false">
      <c r="A136" s="5" t="s">
        <v>619</v>
      </c>
      <c r="B136" s="5" t="s">
        <v>620</v>
      </c>
      <c r="C136" s="5" t="s">
        <v>341</v>
      </c>
      <c r="D136" s="30" t="n">
        <v>800</v>
      </c>
      <c r="E136" s="30" t="n">
        <v>2000</v>
      </c>
      <c r="F136" s="30" t="n">
        <v>4000</v>
      </c>
      <c r="G136" s="5" t="s">
        <v>313</v>
      </c>
      <c r="H136" s="10"/>
    </row>
    <row r="138" customFormat="false" ht="15" hidden="false" customHeight="true" outlineLevel="0" collapsed="false">
      <c r="A138" s="8" t="s">
        <v>621</v>
      </c>
      <c r="B138" s="9"/>
      <c r="C138" s="9"/>
      <c r="D138" s="9"/>
      <c r="E138" s="9"/>
      <c r="F138" s="9"/>
      <c r="G138" s="9"/>
      <c r="H138" s="9"/>
    </row>
    <row r="139" customFormat="false" ht="15" hidden="false" customHeight="true" outlineLevel="0" collapsed="false">
      <c r="A139" s="5" t="s">
        <v>622</v>
      </c>
      <c r="B139" s="5" t="s">
        <v>623</v>
      </c>
      <c r="C139" s="5" t="s">
        <v>323</v>
      </c>
      <c r="D139" s="30" t="n">
        <v>60000</v>
      </c>
      <c r="E139" s="30" t="n">
        <v>180000</v>
      </c>
      <c r="F139" s="30" t="n">
        <v>320000</v>
      </c>
      <c r="G139" s="5" t="s">
        <v>313</v>
      </c>
      <c r="H139" s="10"/>
    </row>
    <row r="140" customFormat="false" ht="15" hidden="false" customHeight="true" outlineLevel="0" collapsed="false">
      <c r="A140" s="5" t="s">
        <v>624</v>
      </c>
      <c r="B140" s="5" t="s">
        <v>625</v>
      </c>
      <c r="C140" s="5" t="s">
        <v>323</v>
      </c>
      <c r="D140" s="30" t="n">
        <v>50000</v>
      </c>
      <c r="E140" s="30" t="n">
        <v>120000</v>
      </c>
      <c r="F140" s="30" t="n">
        <v>200000</v>
      </c>
      <c r="G140" s="5" t="s">
        <v>313</v>
      </c>
      <c r="H140" s="10"/>
    </row>
    <row r="141" customFormat="false" ht="15" hidden="false" customHeight="true" outlineLevel="0" collapsed="false">
      <c r="A141" s="5" t="s">
        <v>626</v>
      </c>
      <c r="B141" s="5" t="s">
        <v>627</v>
      </c>
      <c r="C141" s="5" t="s">
        <v>323</v>
      </c>
      <c r="D141" s="30" t="n">
        <v>24000</v>
      </c>
      <c r="E141" s="30" t="n">
        <v>60000</v>
      </c>
      <c r="F141" s="30" t="n">
        <v>100000</v>
      </c>
      <c r="G141" s="5" t="s">
        <v>313</v>
      </c>
      <c r="H141" s="10"/>
    </row>
    <row r="142" customFormat="false" ht="15" hidden="false" customHeight="true" outlineLevel="0" collapsed="false">
      <c r="A142" s="5" t="s">
        <v>628</v>
      </c>
      <c r="B142" s="5" t="s">
        <v>629</v>
      </c>
      <c r="C142" s="5" t="s">
        <v>323</v>
      </c>
      <c r="D142" s="30" t="n">
        <v>60000</v>
      </c>
      <c r="E142" s="30" t="n">
        <v>180000</v>
      </c>
      <c r="F142" s="30" t="n">
        <v>260000</v>
      </c>
      <c r="G142" s="5" t="s">
        <v>313</v>
      </c>
      <c r="H142" s="10" t="s">
        <v>630</v>
      </c>
    </row>
    <row r="143" customFormat="false" ht="15" hidden="false" customHeight="true" outlineLevel="0" collapsed="false">
      <c r="A143" s="5" t="s">
        <v>631</v>
      </c>
      <c r="B143" s="5" t="s">
        <v>632</v>
      </c>
      <c r="C143" s="5" t="s">
        <v>323</v>
      </c>
      <c r="D143" s="30" t="n">
        <v>25000</v>
      </c>
      <c r="E143" s="30" t="n">
        <v>50000</v>
      </c>
      <c r="F143" s="30" t="n">
        <v>60000</v>
      </c>
      <c r="G143" s="5" t="s">
        <v>313</v>
      </c>
      <c r="H143" s="10"/>
    </row>
    <row r="144" customFormat="false" ht="15" hidden="false" customHeight="true" outlineLevel="0" collapsed="false">
      <c r="A144" s="5" t="s">
        <v>633</v>
      </c>
      <c r="B144" s="5" t="s">
        <v>634</v>
      </c>
      <c r="C144" s="5" t="s">
        <v>323</v>
      </c>
      <c r="D144" s="30" t="n">
        <v>120000</v>
      </c>
      <c r="E144" s="30" t="n">
        <v>200000</v>
      </c>
      <c r="F144" s="30" t="n">
        <v>320000</v>
      </c>
      <c r="G144" s="5" t="s">
        <v>313</v>
      </c>
      <c r="H144" s="10" t="s">
        <v>635</v>
      </c>
    </row>
    <row r="145" customFormat="false" ht="15" hidden="false" customHeight="true" outlineLevel="0" collapsed="false">
      <c r="A145" s="5" t="s">
        <v>636</v>
      </c>
      <c r="B145" s="5" t="s">
        <v>637</v>
      </c>
      <c r="C145" s="5" t="s">
        <v>323</v>
      </c>
      <c r="D145" s="30" t="n">
        <v>30000</v>
      </c>
      <c r="E145" s="30" t="n">
        <v>75000</v>
      </c>
      <c r="F145" s="30" t="n">
        <v>140000</v>
      </c>
      <c r="G145" s="5" t="s">
        <v>313</v>
      </c>
      <c r="H145" s="10" t="s">
        <v>638</v>
      </c>
    </row>
    <row r="146" customFormat="false" ht="15" hidden="false" customHeight="true" outlineLevel="0" collapsed="false">
      <c r="A146" s="5" t="s">
        <v>639</v>
      </c>
      <c r="B146" s="5" t="s">
        <v>640</v>
      </c>
      <c r="C146" s="5" t="s">
        <v>323</v>
      </c>
      <c r="D146" s="30" t="n">
        <v>40000</v>
      </c>
      <c r="E146" s="30" t="n">
        <v>90000</v>
      </c>
      <c r="F146" s="30" t="n">
        <v>220000</v>
      </c>
      <c r="G146" s="5" t="s">
        <v>313</v>
      </c>
      <c r="H146" s="10"/>
    </row>
    <row r="147" customFormat="false" ht="15" hidden="false" customHeight="true" outlineLevel="0" collapsed="false">
      <c r="A147" s="5" t="s">
        <v>641</v>
      </c>
      <c r="B147" s="5" t="s">
        <v>642</v>
      </c>
      <c r="C147" s="5" t="s">
        <v>323</v>
      </c>
      <c r="D147" s="30" t="n">
        <v>30000</v>
      </c>
      <c r="E147" s="30" t="n">
        <v>60000</v>
      </c>
      <c r="F147" s="30" t="n">
        <v>90000</v>
      </c>
      <c r="G147" s="5" t="s">
        <v>313</v>
      </c>
      <c r="H147" s="10"/>
    </row>
    <row r="148" customFormat="false" ht="15" hidden="false" customHeight="true" outlineLevel="0" collapsed="false">
      <c r="A148" s="5" t="s">
        <v>643</v>
      </c>
      <c r="B148" s="5" t="s">
        <v>644</v>
      </c>
      <c r="C148" s="5" t="s">
        <v>341</v>
      </c>
      <c r="D148" s="30" t="n">
        <v>450</v>
      </c>
      <c r="G148" s="5" t="s">
        <v>313</v>
      </c>
      <c r="H148" s="10"/>
    </row>
    <row r="149" customFormat="false" ht="15" hidden="false" customHeight="true" outlineLevel="0" collapsed="false">
      <c r="A149" s="5" t="s">
        <v>645</v>
      </c>
      <c r="B149" s="5" t="s">
        <v>646</v>
      </c>
      <c r="C149" s="5" t="s">
        <v>341</v>
      </c>
      <c r="D149" s="30" t="n">
        <v>300</v>
      </c>
      <c r="G149" s="5" t="s">
        <v>313</v>
      </c>
      <c r="H149" s="10"/>
    </row>
    <row r="150" customFormat="false" ht="15" hidden="false" customHeight="true" outlineLevel="0" collapsed="false">
      <c r="A150" s="5" t="s">
        <v>647</v>
      </c>
      <c r="B150" s="5" t="s">
        <v>648</v>
      </c>
      <c r="C150" s="5" t="s">
        <v>341</v>
      </c>
      <c r="D150" s="30" t="n">
        <v>20</v>
      </c>
      <c r="G150" s="5" t="s">
        <v>313</v>
      </c>
      <c r="H150" s="10"/>
    </row>
    <row r="151" customFormat="false" ht="15" hidden="false" customHeight="true" outlineLevel="0" collapsed="false">
      <c r="A151" s="5" t="s">
        <v>649</v>
      </c>
      <c r="B151" s="5" t="s">
        <v>650</v>
      </c>
      <c r="C151" s="5" t="s">
        <v>341</v>
      </c>
      <c r="D151" s="30" t="n">
        <v>350</v>
      </c>
      <c r="G151" s="5" t="s">
        <v>313</v>
      </c>
      <c r="H151" s="10"/>
    </row>
    <row r="152" customFormat="false" ht="15" hidden="false" customHeight="true" outlineLevel="0" collapsed="false">
      <c r="A152" s="5" t="s">
        <v>651</v>
      </c>
      <c r="B152" s="5" t="s">
        <v>652</v>
      </c>
      <c r="C152" s="5" t="s">
        <v>64</v>
      </c>
      <c r="D152" s="30" t="n">
        <v>3500</v>
      </c>
      <c r="G152" s="5" t="s">
        <v>313</v>
      </c>
      <c r="H152" s="10"/>
    </row>
    <row r="153" customFormat="false" ht="15" hidden="false" customHeight="true" outlineLevel="0" collapsed="false">
      <c r="A153" s="5" t="s">
        <v>653</v>
      </c>
      <c r="B153" s="5" t="s">
        <v>654</v>
      </c>
      <c r="C153" s="5" t="s">
        <v>74</v>
      </c>
      <c r="D153" s="22" t="n">
        <v>0.12</v>
      </c>
      <c r="G153" s="5" t="s">
        <v>313</v>
      </c>
      <c r="H153" s="10"/>
    </row>
    <row r="154" customFormat="false" ht="15" hidden="false" customHeight="true" outlineLevel="0" collapsed="false">
      <c r="A154" s="5" t="s">
        <v>655</v>
      </c>
      <c r="B154" s="5" t="s">
        <v>656</v>
      </c>
      <c r="C154" s="5" t="s">
        <v>74</v>
      </c>
      <c r="D154" s="22" t="n">
        <v>0.05</v>
      </c>
      <c r="G154" s="5" t="s">
        <v>657</v>
      </c>
      <c r="H154" s="10" t="s">
        <v>658</v>
      </c>
    </row>
    <row r="155" customFormat="false" ht="15" hidden="false" customHeight="true" outlineLevel="0" collapsed="false">
      <c r="A155" s="5" t="s">
        <v>659</v>
      </c>
      <c r="B155" s="5" t="s">
        <v>660</v>
      </c>
      <c r="C155" s="5" t="s">
        <v>74</v>
      </c>
      <c r="D155" s="22" t="n">
        <v>0.03</v>
      </c>
      <c r="G155" s="5" t="s">
        <v>313</v>
      </c>
      <c r="H155" s="10"/>
    </row>
    <row r="157" customFormat="false" ht="15" hidden="false" customHeight="true" outlineLevel="0" collapsed="false">
      <c r="A157" s="8" t="s">
        <v>661</v>
      </c>
      <c r="B157" s="9"/>
      <c r="C157" s="9"/>
      <c r="D157" s="9"/>
      <c r="E157" s="9"/>
      <c r="F157" s="9"/>
      <c r="G157" s="9"/>
      <c r="H157" s="9"/>
    </row>
    <row r="158" customFormat="false" ht="15" hidden="false" customHeight="true" outlineLevel="0" collapsed="false">
      <c r="A158" s="5" t="s">
        <v>662</v>
      </c>
      <c r="B158" s="5" t="s">
        <v>663</v>
      </c>
      <c r="C158" s="5" t="s">
        <v>64</v>
      </c>
      <c r="D158" s="30" t="n">
        <v>4500000</v>
      </c>
      <c r="G158" s="5" t="s">
        <v>313</v>
      </c>
      <c r="H158" s="10" t="s">
        <v>664</v>
      </c>
    </row>
    <row r="159" customFormat="false" ht="15" hidden="false" customHeight="true" outlineLevel="0" collapsed="false">
      <c r="A159" s="5" t="s">
        <v>665</v>
      </c>
      <c r="B159" s="5" t="s">
        <v>666</v>
      </c>
      <c r="C159" s="5" t="s">
        <v>485</v>
      </c>
      <c r="D159" s="34" t="n">
        <v>1</v>
      </c>
      <c r="G159" s="5" t="s">
        <v>313</v>
      </c>
      <c r="H159" s="10"/>
    </row>
    <row r="160" customFormat="false" ht="15" hidden="false" customHeight="true" outlineLevel="0" collapsed="false">
      <c r="A160" s="5" t="s">
        <v>667</v>
      </c>
      <c r="B160" s="5" t="s">
        <v>668</v>
      </c>
      <c r="C160" s="5" t="s">
        <v>64</v>
      </c>
      <c r="D160" s="30" t="n">
        <v>14000000</v>
      </c>
      <c r="G160" s="5" t="s">
        <v>313</v>
      </c>
      <c r="H160" s="10"/>
    </row>
    <row r="161" customFormat="false" ht="15" hidden="false" customHeight="true" outlineLevel="0" collapsed="false">
      <c r="A161" s="5" t="s">
        <v>669</v>
      </c>
      <c r="B161" s="5" t="s">
        <v>670</v>
      </c>
      <c r="C161" s="5" t="s">
        <v>485</v>
      </c>
      <c r="D161" s="34" t="n">
        <v>13</v>
      </c>
      <c r="G161" s="5" t="s">
        <v>313</v>
      </c>
      <c r="H161" s="10"/>
    </row>
    <row r="162" customFormat="false" ht="15" hidden="false" customHeight="true" outlineLevel="0" collapsed="false">
      <c r="A162" s="5" t="s">
        <v>671</v>
      </c>
      <c r="B162" s="5" t="s">
        <v>672</v>
      </c>
      <c r="C162" s="5" t="s">
        <v>64</v>
      </c>
      <c r="D162" s="30" t="n">
        <v>9000000</v>
      </c>
      <c r="G162" s="5" t="s">
        <v>313</v>
      </c>
      <c r="H162" s="10"/>
    </row>
    <row r="163" customFormat="false" ht="15" hidden="false" customHeight="true" outlineLevel="0" collapsed="false">
      <c r="A163" s="5" t="s">
        <v>673</v>
      </c>
      <c r="B163" s="5" t="s">
        <v>674</v>
      </c>
      <c r="C163" s="5" t="s">
        <v>485</v>
      </c>
      <c r="D163" s="34" t="n">
        <v>26</v>
      </c>
      <c r="G163" s="5" t="s">
        <v>313</v>
      </c>
      <c r="H163" s="10"/>
    </row>
    <row r="164" customFormat="false" ht="15" hidden="false" customHeight="true" outlineLevel="0" collapsed="false">
      <c r="A164" s="5" t="s">
        <v>675</v>
      </c>
      <c r="B164" s="5" t="s">
        <v>676</v>
      </c>
      <c r="C164" s="5" t="s">
        <v>92</v>
      </c>
      <c r="D164" s="34" t="n">
        <v>6</v>
      </c>
      <c r="G164" s="5" t="s">
        <v>657</v>
      </c>
      <c r="H164" s="10" t="s">
        <v>677</v>
      </c>
    </row>
    <row r="166" customFormat="false" ht="15" hidden="false" customHeight="true" outlineLevel="0" collapsed="false">
      <c r="A166" s="8" t="s">
        <v>678</v>
      </c>
      <c r="B166" s="9"/>
      <c r="C166" s="9"/>
      <c r="D166" s="9"/>
      <c r="E166" s="9"/>
      <c r="F166" s="9"/>
      <c r="G166" s="9"/>
      <c r="H166" s="9"/>
    </row>
    <row r="167" customFormat="false" ht="15" hidden="false" customHeight="true" outlineLevel="0" collapsed="false">
      <c r="A167" s="5" t="s">
        <v>679</v>
      </c>
      <c r="B167" s="5" t="s">
        <v>680</v>
      </c>
      <c r="C167" s="5" t="s">
        <v>485</v>
      </c>
      <c r="D167" s="34" t="n">
        <v>20</v>
      </c>
      <c r="G167" s="5" t="s">
        <v>313</v>
      </c>
      <c r="H167" s="10"/>
    </row>
    <row r="168" customFormat="false" ht="15" hidden="false" customHeight="true" outlineLevel="0" collapsed="false">
      <c r="A168" s="5" t="s">
        <v>681</v>
      </c>
      <c r="B168" s="5" t="s">
        <v>682</v>
      </c>
      <c r="C168" s="5" t="s">
        <v>64</v>
      </c>
      <c r="D168" s="30" t="n">
        <v>250000</v>
      </c>
      <c r="G168" s="5" t="s">
        <v>313</v>
      </c>
      <c r="H168" s="10"/>
    </row>
    <row r="169" customFormat="false" ht="15" hidden="false" customHeight="true" outlineLevel="0" collapsed="false">
      <c r="A169" s="5" t="s">
        <v>683</v>
      </c>
      <c r="B169" s="5" t="s">
        <v>684</v>
      </c>
      <c r="C169" s="5" t="s">
        <v>64</v>
      </c>
      <c r="D169" s="30" t="n">
        <v>300000</v>
      </c>
      <c r="G169" s="5" t="s">
        <v>313</v>
      </c>
      <c r="H169" s="10" t="s">
        <v>685</v>
      </c>
    </row>
    <row r="170" customFormat="false" ht="15" hidden="false" customHeight="true" outlineLevel="0" collapsed="false">
      <c r="A170" s="5" t="s">
        <v>686</v>
      </c>
      <c r="B170" s="5" t="s">
        <v>687</v>
      </c>
      <c r="C170" s="5" t="s">
        <v>100</v>
      </c>
      <c r="D170" s="34" t="n">
        <v>30000</v>
      </c>
      <c r="G170" s="5" t="s">
        <v>313</v>
      </c>
      <c r="H170" s="10"/>
    </row>
    <row r="171" customFormat="false" ht="15" hidden="false" customHeight="true" outlineLevel="0" collapsed="false">
      <c r="A171" s="5" t="s">
        <v>688</v>
      </c>
      <c r="B171" s="5" t="s">
        <v>689</v>
      </c>
      <c r="C171" s="5" t="s">
        <v>64</v>
      </c>
      <c r="D171" s="47" t="n">
        <v>11</v>
      </c>
      <c r="G171" s="5" t="s">
        <v>313</v>
      </c>
      <c r="H171" s="10"/>
    </row>
    <row r="172" customFormat="false" ht="15" hidden="false" customHeight="true" outlineLevel="0" collapsed="false">
      <c r="A172" s="5" t="s">
        <v>690</v>
      </c>
      <c r="B172" s="5" t="s">
        <v>691</v>
      </c>
      <c r="C172" s="5" t="s">
        <v>64</v>
      </c>
      <c r="D172" s="30" t="n">
        <v>150000</v>
      </c>
      <c r="G172" s="5" t="s">
        <v>313</v>
      </c>
      <c r="H172" s="10"/>
    </row>
    <row r="173" customFormat="false" ht="15" hidden="false" customHeight="true" outlineLevel="0" collapsed="false">
      <c r="A173" s="5" t="s">
        <v>692</v>
      </c>
      <c r="B173" s="5" t="s">
        <v>693</v>
      </c>
      <c r="C173" s="5" t="s">
        <v>74</v>
      </c>
      <c r="D173" s="22" t="n">
        <v>0.15</v>
      </c>
      <c r="G173" s="5" t="s">
        <v>313</v>
      </c>
      <c r="H173" s="10" t="s">
        <v>694</v>
      </c>
    </row>
    <row r="174" customFormat="false" ht="15" hidden="false" customHeight="true" outlineLevel="0" collapsed="false">
      <c r="A174" s="5" t="s">
        <v>695</v>
      </c>
      <c r="B174" s="5" t="s">
        <v>696</v>
      </c>
      <c r="C174" s="5" t="s">
        <v>64</v>
      </c>
      <c r="D174" s="30" t="n">
        <v>100000</v>
      </c>
      <c r="G174" s="5" t="s">
        <v>313</v>
      </c>
      <c r="H174" s="10"/>
    </row>
    <row r="175" customFormat="false" ht="15" hidden="false" customHeight="true" outlineLevel="0" collapsed="false">
      <c r="A175" s="5" t="s">
        <v>697</v>
      </c>
      <c r="B175" s="5" t="s">
        <v>698</v>
      </c>
      <c r="C175" s="5" t="s">
        <v>74</v>
      </c>
      <c r="D175" s="22" t="n">
        <v>0.7</v>
      </c>
      <c r="G175" s="5" t="s">
        <v>313</v>
      </c>
      <c r="H175" s="10" t="s">
        <v>699</v>
      </c>
    </row>
    <row r="176" customFormat="false" ht="15" hidden="false" customHeight="true" outlineLevel="0" collapsed="false">
      <c r="A176" s="5" t="s">
        <v>700</v>
      </c>
      <c r="B176" s="5" t="s">
        <v>701</v>
      </c>
      <c r="C176" s="5" t="s">
        <v>92</v>
      </c>
      <c r="D176" s="34" t="n">
        <v>6</v>
      </c>
      <c r="G176" s="5" t="s">
        <v>313</v>
      </c>
      <c r="H176" s="10"/>
    </row>
    <row r="178" customFormat="false" ht="15" hidden="false" customHeight="true" outlineLevel="0" collapsed="false">
      <c r="A178" s="8" t="s">
        <v>702</v>
      </c>
      <c r="B178" s="9"/>
      <c r="C178" s="9"/>
      <c r="D178" s="9"/>
      <c r="E178" s="9"/>
      <c r="F178" s="9"/>
      <c r="G178" s="9"/>
      <c r="H178" s="9"/>
    </row>
    <row r="179" customFormat="false" ht="15" hidden="false" customHeight="true" outlineLevel="0" collapsed="false">
      <c r="B179" s="3" t="s">
        <v>703</v>
      </c>
      <c r="D179" s="3" t="s">
        <v>704</v>
      </c>
      <c r="E179" s="3" t="s">
        <v>705</v>
      </c>
    </row>
    <row r="180" customFormat="false" ht="15" hidden="false" customHeight="true" outlineLevel="0" collapsed="false">
      <c r="B180" s="5" t="s">
        <v>706</v>
      </c>
      <c r="D180" s="50" t="n">
        <v>1.4</v>
      </c>
      <c r="E180" s="50" t="n">
        <v>0.9</v>
      </c>
    </row>
    <row r="181" customFormat="false" ht="15" hidden="false" customHeight="true" outlineLevel="0" collapsed="false">
      <c r="B181" s="5" t="s">
        <v>707</v>
      </c>
      <c r="D181" s="50" t="n">
        <v>0.9</v>
      </c>
      <c r="E181" s="50" t="n">
        <v>1</v>
      </c>
    </row>
    <row r="182" customFormat="false" ht="15" hidden="false" customHeight="true" outlineLevel="0" collapsed="false">
      <c r="B182" s="5" t="s">
        <v>708</v>
      </c>
      <c r="D182" s="50" t="n">
        <v>0.8</v>
      </c>
      <c r="E182" s="50" t="n">
        <v>1.4</v>
      </c>
    </row>
    <row r="183" customFormat="false" ht="15" hidden="false" customHeight="true" outlineLevel="0" collapsed="false">
      <c r="B183" s="5" t="s">
        <v>709</v>
      </c>
      <c r="D183" s="50" t="n">
        <v>0.6</v>
      </c>
      <c r="E183" s="50" t="n">
        <v>1.6</v>
      </c>
    </row>
    <row r="184" customFormat="false" ht="15" hidden="false" customHeight="true" outlineLevel="0" collapsed="false">
      <c r="B184" s="5" t="s">
        <v>710</v>
      </c>
      <c r="D184" s="50" t="n">
        <v>0.4</v>
      </c>
      <c r="E184" s="50" t="n">
        <v>1.8</v>
      </c>
    </row>
    <row r="185" customFormat="false" ht="15" hidden="false" customHeight="true" outlineLevel="0" collapsed="false">
      <c r="B185" s="5" t="s">
        <v>711</v>
      </c>
      <c r="D185" s="50" t="n">
        <v>0.4</v>
      </c>
      <c r="E185" s="50" t="n">
        <v>1.7</v>
      </c>
    </row>
    <row r="186" customFormat="false" ht="15" hidden="false" customHeight="true" outlineLevel="0" collapsed="false">
      <c r="B186" s="5" t="s">
        <v>712</v>
      </c>
      <c r="D186" s="50" t="n">
        <v>0.7</v>
      </c>
      <c r="E186" s="50" t="n">
        <v>1</v>
      </c>
    </row>
    <row r="187" customFormat="false" ht="15" hidden="false" customHeight="true" outlineLevel="0" collapsed="false">
      <c r="B187" s="5" t="s">
        <v>713</v>
      </c>
      <c r="D187" s="50" t="n">
        <v>2.4</v>
      </c>
      <c r="E187" s="50" t="n">
        <v>0.5</v>
      </c>
    </row>
    <row r="188" customFormat="false" ht="15" hidden="false" customHeight="true" outlineLevel="0" collapsed="false">
      <c r="B188" s="5" t="s">
        <v>714</v>
      </c>
      <c r="D188" s="50" t="n">
        <v>2.6</v>
      </c>
      <c r="E188" s="50" t="n">
        <v>0.4</v>
      </c>
    </row>
    <row r="189" customFormat="false" ht="15" hidden="false" customHeight="true" outlineLevel="0" collapsed="false">
      <c r="B189" s="5" t="s">
        <v>715</v>
      </c>
      <c r="D189" s="50" t="n">
        <v>1</v>
      </c>
      <c r="E189" s="50" t="n">
        <v>0.6</v>
      </c>
    </row>
    <row r="190" customFormat="false" ht="15" hidden="false" customHeight="true" outlineLevel="0" collapsed="false">
      <c r="B190" s="5" t="s">
        <v>716</v>
      </c>
      <c r="D190" s="50" t="n">
        <v>0.5</v>
      </c>
      <c r="E190" s="50" t="n">
        <v>0.6</v>
      </c>
    </row>
    <row r="191" customFormat="false" ht="15" hidden="false" customHeight="true" outlineLevel="0" collapsed="false">
      <c r="B191" s="5" t="s">
        <v>717</v>
      </c>
      <c r="D191" s="50" t="n">
        <v>0.3</v>
      </c>
      <c r="E191" s="50" t="n">
        <v>0.5</v>
      </c>
    </row>
    <row r="192" customFormat="false" ht="15" hidden="false" customHeight="true" outlineLevel="0" collapsed="false">
      <c r="B192" s="3" t="s">
        <v>718</v>
      </c>
      <c r="D192" s="51" t="n">
        <f aca="false">SUM(D180:D191)</f>
        <v>12</v>
      </c>
      <c r="E192" s="51" t="n">
        <f aca="false">SUM(E180:E191)</f>
        <v>12</v>
      </c>
    </row>
    <row r="194" customFormat="false" ht="15" hidden="false" customHeight="true" outlineLevel="0" collapsed="false">
      <c r="A194" s="8" t="s">
        <v>719</v>
      </c>
      <c r="B194" s="9"/>
      <c r="C194" s="9"/>
      <c r="D194" s="9"/>
      <c r="E194" s="9"/>
      <c r="F194" s="9"/>
      <c r="G194" s="9"/>
      <c r="H194" s="9"/>
    </row>
    <row r="195" customFormat="false" ht="15" hidden="false" customHeight="true" outlineLevel="0" collapsed="false">
      <c r="B195" s="5" t="s">
        <v>720</v>
      </c>
      <c r="C195" s="5" t="s">
        <v>341</v>
      </c>
      <c r="D195" s="24" t="n">
        <f aca="false">Assumptions!$D$18*(1-Assumptions!$D$20)</f>
        <v>7.3508</v>
      </c>
    </row>
    <row r="196" customFormat="false" ht="15" hidden="false" customHeight="true" outlineLevel="0" collapsed="false">
      <c r="B196" s="5" t="s">
        <v>721</v>
      </c>
      <c r="C196" s="5" t="s">
        <v>323</v>
      </c>
      <c r="D196" s="24" t="n">
        <f aca="false">Assumptions!$D$19*(1-Assumptions!$D$20)</f>
        <v>54.28</v>
      </c>
    </row>
    <row r="197" customFormat="false" ht="15" hidden="false" customHeight="true" outlineLevel="0" collapsed="false">
      <c r="B197" s="5" t="s">
        <v>722</v>
      </c>
      <c r="C197" s="5" t="s">
        <v>74</v>
      </c>
      <c r="D197" s="16" t="n">
        <f aca="false">MIN(1,Assumptions!$D$22*Scenario_Control!$M$9)</f>
        <v>0.08</v>
      </c>
    </row>
    <row r="198" customFormat="false" ht="15" hidden="false" customHeight="true" outlineLevel="0" collapsed="false">
      <c r="B198" s="5" t="s">
        <v>723</v>
      </c>
      <c r="C198" s="5" t="s">
        <v>74</v>
      </c>
      <c r="D198" s="16" t="n">
        <f aca="false">MAX(0,1-(1-Assumptions!$D$23)*Scenario_Control!$M$9)</f>
        <v>0.55</v>
      </c>
    </row>
    <row r="199" customFormat="false" ht="15" hidden="false" customHeight="true" outlineLevel="0" collapsed="false">
      <c r="B199" s="5" t="s">
        <v>724</v>
      </c>
      <c r="C199" s="5" t="s">
        <v>74</v>
      </c>
      <c r="D199" s="16" t="n">
        <f aca="false">MAX(0,1-(1-Assumptions!$D$24)*Scenario_Control!$M$9)</f>
        <v>0.7</v>
      </c>
    </row>
    <row r="200" customFormat="false" ht="15" hidden="false" customHeight="true" outlineLevel="0" collapsed="false">
      <c r="B200" s="5" t="s">
        <v>725</v>
      </c>
      <c r="C200" s="5" t="s">
        <v>726</v>
      </c>
      <c r="D200" s="52" t="n">
        <f aca="false">(Assumptions!$D$94*(Assumptions!$D$92*Assumptions!$D$97*(1-Assumptions!$D$103)+Assumptions!$D$93*Assumptions!$D$98)+Assumptions!$D$95*(Assumptions!$D$92*Assumptions!$D$99*(1-Assumptions!$D$103)+Assumptions!$D$93*Assumptions!$D$100)+Assumptions!$D$96*(Assumptions!$D$92*Assumptions!$D$101*(1-Assumptions!$D$103)+Assumptions!$D$93*Assumptions!$D$102))/1000000</f>
        <v>0.01216</v>
      </c>
    </row>
    <row r="201" customFormat="false" ht="15" hidden="false" customHeight="true" outlineLevel="0" collapsed="false">
      <c r="B201" s="5" t="s">
        <v>727</v>
      </c>
      <c r="C201" s="5" t="s">
        <v>726</v>
      </c>
      <c r="D201" s="52" t="n">
        <f aca="false">Assumptions!$D$200*Scenario_Control!$M$17*Scenario_Control!$M$18</f>
        <v>0.01216</v>
      </c>
    </row>
    <row r="202" customFormat="false" ht="15" hidden="false" customHeight="true" outlineLevel="0" collapsed="false">
      <c r="B202" s="5" t="s">
        <v>728</v>
      </c>
      <c r="C202" s="5" t="s">
        <v>475</v>
      </c>
      <c r="D202" s="24" t="n">
        <f aca="false">Assumptions!$D$70/Assumptions!$D$71</f>
        <v>88.5714285714286</v>
      </c>
    </row>
    <row r="203" customFormat="false" ht="15" hidden="false" customHeight="true" outlineLevel="0" collapsed="false">
      <c r="B203" s="5" t="s">
        <v>729</v>
      </c>
      <c r="C203" s="5" t="s">
        <v>64</v>
      </c>
      <c r="D203" s="11" t="n">
        <f aca="false">Assumptions!$D$43+Assumptions!$D$44*Assumptions!$D$45</f>
        <v>50000</v>
      </c>
    </row>
    <row r="204" customFormat="false" ht="15" hidden="false" customHeight="true" outlineLevel="0" collapsed="false">
      <c r="B204" s="5" t="s">
        <v>730</v>
      </c>
      <c r="C204" s="5" t="s">
        <v>64</v>
      </c>
      <c r="D204" s="11" t="n">
        <f aca="false">Assumptions!$D$203*Scenario_Control!$M$11</f>
        <v>50000</v>
      </c>
    </row>
    <row r="205" customFormat="false" ht="15" hidden="false" customHeight="true" outlineLevel="0" collapsed="false">
      <c r="B205" s="5" t="s">
        <v>731</v>
      </c>
      <c r="C205" s="5" t="s">
        <v>64</v>
      </c>
      <c r="D205" s="11" t="n">
        <f aca="false">Assumptions!$D$53+Assumptions!$D$54*Assumptions!$D$55</f>
        <v>145000</v>
      </c>
    </row>
    <row r="206" customFormat="false" ht="15" hidden="false" customHeight="true" outlineLevel="0" collapsed="false">
      <c r="B206" s="5" t="s">
        <v>732</v>
      </c>
      <c r="C206" s="5" t="s">
        <v>64</v>
      </c>
      <c r="D206" s="11" t="n">
        <f aca="false">Assumptions!$D$205*Scenario_Control!$M$11</f>
        <v>145000</v>
      </c>
    </row>
    <row r="207" customFormat="false" ht="15" hidden="false" customHeight="true" outlineLevel="0" collapsed="false">
      <c r="B207" s="5" t="s">
        <v>733</v>
      </c>
      <c r="C207" s="5" t="s">
        <v>399</v>
      </c>
      <c r="D207" s="20" t="n">
        <f aca="false">Assumptions!$D$39+Scenario_Control!$M$13</f>
        <v>2</v>
      </c>
    </row>
    <row r="208" customFormat="false" ht="15" hidden="false" customHeight="true" outlineLevel="0" collapsed="false">
      <c r="B208" s="5" t="s">
        <v>734</v>
      </c>
      <c r="C208" s="5" t="s">
        <v>399</v>
      </c>
      <c r="D208" s="20" t="n">
        <f aca="false">Assumptions!$D$48+Scenario_Control!$M$13</f>
        <v>4</v>
      </c>
    </row>
    <row r="209" customFormat="false" ht="15" hidden="false" customHeight="true" outlineLevel="0" collapsed="false">
      <c r="B209" s="5" t="s">
        <v>735</v>
      </c>
      <c r="C209" s="5" t="s">
        <v>399</v>
      </c>
      <c r="D209" s="20" t="n">
        <f aca="false">Assumptions!$D$58+Scenario_Control!$M$13</f>
        <v>6</v>
      </c>
    </row>
    <row r="210" customFormat="false" ht="15" hidden="false" customHeight="true" outlineLevel="0" collapsed="false">
      <c r="B210" s="5" t="s">
        <v>736</v>
      </c>
      <c r="C210" s="5" t="s">
        <v>74</v>
      </c>
      <c r="D210" s="16" t="n">
        <f aca="false">MIN(1,Assumptions!$D$49*Scenario_Control!$M$14)</f>
        <v>0.12</v>
      </c>
    </row>
    <row r="211" customFormat="false" ht="15" hidden="false" customHeight="true" outlineLevel="0" collapsed="false">
      <c r="B211" s="5" t="s">
        <v>737</v>
      </c>
      <c r="C211" s="5" t="s">
        <v>74</v>
      </c>
      <c r="D211" s="16" t="n">
        <f aca="false">Assumptions!$D$50*Scenario_Control!$M$15</f>
        <v>0.12</v>
      </c>
    </row>
    <row r="212" customFormat="false" ht="15" hidden="false" customHeight="true" outlineLevel="0" collapsed="false">
      <c r="B212" s="5" t="s">
        <v>738</v>
      </c>
      <c r="C212" s="5" t="s">
        <v>74</v>
      </c>
      <c r="D212" s="16" t="n">
        <f aca="false">Assumptions!$D$51*Scenario_Control!$M$15</f>
        <v>0.1</v>
      </c>
    </row>
    <row r="213" customFormat="false" ht="15" hidden="false" customHeight="true" outlineLevel="0" collapsed="false">
      <c r="B213" s="5" t="s">
        <v>739</v>
      </c>
      <c r="C213" s="5" t="s">
        <v>138</v>
      </c>
      <c r="D213" s="53" t="n">
        <f aca="false">(1-Assumptions!$D$210)*(1+Assumptions!$D$211)</f>
        <v>0.9856</v>
      </c>
    </row>
    <row r="214" customFormat="false" ht="15" hidden="false" customHeight="true" outlineLevel="0" collapsed="false">
      <c r="B214" s="5" t="s">
        <v>740</v>
      </c>
      <c r="C214" s="5" t="s">
        <v>138</v>
      </c>
      <c r="D214" s="53" t="n">
        <f aca="false">Assumptions!$D$213*(1-Assumptions!$D$210)*(1+Assumptions!$D$212)</f>
        <v>0.9540608</v>
      </c>
    </row>
    <row r="215" customFormat="false" ht="15" hidden="false" customHeight="true" outlineLevel="0" collapsed="false">
      <c r="B215" s="5" t="s">
        <v>741</v>
      </c>
      <c r="C215" s="5" t="s">
        <v>74</v>
      </c>
      <c r="D215" s="16" t="n">
        <f aca="false">MIN(1,Assumptions!$D$59*Scenario_Control!$M$14)</f>
        <v>0.08</v>
      </c>
    </row>
    <row r="216" customFormat="false" ht="15" hidden="false" customHeight="true" outlineLevel="0" collapsed="false">
      <c r="B216" s="5" t="s">
        <v>742</v>
      </c>
      <c r="C216" s="5" t="s">
        <v>74</v>
      </c>
      <c r="D216" s="16" t="n">
        <f aca="false">Assumptions!$D$60*Scenario_Control!$M$15</f>
        <v>0.3</v>
      </c>
    </row>
    <row r="217" customFormat="false" ht="15" hidden="false" customHeight="true" outlineLevel="0" collapsed="false">
      <c r="B217" s="5" t="s">
        <v>743</v>
      </c>
      <c r="C217" s="5" t="s">
        <v>74</v>
      </c>
      <c r="D217" s="16" t="n">
        <f aca="false">Assumptions!$D$61*Scenario_Control!$M$15</f>
        <v>0.2</v>
      </c>
    </row>
    <row r="218" customFormat="false" ht="15" hidden="false" customHeight="true" outlineLevel="0" collapsed="false">
      <c r="B218" s="5" t="s">
        <v>744</v>
      </c>
      <c r="C218" s="5" t="s">
        <v>138</v>
      </c>
      <c r="D218" s="53" t="n">
        <f aca="false">(1-Assumptions!$D$215)*(1+Assumptions!$D$216)</f>
        <v>1.196</v>
      </c>
    </row>
    <row r="219" customFormat="false" ht="15" hidden="false" customHeight="true" outlineLevel="0" collapsed="false">
      <c r="B219" s="5" t="s">
        <v>745</v>
      </c>
      <c r="C219" s="5" t="s">
        <v>138</v>
      </c>
      <c r="D219" s="53" t="n">
        <f aca="false">Assumptions!$D$218*(1-Assumptions!$D$215)*(1+Assumptions!$D$217)</f>
        <v>1.320384</v>
      </c>
    </row>
    <row r="220" customFormat="false" ht="15" hidden="false" customHeight="true" outlineLevel="0" collapsed="false">
      <c r="B220" s="5" t="s">
        <v>746</v>
      </c>
      <c r="C220" s="5" t="s">
        <v>74</v>
      </c>
      <c r="D220" s="16" t="n">
        <f aca="false">MIN(1,Assumptions!$D$78*Scenario_Control!$M$14)</f>
        <v>0.3</v>
      </c>
    </row>
    <row r="221" customFormat="false" ht="15" hidden="false" customHeight="true" outlineLevel="0" collapsed="false">
      <c r="B221" s="5" t="s">
        <v>747</v>
      </c>
      <c r="C221" s="5" t="s">
        <v>74</v>
      </c>
      <c r="D221" s="16" t="n">
        <f aca="false">Assumptions!$D$79*Scenario_Control!$M$15</f>
        <v>0.1</v>
      </c>
    </row>
    <row r="222" customFormat="false" ht="15" hidden="false" customHeight="true" outlineLevel="0" collapsed="false">
      <c r="B222" s="5" t="s">
        <v>748</v>
      </c>
      <c r="C222" s="5" t="s">
        <v>74</v>
      </c>
      <c r="D222" s="16" t="n">
        <f aca="false">Assumptions!$D$80*Scenario_Control!$M$15</f>
        <v>0.1</v>
      </c>
    </row>
    <row r="223" customFormat="false" ht="15" hidden="false" customHeight="true" outlineLevel="0" collapsed="false">
      <c r="B223" s="5" t="s">
        <v>749</v>
      </c>
      <c r="C223" s="5" t="s">
        <v>138</v>
      </c>
      <c r="D223" s="53" t="n">
        <f aca="false">(1-Assumptions!$D$220)*(1+Assumptions!$D$221)</f>
        <v>0.77</v>
      </c>
    </row>
    <row r="224" customFormat="false" ht="15" hidden="false" customHeight="true" outlineLevel="0" collapsed="false">
      <c r="B224" s="5" t="s">
        <v>750</v>
      </c>
      <c r="C224" s="5" t="s">
        <v>138</v>
      </c>
      <c r="D224" s="53" t="n">
        <f aca="false">Assumptions!$D$223*(1-Assumptions!$D$220)*(1+Assumptions!$D$222)</f>
        <v>0.5929</v>
      </c>
    </row>
    <row r="225" customFormat="false" ht="15" hidden="false" customHeight="true" outlineLevel="0" collapsed="false">
      <c r="B225" s="5" t="s">
        <v>751</v>
      </c>
      <c r="C225" s="5" t="s">
        <v>64</v>
      </c>
      <c r="D225" s="11" t="n">
        <f aca="false">Assumptions!$D$168+Assumptions!$D$169+Assumptions!$D$172+Assumptions!$D$170*Assumptions!$D$171</f>
        <v>1030000</v>
      </c>
    </row>
    <row r="226" customFormat="false" ht="15" hidden="false" customHeight="true" outlineLevel="0" collapsed="false">
      <c r="B226" s="5" t="s">
        <v>752</v>
      </c>
      <c r="C226" s="5" t="s">
        <v>64</v>
      </c>
      <c r="D226" s="11" t="n">
        <f aca="false">Assumptions!$D$175*MAX(0,Assumptions!$D$225-Assumptions!$D$174)</f>
        <v>651000</v>
      </c>
    </row>
    <row r="228" customFormat="false" ht="15" hidden="false" customHeight="true" outlineLevel="0" collapsed="false">
      <c r="A228" s="8" t="s">
        <v>753</v>
      </c>
      <c r="B228" s="9"/>
      <c r="C228" s="9"/>
      <c r="D228" s="9"/>
      <c r="E228" s="9"/>
      <c r="F228" s="9"/>
      <c r="G228" s="9"/>
      <c r="H228" s="9"/>
    </row>
    <row r="229" customFormat="false" ht="15" hidden="false" customHeight="true" outlineLevel="0" collapsed="false">
      <c r="A229" s="5" t="s">
        <v>754</v>
      </c>
      <c r="B229" s="5" t="s">
        <v>755</v>
      </c>
      <c r="C229" s="5" t="s">
        <v>485</v>
      </c>
      <c r="D229" s="46" t="n">
        <v>15</v>
      </c>
      <c r="E229" s="1" t="s">
        <v>309</v>
      </c>
      <c r="G229" s="5"/>
      <c r="H229" s="10" t="s">
        <v>756</v>
      </c>
    </row>
    <row r="230" customFormat="false" ht="15" hidden="false" customHeight="true" outlineLevel="0" collapsed="false">
      <c r="A230" s="5" t="s">
        <v>757</v>
      </c>
      <c r="B230" s="5" t="s">
        <v>758</v>
      </c>
      <c r="C230" s="5" t="s">
        <v>74</v>
      </c>
      <c r="D230" s="46" t="n">
        <v>0.25</v>
      </c>
      <c r="E230" s="1" t="s">
        <v>309</v>
      </c>
      <c r="G230" s="5"/>
      <c r="H230" s="10" t="s">
        <v>759</v>
      </c>
    </row>
    <row r="231" customFormat="false" ht="15" hidden="false" customHeight="true" outlineLevel="0" collapsed="false">
      <c r="A231" s="5" t="s">
        <v>760</v>
      </c>
      <c r="B231" s="5" t="s">
        <v>761</v>
      </c>
      <c r="C231" s="5" t="s">
        <v>485</v>
      </c>
      <c r="D231" s="46" t="n">
        <v>12</v>
      </c>
      <c r="E231" s="1" t="s">
        <v>309</v>
      </c>
      <c r="G231" s="5"/>
      <c r="H231" s="10" t="s">
        <v>762</v>
      </c>
    </row>
    <row r="232" customFormat="false" ht="15" hidden="false" customHeight="true" outlineLevel="0" collapsed="false">
      <c r="A232" s="5" t="s">
        <v>763</v>
      </c>
      <c r="B232" s="5" t="s">
        <v>764</v>
      </c>
      <c r="C232" s="5" t="s">
        <v>485</v>
      </c>
      <c r="D232" s="46" t="n">
        <v>24</v>
      </c>
      <c r="E232" s="1" t="s">
        <v>309</v>
      </c>
      <c r="G232" s="5"/>
      <c r="H232" s="10" t="s">
        <v>765</v>
      </c>
    </row>
    <row r="233" customFormat="false" ht="15" hidden="false" customHeight="true" outlineLevel="0" collapsed="false">
      <c r="A233" s="5" t="s">
        <v>766</v>
      </c>
      <c r="B233" s="5" t="s">
        <v>767</v>
      </c>
      <c r="C233" s="5" t="s">
        <v>485</v>
      </c>
      <c r="D233" s="46" t="n">
        <v>28</v>
      </c>
      <c r="E233" s="1" t="s">
        <v>309</v>
      </c>
      <c r="G233" s="5"/>
      <c r="H233" s="10" t="s">
        <v>768</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769</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775</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776</v>
      </c>
      <c r="B10" s="10" t="s">
        <v>777</v>
      </c>
      <c r="C10" s="57"/>
      <c r="D10" s="53" t="n">
        <f aca="false">INDEX(Assumptions!$D$180:$D$191,D$6)</f>
        <v>0.5</v>
      </c>
      <c r="E10" s="53" t="n">
        <f aca="false">INDEX(Assumptions!$D$180:$D$191,E$6)</f>
        <v>0.3</v>
      </c>
      <c r="F10" s="53" t="n">
        <f aca="false">INDEX(Assumptions!$D$180:$D$191,F$6)</f>
        <v>1.4</v>
      </c>
      <c r="G10" s="53" t="n">
        <f aca="false">INDEX(Assumptions!$D$180:$D$191,G$6)</f>
        <v>0.9</v>
      </c>
      <c r="H10" s="53" t="n">
        <f aca="false">INDEX(Assumptions!$D$180:$D$191,H$6)</f>
        <v>0.8</v>
      </c>
      <c r="I10" s="53" t="n">
        <f aca="false">INDEX(Assumptions!$D$180:$D$191,I$6)</f>
        <v>0.6</v>
      </c>
      <c r="J10" s="53" t="n">
        <f aca="false">INDEX(Assumptions!$D$180:$D$191,J$6)</f>
        <v>0.4</v>
      </c>
      <c r="K10" s="53" t="n">
        <f aca="false">INDEX(Assumptions!$D$180:$D$191,K$6)</f>
        <v>0.4</v>
      </c>
      <c r="L10" s="53" t="n">
        <f aca="false">INDEX(Assumptions!$D$180:$D$191,L$6)</f>
        <v>0.7</v>
      </c>
      <c r="M10" s="53" t="n">
        <f aca="false">INDEX(Assumptions!$D$180:$D$191,M$6)</f>
        <v>2.4</v>
      </c>
      <c r="N10" s="53" t="n">
        <f aca="false">INDEX(Assumptions!$D$180:$D$191,N$6)</f>
        <v>2.6</v>
      </c>
      <c r="O10" s="53" t="n">
        <f aca="false">INDEX(Assumptions!$D$180:$D$191,O$6)</f>
        <v>1</v>
      </c>
      <c r="P10" s="53" t="n">
        <f aca="false">INDEX(Assumptions!$D$180:$D$191,P$6)</f>
        <v>0.5</v>
      </c>
      <c r="Q10" s="53" t="n">
        <f aca="false">INDEX(Assumptions!$D$180:$D$191,Q$6)</f>
        <v>0.3</v>
      </c>
      <c r="R10" s="53" t="n">
        <f aca="false">INDEX(Assumptions!$D$180:$D$191,R$6)</f>
        <v>1.4</v>
      </c>
      <c r="S10" s="53" t="n">
        <f aca="false">INDEX(Assumptions!$D$180:$D$191,S$6)</f>
        <v>0.9</v>
      </c>
      <c r="T10" s="53" t="n">
        <f aca="false">INDEX(Assumptions!$D$180:$D$191,T$6)</f>
        <v>0.8</v>
      </c>
      <c r="U10" s="53" t="n">
        <f aca="false">INDEX(Assumptions!$D$180:$D$191,U$6)</f>
        <v>0.6</v>
      </c>
      <c r="V10" s="53" t="n">
        <f aca="false">INDEX(Assumptions!$D$180:$D$191,V$6)</f>
        <v>0.4</v>
      </c>
      <c r="W10" s="53" t="n">
        <f aca="false">INDEX(Assumptions!$D$180:$D$191,W$6)</f>
        <v>0.4</v>
      </c>
      <c r="X10" s="53" t="n">
        <f aca="false">INDEX(Assumptions!$D$180:$D$191,X$6)</f>
        <v>0.7</v>
      </c>
      <c r="Y10" s="53" t="n">
        <f aca="false">INDEX(Assumptions!$D$180:$D$191,Y$6)</f>
        <v>2.4</v>
      </c>
      <c r="Z10" s="53" t="n">
        <f aca="false">INDEX(Assumptions!$D$180:$D$191,Z$6)</f>
        <v>2.6</v>
      </c>
      <c r="AA10" s="53" t="n">
        <f aca="false">INDEX(Assumptions!$D$180:$D$191,AA$6)</f>
        <v>1</v>
      </c>
      <c r="AB10" s="53" t="n">
        <f aca="false">INDEX(Assumptions!$D$180:$D$191,AB$6)</f>
        <v>0.5</v>
      </c>
      <c r="AC10" s="53" t="n">
        <f aca="false">INDEX(Assumptions!$D$180:$D$191,AC$6)</f>
        <v>0.3</v>
      </c>
      <c r="AD10" s="53" t="n">
        <f aca="false">INDEX(Assumptions!$D$180:$D$191,AD$6)</f>
        <v>1.4</v>
      </c>
      <c r="AE10" s="53" t="n">
        <f aca="false">INDEX(Assumptions!$D$180:$D$191,AE$6)</f>
        <v>0.9</v>
      </c>
      <c r="AF10" s="53" t="n">
        <f aca="false">INDEX(Assumptions!$D$180:$D$191,AF$6)</f>
        <v>0.8</v>
      </c>
      <c r="AG10" s="53" t="n">
        <f aca="false">INDEX(Assumptions!$D$180:$D$191,AG$6)</f>
        <v>0.6</v>
      </c>
      <c r="AH10" s="53" t="n">
        <f aca="false">INDEX(Assumptions!$D$180:$D$191,AH$6)</f>
        <v>0.4</v>
      </c>
      <c r="AI10" s="53" t="n">
        <f aca="false">INDEX(Assumptions!$D$180:$D$191,AI$6)</f>
        <v>0.4</v>
      </c>
      <c r="AJ10" s="53" t="n">
        <f aca="false">INDEX(Assumptions!$D$180:$D$191,AJ$6)</f>
        <v>0.7</v>
      </c>
      <c r="AK10" s="53" t="n">
        <f aca="false">INDEX(Assumptions!$D$180:$D$191,AK$6)</f>
        <v>2.4</v>
      </c>
      <c r="AL10" s="53" t="n">
        <f aca="false">INDEX(Assumptions!$D$180:$D$191,AL$6)</f>
        <v>2.6</v>
      </c>
      <c r="AM10" s="53" t="n">
        <f aca="false">INDEX(Assumptions!$D$180:$D$191,AM$6)</f>
        <v>1</v>
      </c>
    </row>
    <row r="11" customFormat="false" ht="15" hidden="false" customHeight="true" outlineLevel="0" collapsed="false">
      <c r="A11" s="5" t="s">
        <v>778</v>
      </c>
      <c r="B11" s="10" t="s">
        <v>64</v>
      </c>
      <c r="C11" s="12" t="n">
        <f aca="false">SUM(D11:AM11)</f>
        <v>270000</v>
      </c>
      <c r="D11" s="11" t="n">
        <f aca="false">(INDEX(Assumptions!$D$12:$F$12,1,D$5)*D10/12)*IF(OR(Scenario_Control!$M$25=0,D$3&gt;=Assumptions!$D$229+Scenario_Control!$M$26),1,Assumptions!$D$230)</f>
        <v>1250</v>
      </c>
      <c r="E11" s="11" t="n">
        <f aca="false">(INDEX(Assumptions!$D$12:$F$12,1,E$5)*E10/12)*IF(OR(Scenario_Control!$M$25=0,E$3&gt;=Assumptions!$D$229+Scenario_Control!$M$26),1,Assumptions!$D$230)</f>
        <v>750</v>
      </c>
      <c r="F11" s="11" t="n">
        <f aca="false">(INDEX(Assumptions!$D$12:$F$12,1,F$5)*F10/12)*IF(OR(Scenario_Control!$M$25=0,F$3&gt;=Assumptions!$D$229+Scenario_Control!$M$26),1,Assumptions!$D$230)</f>
        <v>3500</v>
      </c>
      <c r="G11" s="11" t="n">
        <f aca="false">(INDEX(Assumptions!$D$12:$F$12,1,G$5)*G10/12)*IF(OR(Scenario_Control!$M$25=0,G$3&gt;=Assumptions!$D$229+Scenario_Control!$M$26),1,Assumptions!$D$230)</f>
        <v>2250</v>
      </c>
      <c r="H11" s="11" t="n">
        <f aca="false">(INDEX(Assumptions!$D$12:$F$12,1,H$5)*H10/12)*IF(OR(Scenario_Control!$M$25=0,H$3&gt;=Assumptions!$D$229+Scenario_Control!$M$26),1,Assumptions!$D$230)</f>
        <v>2000</v>
      </c>
      <c r="I11" s="11" t="n">
        <f aca="false">(INDEX(Assumptions!$D$12:$F$12,1,I$5)*I10/12)*IF(OR(Scenario_Control!$M$25=0,I$3&gt;=Assumptions!$D$229+Scenario_Control!$M$26),1,Assumptions!$D$230)</f>
        <v>1500</v>
      </c>
      <c r="J11" s="11" t="n">
        <f aca="false">(INDEX(Assumptions!$D$12:$F$12,1,J$5)*J10/12)*IF(OR(Scenario_Control!$M$25=0,J$3&gt;=Assumptions!$D$229+Scenario_Control!$M$26),1,Assumptions!$D$230)</f>
        <v>1000</v>
      </c>
      <c r="K11" s="11" t="n">
        <f aca="false">(INDEX(Assumptions!$D$12:$F$12,1,K$5)*K10/12)*IF(OR(Scenario_Control!$M$25=0,K$3&gt;=Assumptions!$D$229+Scenario_Control!$M$26),1,Assumptions!$D$230)</f>
        <v>1000</v>
      </c>
      <c r="L11" s="11" t="n">
        <f aca="false">(INDEX(Assumptions!$D$12:$F$12,1,L$5)*L10/12)*IF(OR(Scenario_Control!$M$25=0,L$3&gt;=Assumptions!$D$229+Scenario_Control!$M$26),1,Assumptions!$D$230)</f>
        <v>1750</v>
      </c>
      <c r="M11" s="11" t="n">
        <f aca="false">(INDEX(Assumptions!$D$12:$F$12,1,M$5)*M10/12)*IF(OR(Scenario_Control!$M$25=0,M$3&gt;=Assumptions!$D$229+Scenario_Control!$M$26),1,Assumptions!$D$230)</f>
        <v>6000</v>
      </c>
      <c r="N11" s="11" t="n">
        <f aca="false">(INDEX(Assumptions!$D$12:$F$12,1,N$5)*N10/12)*IF(OR(Scenario_Control!$M$25=0,N$3&gt;=Assumptions!$D$229+Scenario_Control!$M$26),1,Assumptions!$D$230)</f>
        <v>6500</v>
      </c>
      <c r="O11" s="11" t="n">
        <f aca="false">(INDEX(Assumptions!$D$12:$F$12,1,O$5)*O10/12)*IF(OR(Scenario_Control!$M$25=0,O$3&gt;=Assumptions!$D$229+Scenario_Control!$M$26),1,Assumptions!$D$230)</f>
        <v>2500</v>
      </c>
      <c r="P11" s="11" t="n">
        <f aca="false">(INDEX(Assumptions!$D$12:$F$12,1,P$5)*P10/12)*IF(OR(Scenario_Control!$M$25=0,P$3&gt;=Assumptions!$D$229+Scenario_Control!$M$26),1,Assumptions!$D$230)</f>
        <v>3750</v>
      </c>
      <c r="Q11" s="11" t="n">
        <f aca="false">(INDEX(Assumptions!$D$12:$F$12,1,Q$5)*Q10/12)*IF(OR(Scenario_Control!$M$25=0,Q$3&gt;=Assumptions!$D$229+Scenario_Control!$M$26),1,Assumptions!$D$230)</f>
        <v>2250</v>
      </c>
      <c r="R11" s="11" t="n">
        <f aca="false">(INDEX(Assumptions!$D$12:$F$12,1,R$5)*R10/12)*IF(OR(Scenario_Control!$M$25=0,R$3&gt;=Assumptions!$D$229+Scenario_Control!$M$26),1,Assumptions!$D$230)</f>
        <v>10500</v>
      </c>
      <c r="S11" s="11" t="n">
        <f aca="false">(INDEX(Assumptions!$D$12:$F$12,1,S$5)*S10/12)*IF(OR(Scenario_Control!$M$25=0,S$3&gt;=Assumptions!$D$229+Scenario_Control!$M$26),1,Assumptions!$D$230)</f>
        <v>6750</v>
      </c>
      <c r="T11" s="11" t="n">
        <f aca="false">(INDEX(Assumptions!$D$12:$F$12,1,T$5)*T10/12)*IF(OR(Scenario_Control!$M$25=0,T$3&gt;=Assumptions!$D$229+Scenario_Control!$M$26),1,Assumptions!$D$230)</f>
        <v>6000</v>
      </c>
      <c r="U11" s="11" t="n">
        <f aca="false">(INDEX(Assumptions!$D$12:$F$12,1,U$5)*U10/12)*IF(OR(Scenario_Control!$M$25=0,U$3&gt;=Assumptions!$D$229+Scenario_Control!$M$26),1,Assumptions!$D$230)</f>
        <v>4500</v>
      </c>
      <c r="V11" s="11" t="n">
        <f aca="false">(INDEX(Assumptions!$D$12:$F$12,1,V$5)*V10/12)*IF(OR(Scenario_Control!$M$25=0,V$3&gt;=Assumptions!$D$229+Scenario_Control!$M$26),1,Assumptions!$D$230)</f>
        <v>3000</v>
      </c>
      <c r="W11" s="11" t="n">
        <f aca="false">(INDEX(Assumptions!$D$12:$F$12,1,W$5)*W10/12)*IF(OR(Scenario_Control!$M$25=0,W$3&gt;=Assumptions!$D$229+Scenario_Control!$M$26),1,Assumptions!$D$230)</f>
        <v>3000</v>
      </c>
      <c r="X11" s="11" t="n">
        <f aca="false">(INDEX(Assumptions!$D$12:$F$12,1,X$5)*X10/12)*IF(OR(Scenario_Control!$M$25=0,X$3&gt;=Assumptions!$D$229+Scenario_Control!$M$26),1,Assumptions!$D$230)</f>
        <v>5250</v>
      </c>
      <c r="Y11" s="11" t="n">
        <f aca="false">(INDEX(Assumptions!$D$12:$F$12,1,Y$5)*Y10/12)*IF(OR(Scenario_Control!$M$25=0,Y$3&gt;=Assumptions!$D$229+Scenario_Control!$M$26),1,Assumptions!$D$230)</f>
        <v>18000</v>
      </c>
      <c r="Z11" s="11" t="n">
        <f aca="false">(INDEX(Assumptions!$D$12:$F$12,1,Z$5)*Z10/12)*IF(OR(Scenario_Control!$M$25=0,Z$3&gt;=Assumptions!$D$229+Scenario_Control!$M$26),1,Assumptions!$D$230)</f>
        <v>19500</v>
      </c>
      <c r="AA11" s="11" t="n">
        <f aca="false">(INDEX(Assumptions!$D$12:$F$12,1,AA$5)*AA10/12)*IF(OR(Scenario_Control!$M$25=0,AA$3&gt;=Assumptions!$D$229+Scenario_Control!$M$26),1,Assumptions!$D$230)</f>
        <v>7500</v>
      </c>
      <c r="AB11" s="11" t="n">
        <f aca="false">(INDEX(Assumptions!$D$12:$F$12,1,AB$5)*AB10/12)*IF(OR(Scenario_Control!$M$25=0,AB$3&gt;=Assumptions!$D$229+Scenario_Control!$M$26),1,Assumptions!$D$230)</f>
        <v>6250</v>
      </c>
      <c r="AC11" s="11" t="n">
        <f aca="false">(INDEX(Assumptions!$D$12:$F$12,1,AC$5)*AC10/12)*IF(OR(Scenario_Control!$M$25=0,AC$3&gt;=Assumptions!$D$229+Scenario_Control!$M$26),1,Assumptions!$D$230)</f>
        <v>3750</v>
      </c>
      <c r="AD11" s="11" t="n">
        <f aca="false">(INDEX(Assumptions!$D$12:$F$12,1,AD$5)*AD10/12)*IF(OR(Scenario_Control!$M$25=0,AD$3&gt;=Assumptions!$D$229+Scenario_Control!$M$26),1,Assumptions!$D$230)</f>
        <v>17500</v>
      </c>
      <c r="AE11" s="11" t="n">
        <f aca="false">(INDEX(Assumptions!$D$12:$F$12,1,AE$5)*AE10/12)*IF(OR(Scenario_Control!$M$25=0,AE$3&gt;=Assumptions!$D$229+Scenario_Control!$M$26),1,Assumptions!$D$230)</f>
        <v>11250</v>
      </c>
      <c r="AF11" s="11" t="n">
        <f aca="false">(INDEX(Assumptions!$D$12:$F$12,1,AF$5)*AF10/12)*IF(OR(Scenario_Control!$M$25=0,AF$3&gt;=Assumptions!$D$229+Scenario_Control!$M$26),1,Assumptions!$D$230)</f>
        <v>10000</v>
      </c>
      <c r="AG11" s="11" t="n">
        <f aca="false">(INDEX(Assumptions!$D$12:$F$12,1,AG$5)*AG10/12)*IF(OR(Scenario_Control!$M$25=0,AG$3&gt;=Assumptions!$D$229+Scenario_Control!$M$26),1,Assumptions!$D$230)</f>
        <v>7500</v>
      </c>
      <c r="AH11" s="11" t="n">
        <f aca="false">(INDEX(Assumptions!$D$12:$F$12,1,AH$5)*AH10/12)*IF(OR(Scenario_Control!$M$25=0,AH$3&gt;=Assumptions!$D$229+Scenario_Control!$M$26),1,Assumptions!$D$230)</f>
        <v>5000</v>
      </c>
      <c r="AI11" s="11" t="n">
        <f aca="false">(INDEX(Assumptions!$D$12:$F$12,1,AI$5)*AI10/12)*IF(OR(Scenario_Control!$M$25=0,AI$3&gt;=Assumptions!$D$229+Scenario_Control!$M$26),1,Assumptions!$D$230)</f>
        <v>5000</v>
      </c>
      <c r="AJ11" s="11" t="n">
        <f aca="false">(INDEX(Assumptions!$D$12:$F$12,1,AJ$5)*AJ10/12)*IF(OR(Scenario_Control!$M$25=0,AJ$3&gt;=Assumptions!$D$229+Scenario_Control!$M$26),1,Assumptions!$D$230)</f>
        <v>8750</v>
      </c>
      <c r="AK11" s="11" t="n">
        <f aca="false">(INDEX(Assumptions!$D$12:$F$12,1,AK$5)*AK10/12)*IF(OR(Scenario_Control!$M$25=0,AK$3&gt;=Assumptions!$D$229+Scenario_Control!$M$26),1,Assumptions!$D$230)</f>
        <v>30000</v>
      </c>
      <c r="AL11" s="11" t="n">
        <f aca="false">(INDEX(Assumptions!$D$12:$F$12,1,AL$5)*AL10/12)*IF(OR(Scenario_Control!$M$25=0,AL$3&gt;=Assumptions!$D$229+Scenario_Control!$M$26),1,Assumptions!$D$230)</f>
        <v>32500</v>
      </c>
      <c r="AM11" s="11" t="n">
        <f aca="false">(INDEX(Assumptions!$D$12:$F$12,1,AM$5)*AM10/12)*IF(OR(Scenario_Control!$M$25=0,AM$3&gt;=Assumptions!$D$229+Scenario_Control!$M$26),1,Assumptions!$D$230)</f>
        <v>12500</v>
      </c>
    </row>
    <row r="12" customFormat="false" ht="15" hidden="false" customHeight="true" outlineLevel="0" collapsed="false">
      <c r="A12" s="5" t="s">
        <v>779</v>
      </c>
      <c r="B12" s="10" t="s">
        <v>100</v>
      </c>
      <c r="C12" s="21" t="n">
        <f aca="false">SUM(D12:AM12)</f>
        <v>57500</v>
      </c>
      <c r="D12" s="20" t="n">
        <f aca="false">D11/INDEX(Assumptions!$D$13:$F$13,1,D$5)</f>
        <v>312.5</v>
      </c>
      <c r="E12" s="20" t="n">
        <f aca="false">E11/INDEX(Assumptions!$D$13:$F$13,1,E$5)</f>
        <v>187.5</v>
      </c>
      <c r="F12" s="20" t="n">
        <f aca="false">F11/INDEX(Assumptions!$D$13:$F$13,1,F$5)</f>
        <v>875</v>
      </c>
      <c r="G12" s="20" t="n">
        <f aca="false">G11/INDEX(Assumptions!$D$13:$F$13,1,G$5)</f>
        <v>562.5</v>
      </c>
      <c r="H12" s="20" t="n">
        <f aca="false">H11/INDEX(Assumptions!$D$13:$F$13,1,H$5)</f>
        <v>500</v>
      </c>
      <c r="I12" s="20" t="n">
        <f aca="false">I11/INDEX(Assumptions!$D$13:$F$13,1,I$5)</f>
        <v>375</v>
      </c>
      <c r="J12" s="20" t="n">
        <f aca="false">J11/INDEX(Assumptions!$D$13:$F$13,1,J$5)</f>
        <v>250</v>
      </c>
      <c r="K12" s="20" t="n">
        <f aca="false">K11/INDEX(Assumptions!$D$13:$F$13,1,K$5)</f>
        <v>250</v>
      </c>
      <c r="L12" s="20" t="n">
        <f aca="false">L11/INDEX(Assumptions!$D$13:$F$13,1,L$5)</f>
        <v>437.5</v>
      </c>
      <c r="M12" s="20" t="n">
        <f aca="false">M11/INDEX(Assumptions!$D$13:$F$13,1,M$5)</f>
        <v>1500</v>
      </c>
      <c r="N12" s="20" t="n">
        <f aca="false">N11/INDEX(Assumptions!$D$13:$F$13,1,N$5)</f>
        <v>1625</v>
      </c>
      <c r="O12" s="20" t="n">
        <f aca="false">O11/INDEX(Assumptions!$D$13:$F$13,1,O$5)</f>
        <v>625</v>
      </c>
      <c r="P12" s="20" t="n">
        <f aca="false">P11/INDEX(Assumptions!$D$13:$F$13,1,P$5)</f>
        <v>833.333333333333</v>
      </c>
      <c r="Q12" s="20" t="n">
        <f aca="false">Q11/INDEX(Assumptions!$D$13:$F$13,1,Q$5)</f>
        <v>500</v>
      </c>
      <c r="R12" s="20" t="n">
        <f aca="false">R11/INDEX(Assumptions!$D$13:$F$13,1,R$5)</f>
        <v>2333.33333333333</v>
      </c>
      <c r="S12" s="20" t="n">
        <f aca="false">S11/INDEX(Assumptions!$D$13:$F$13,1,S$5)</f>
        <v>1500</v>
      </c>
      <c r="T12" s="20" t="n">
        <f aca="false">T11/INDEX(Assumptions!$D$13:$F$13,1,T$5)</f>
        <v>1333.33333333333</v>
      </c>
      <c r="U12" s="20" t="n">
        <f aca="false">U11/INDEX(Assumptions!$D$13:$F$13,1,U$5)</f>
        <v>1000</v>
      </c>
      <c r="V12" s="20" t="n">
        <f aca="false">V11/INDEX(Assumptions!$D$13:$F$13,1,V$5)</f>
        <v>666.666666666667</v>
      </c>
      <c r="W12" s="20" t="n">
        <f aca="false">W11/INDEX(Assumptions!$D$13:$F$13,1,W$5)</f>
        <v>666.666666666667</v>
      </c>
      <c r="X12" s="20" t="n">
        <f aca="false">X11/INDEX(Assumptions!$D$13:$F$13,1,X$5)</f>
        <v>1166.66666666667</v>
      </c>
      <c r="Y12" s="20" t="n">
        <f aca="false">Y11/INDEX(Assumptions!$D$13:$F$13,1,Y$5)</f>
        <v>4000</v>
      </c>
      <c r="Z12" s="20" t="n">
        <f aca="false">Z11/INDEX(Assumptions!$D$13:$F$13,1,Z$5)</f>
        <v>4333.33333333333</v>
      </c>
      <c r="AA12" s="20" t="n">
        <f aca="false">AA11/INDEX(Assumptions!$D$13:$F$13,1,AA$5)</f>
        <v>1666.66666666667</v>
      </c>
      <c r="AB12" s="20" t="n">
        <f aca="false">AB11/INDEX(Assumptions!$D$13:$F$13,1,AB$5)</f>
        <v>1250</v>
      </c>
      <c r="AC12" s="20" t="n">
        <f aca="false">AC11/INDEX(Assumptions!$D$13:$F$13,1,AC$5)</f>
        <v>750</v>
      </c>
      <c r="AD12" s="20" t="n">
        <f aca="false">AD11/INDEX(Assumptions!$D$13:$F$13,1,AD$5)</f>
        <v>3500</v>
      </c>
      <c r="AE12" s="20" t="n">
        <f aca="false">AE11/INDEX(Assumptions!$D$13:$F$13,1,AE$5)</f>
        <v>2250</v>
      </c>
      <c r="AF12" s="20" t="n">
        <f aca="false">AF11/INDEX(Assumptions!$D$13:$F$13,1,AF$5)</f>
        <v>2000</v>
      </c>
      <c r="AG12" s="20" t="n">
        <f aca="false">AG11/INDEX(Assumptions!$D$13:$F$13,1,AG$5)</f>
        <v>1500</v>
      </c>
      <c r="AH12" s="20" t="n">
        <f aca="false">AH11/INDEX(Assumptions!$D$13:$F$13,1,AH$5)</f>
        <v>1000</v>
      </c>
      <c r="AI12" s="20" t="n">
        <f aca="false">AI11/INDEX(Assumptions!$D$13:$F$13,1,AI$5)</f>
        <v>1000</v>
      </c>
      <c r="AJ12" s="20" t="n">
        <f aca="false">AJ11/INDEX(Assumptions!$D$13:$F$13,1,AJ$5)</f>
        <v>1750</v>
      </c>
      <c r="AK12" s="20" t="n">
        <f aca="false">AK11/INDEX(Assumptions!$D$13:$F$13,1,AK$5)</f>
        <v>6000</v>
      </c>
      <c r="AL12" s="20" t="n">
        <f aca="false">AL11/INDEX(Assumptions!$D$13:$F$13,1,AL$5)</f>
        <v>6500</v>
      </c>
      <c r="AM12" s="20" t="n">
        <f aca="false">AM11/INDEX(Assumptions!$D$13:$F$13,1,AM$5)</f>
        <v>2500</v>
      </c>
    </row>
    <row r="13" customFormat="false" ht="15" hidden="false" customHeight="true" outlineLevel="0" collapsed="false">
      <c r="A13" s="5" t="s">
        <v>780</v>
      </c>
      <c r="B13" s="10" t="s">
        <v>100</v>
      </c>
      <c r="C13" s="21" t="n">
        <f aca="false">SUM(D13:AM13)</f>
        <v>183750</v>
      </c>
      <c r="D13" s="20" t="n">
        <f aca="false">D12*(1+INDEX(Assumptions!$D$14:$F$14,1,D$5))*Scenario_Control!$M$7</f>
        <v>781.25</v>
      </c>
      <c r="E13" s="20" t="n">
        <f aca="false">E12*(1+INDEX(Assumptions!$D$14:$F$14,1,E$5))*Scenario_Control!$M$7</f>
        <v>468.75</v>
      </c>
      <c r="F13" s="20" t="n">
        <f aca="false">F12*(1+INDEX(Assumptions!$D$14:$F$14,1,F$5))*Scenario_Control!$M$7</f>
        <v>2187.5</v>
      </c>
      <c r="G13" s="20" t="n">
        <f aca="false">G12*(1+INDEX(Assumptions!$D$14:$F$14,1,G$5))*Scenario_Control!$M$7</f>
        <v>1406.25</v>
      </c>
      <c r="H13" s="20" t="n">
        <f aca="false">H12*(1+INDEX(Assumptions!$D$14:$F$14,1,H$5))*Scenario_Control!$M$7</f>
        <v>1250</v>
      </c>
      <c r="I13" s="20" t="n">
        <f aca="false">I12*(1+INDEX(Assumptions!$D$14:$F$14,1,I$5))*Scenario_Control!$M$7</f>
        <v>937.5</v>
      </c>
      <c r="J13" s="20" t="n">
        <f aca="false">J12*(1+INDEX(Assumptions!$D$14:$F$14,1,J$5))*Scenario_Control!$M$7</f>
        <v>625</v>
      </c>
      <c r="K13" s="20" t="n">
        <f aca="false">K12*(1+INDEX(Assumptions!$D$14:$F$14,1,K$5))*Scenario_Control!$M$7</f>
        <v>625</v>
      </c>
      <c r="L13" s="20" t="n">
        <f aca="false">L12*(1+INDEX(Assumptions!$D$14:$F$14,1,L$5))*Scenario_Control!$M$7</f>
        <v>1093.75</v>
      </c>
      <c r="M13" s="20" t="n">
        <f aca="false">M12*(1+INDEX(Assumptions!$D$14:$F$14,1,M$5))*Scenario_Control!$M$7</f>
        <v>3750</v>
      </c>
      <c r="N13" s="20" t="n">
        <f aca="false">N12*(1+INDEX(Assumptions!$D$14:$F$14,1,N$5))*Scenario_Control!$M$7</f>
        <v>4062.5</v>
      </c>
      <c r="O13" s="20" t="n">
        <f aca="false">O12*(1+INDEX(Assumptions!$D$14:$F$14,1,O$5))*Scenario_Control!$M$7</f>
        <v>1562.5</v>
      </c>
      <c r="P13" s="20" t="n">
        <f aca="false">P12*(1+INDEX(Assumptions!$D$14:$F$14,1,P$5))*Scenario_Control!$M$7</f>
        <v>2500</v>
      </c>
      <c r="Q13" s="20" t="n">
        <f aca="false">Q12*(1+INDEX(Assumptions!$D$14:$F$14,1,Q$5))*Scenario_Control!$M$7</f>
        <v>1500</v>
      </c>
      <c r="R13" s="20" t="n">
        <f aca="false">R12*(1+INDEX(Assumptions!$D$14:$F$14,1,R$5))*Scenario_Control!$M$7</f>
        <v>7000</v>
      </c>
      <c r="S13" s="20" t="n">
        <f aca="false">S12*(1+INDEX(Assumptions!$D$14:$F$14,1,S$5))*Scenario_Control!$M$7</f>
        <v>4500</v>
      </c>
      <c r="T13" s="20" t="n">
        <f aca="false">T12*(1+INDEX(Assumptions!$D$14:$F$14,1,T$5))*Scenario_Control!$M$7</f>
        <v>4000</v>
      </c>
      <c r="U13" s="20" t="n">
        <f aca="false">U12*(1+INDEX(Assumptions!$D$14:$F$14,1,U$5))*Scenario_Control!$M$7</f>
        <v>3000</v>
      </c>
      <c r="V13" s="20" t="n">
        <f aca="false">V12*(1+INDEX(Assumptions!$D$14:$F$14,1,V$5))*Scenario_Control!$M$7</f>
        <v>2000</v>
      </c>
      <c r="W13" s="20" t="n">
        <f aca="false">W12*(1+INDEX(Assumptions!$D$14:$F$14,1,W$5))*Scenario_Control!$M$7</f>
        <v>2000</v>
      </c>
      <c r="X13" s="20" t="n">
        <f aca="false">X12*(1+INDEX(Assumptions!$D$14:$F$14,1,X$5))*Scenario_Control!$M$7</f>
        <v>3500</v>
      </c>
      <c r="Y13" s="20" t="n">
        <f aca="false">Y12*(1+INDEX(Assumptions!$D$14:$F$14,1,Y$5))*Scenario_Control!$M$7</f>
        <v>12000</v>
      </c>
      <c r="Z13" s="20" t="n">
        <f aca="false">Z12*(1+INDEX(Assumptions!$D$14:$F$14,1,Z$5))*Scenario_Control!$M$7</f>
        <v>13000</v>
      </c>
      <c r="AA13" s="20" t="n">
        <f aca="false">AA12*(1+INDEX(Assumptions!$D$14:$F$14,1,AA$5))*Scenario_Control!$M$7</f>
        <v>5000</v>
      </c>
      <c r="AB13" s="20" t="n">
        <f aca="false">AB12*(1+INDEX(Assumptions!$D$14:$F$14,1,AB$5))*Scenario_Control!$M$7</f>
        <v>4375</v>
      </c>
      <c r="AC13" s="20" t="n">
        <f aca="false">AC12*(1+INDEX(Assumptions!$D$14:$F$14,1,AC$5))*Scenario_Control!$M$7</f>
        <v>2625</v>
      </c>
      <c r="AD13" s="20" t="n">
        <f aca="false">AD12*(1+INDEX(Assumptions!$D$14:$F$14,1,AD$5))*Scenario_Control!$M$7</f>
        <v>12250</v>
      </c>
      <c r="AE13" s="20" t="n">
        <f aca="false">AE12*(1+INDEX(Assumptions!$D$14:$F$14,1,AE$5))*Scenario_Control!$M$7</f>
        <v>7875</v>
      </c>
      <c r="AF13" s="20" t="n">
        <f aca="false">AF12*(1+INDEX(Assumptions!$D$14:$F$14,1,AF$5))*Scenario_Control!$M$7</f>
        <v>7000</v>
      </c>
      <c r="AG13" s="20" t="n">
        <f aca="false">AG12*(1+INDEX(Assumptions!$D$14:$F$14,1,AG$5))*Scenario_Control!$M$7</f>
        <v>5250</v>
      </c>
      <c r="AH13" s="20" t="n">
        <f aca="false">AH12*(1+INDEX(Assumptions!$D$14:$F$14,1,AH$5))*Scenario_Control!$M$7</f>
        <v>3500</v>
      </c>
      <c r="AI13" s="20" t="n">
        <f aca="false">AI12*(1+INDEX(Assumptions!$D$14:$F$14,1,AI$5))*Scenario_Control!$M$7</f>
        <v>3500</v>
      </c>
      <c r="AJ13" s="20" t="n">
        <f aca="false">AJ12*(1+INDEX(Assumptions!$D$14:$F$14,1,AJ$5))*Scenario_Control!$M$7</f>
        <v>6125</v>
      </c>
      <c r="AK13" s="20" t="n">
        <f aca="false">AK12*(1+INDEX(Assumptions!$D$14:$F$14,1,AK$5))*Scenario_Control!$M$7</f>
        <v>21000</v>
      </c>
      <c r="AL13" s="20" t="n">
        <f aca="false">AL12*(1+INDEX(Assumptions!$D$14:$F$14,1,AL$5))*Scenario_Control!$M$7</f>
        <v>22750</v>
      </c>
      <c r="AM13" s="20" t="n">
        <f aca="false">AM12*(1+INDEX(Assumptions!$D$14:$F$14,1,AM$5))*Scenario_Control!$M$7</f>
        <v>8750</v>
      </c>
    </row>
    <row r="14" customFormat="false" ht="15" hidden="false" customHeight="true" outlineLevel="0" collapsed="false">
      <c r="A14" s="5" t="s">
        <v>124</v>
      </c>
      <c r="B14" s="10" t="s">
        <v>100</v>
      </c>
      <c r="C14" s="21" t="n">
        <f aca="false">SUM(D14:AM14)</f>
        <v>91875</v>
      </c>
      <c r="D14" s="20" t="n">
        <f aca="false">D13*Assumptions!$D$15</f>
        <v>390.625</v>
      </c>
      <c r="E14" s="20" t="n">
        <f aca="false">E13*Assumptions!$D$15</f>
        <v>234.375</v>
      </c>
      <c r="F14" s="20" t="n">
        <f aca="false">F13*Assumptions!$D$15</f>
        <v>1093.75</v>
      </c>
      <c r="G14" s="20" t="n">
        <f aca="false">G13*Assumptions!$D$15</f>
        <v>703.125</v>
      </c>
      <c r="H14" s="20" t="n">
        <f aca="false">H13*Assumptions!$D$15</f>
        <v>625</v>
      </c>
      <c r="I14" s="20" t="n">
        <f aca="false">I13*Assumptions!$D$15</f>
        <v>468.75</v>
      </c>
      <c r="J14" s="20" t="n">
        <f aca="false">J13*Assumptions!$D$15</f>
        <v>312.5</v>
      </c>
      <c r="K14" s="20" t="n">
        <f aca="false">K13*Assumptions!$D$15</f>
        <v>312.5</v>
      </c>
      <c r="L14" s="20" t="n">
        <f aca="false">L13*Assumptions!$D$15</f>
        <v>546.875</v>
      </c>
      <c r="M14" s="20" t="n">
        <f aca="false">M13*Assumptions!$D$15</f>
        <v>1875</v>
      </c>
      <c r="N14" s="20" t="n">
        <f aca="false">N13*Assumptions!$D$15</f>
        <v>2031.25</v>
      </c>
      <c r="O14" s="20" t="n">
        <f aca="false">O13*Assumptions!$D$15</f>
        <v>781.25</v>
      </c>
      <c r="P14" s="20" t="n">
        <f aca="false">P13*Assumptions!$D$15</f>
        <v>1250</v>
      </c>
      <c r="Q14" s="20" t="n">
        <f aca="false">Q13*Assumptions!$D$15</f>
        <v>750</v>
      </c>
      <c r="R14" s="20" t="n">
        <f aca="false">R13*Assumptions!$D$15</f>
        <v>3500</v>
      </c>
      <c r="S14" s="20" t="n">
        <f aca="false">S13*Assumptions!$D$15</f>
        <v>2250</v>
      </c>
      <c r="T14" s="20" t="n">
        <f aca="false">T13*Assumptions!$D$15</f>
        <v>2000</v>
      </c>
      <c r="U14" s="20" t="n">
        <f aca="false">U13*Assumptions!$D$15</f>
        <v>1500</v>
      </c>
      <c r="V14" s="20" t="n">
        <f aca="false">V13*Assumptions!$D$15</f>
        <v>1000</v>
      </c>
      <c r="W14" s="20" t="n">
        <f aca="false">W13*Assumptions!$D$15</f>
        <v>1000</v>
      </c>
      <c r="X14" s="20" t="n">
        <f aca="false">X13*Assumptions!$D$15</f>
        <v>1750</v>
      </c>
      <c r="Y14" s="20" t="n">
        <f aca="false">Y13*Assumptions!$D$15</f>
        <v>6000</v>
      </c>
      <c r="Z14" s="20" t="n">
        <f aca="false">Z13*Assumptions!$D$15</f>
        <v>6500</v>
      </c>
      <c r="AA14" s="20" t="n">
        <f aca="false">AA13*Assumptions!$D$15</f>
        <v>2500</v>
      </c>
      <c r="AB14" s="20" t="n">
        <f aca="false">AB13*Assumptions!$D$15</f>
        <v>2187.5</v>
      </c>
      <c r="AC14" s="20" t="n">
        <f aca="false">AC13*Assumptions!$D$15</f>
        <v>1312.5</v>
      </c>
      <c r="AD14" s="20" t="n">
        <f aca="false">AD13*Assumptions!$D$15</f>
        <v>6125</v>
      </c>
      <c r="AE14" s="20" t="n">
        <f aca="false">AE13*Assumptions!$D$15</f>
        <v>3937.5</v>
      </c>
      <c r="AF14" s="20" t="n">
        <f aca="false">AF13*Assumptions!$D$15</f>
        <v>3500</v>
      </c>
      <c r="AG14" s="20" t="n">
        <f aca="false">AG13*Assumptions!$D$15</f>
        <v>2625</v>
      </c>
      <c r="AH14" s="20" t="n">
        <f aca="false">AH13*Assumptions!$D$15</f>
        <v>1750</v>
      </c>
      <c r="AI14" s="20" t="n">
        <f aca="false">AI13*Assumptions!$D$15</f>
        <v>1750</v>
      </c>
      <c r="AJ14" s="20" t="n">
        <f aca="false">AJ13*Assumptions!$D$15</f>
        <v>3062.5</v>
      </c>
      <c r="AK14" s="20" t="n">
        <f aca="false">AK13*Assumptions!$D$15</f>
        <v>10500</v>
      </c>
      <c r="AL14" s="20" t="n">
        <f aca="false">AL13*Assumptions!$D$15</f>
        <v>11375</v>
      </c>
      <c r="AM14" s="20" t="n">
        <f aca="false">AM13*Assumptions!$D$15</f>
        <v>4375</v>
      </c>
    </row>
    <row r="15" customFormat="false" ht="15" hidden="false" customHeight="true" outlineLevel="0" collapsed="false">
      <c r="A15" s="5" t="s">
        <v>781</v>
      </c>
      <c r="B15" s="10" t="s">
        <v>100</v>
      </c>
      <c r="C15" s="21" t="n">
        <f aca="false">SUM(D15:AM15)</f>
        <v>6187.5</v>
      </c>
      <c r="D15" s="20" t="n">
        <f aca="false">(D14*MIN(1,INDEX(Assumptions!$D$16:$F$16,1,D$5)*Scenario_Control!$M$8))*IF(OR(Scenario_Control!$M$25=0,D$3&gt;=Assumptions!$D$229+Scenario_Control!$M$26),1,0)</f>
        <v>23.4375</v>
      </c>
      <c r="E15" s="20" t="n">
        <f aca="false">(E14*MIN(1,INDEX(Assumptions!$D$16:$F$16,1,E$5)*Scenario_Control!$M$8))*IF(OR(Scenario_Control!$M$25=0,E$3&gt;=Assumptions!$D$229+Scenario_Control!$M$26),1,0)</f>
        <v>14.0625</v>
      </c>
      <c r="F15" s="20" t="n">
        <f aca="false">(F14*MIN(1,INDEX(Assumptions!$D$16:$F$16,1,F$5)*Scenario_Control!$M$8))*IF(OR(Scenario_Control!$M$25=0,F$3&gt;=Assumptions!$D$229+Scenario_Control!$M$26),1,0)</f>
        <v>65.625</v>
      </c>
      <c r="G15" s="20" t="n">
        <f aca="false">(G14*MIN(1,INDEX(Assumptions!$D$16:$F$16,1,G$5)*Scenario_Control!$M$8))*IF(OR(Scenario_Control!$M$25=0,G$3&gt;=Assumptions!$D$229+Scenario_Control!$M$26),1,0)</f>
        <v>42.1875</v>
      </c>
      <c r="H15" s="20" t="n">
        <f aca="false">(H14*MIN(1,INDEX(Assumptions!$D$16:$F$16,1,H$5)*Scenario_Control!$M$8))*IF(OR(Scenario_Control!$M$25=0,H$3&gt;=Assumptions!$D$229+Scenario_Control!$M$26),1,0)</f>
        <v>37.5</v>
      </c>
      <c r="I15" s="20" t="n">
        <f aca="false">(I14*MIN(1,INDEX(Assumptions!$D$16:$F$16,1,I$5)*Scenario_Control!$M$8))*IF(OR(Scenario_Control!$M$25=0,I$3&gt;=Assumptions!$D$229+Scenario_Control!$M$26),1,0)</f>
        <v>28.125</v>
      </c>
      <c r="J15" s="20" t="n">
        <f aca="false">(J14*MIN(1,INDEX(Assumptions!$D$16:$F$16,1,J$5)*Scenario_Control!$M$8))*IF(OR(Scenario_Control!$M$25=0,J$3&gt;=Assumptions!$D$229+Scenario_Control!$M$26),1,0)</f>
        <v>18.75</v>
      </c>
      <c r="K15" s="20" t="n">
        <f aca="false">(K14*MIN(1,INDEX(Assumptions!$D$16:$F$16,1,K$5)*Scenario_Control!$M$8))*IF(OR(Scenario_Control!$M$25=0,K$3&gt;=Assumptions!$D$229+Scenario_Control!$M$26),1,0)</f>
        <v>18.75</v>
      </c>
      <c r="L15" s="20" t="n">
        <f aca="false">(L14*MIN(1,INDEX(Assumptions!$D$16:$F$16,1,L$5)*Scenario_Control!$M$8))*IF(OR(Scenario_Control!$M$25=0,L$3&gt;=Assumptions!$D$229+Scenario_Control!$M$26),1,0)</f>
        <v>32.8125</v>
      </c>
      <c r="M15" s="20" t="n">
        <f aca="false">(M14*MIN(1,INDEX(Assumptions!$D$16:$F$16,1,M$5)*Scenario_Control!$M$8))*IF(OR(Scenario_Control!$M$25=0,M$3&gt;=Assumptions!$D$229+Scenario_Control!$M$26),1,0)</f>
        <v>112.5</v>
      </c>
      <c r="N15" s="20" t="n">
        <f aca="false">(N14*MIN(1,INDEX(Assumptions!$D$16:$F$16,1,N$5)*Scenario_Control!$M$8))*IF(OR(Scenario_Control!$M$25=0,N$3&gt;=Assumptions!$D$229+Scenario_Control!$M$26),1,0)</f>
        <v>121.875</v>
      </c>
      <c r="O15" s="20" t="n">
        <f aca="false">(O14*MIN(1,INDEX(Assumptions!$D$16:$F$16,1,O$5)*Scenario_Control!$M$8))*IF(OR(Scenario_Control!$M$25=0,O$3&gt;=Assumptions!$D$229+Scenario_Control!$M$26),1,0)</f>
        <v>46.875</v>
      </c>
      <c r="P15" s="20" t="n">
        <f aca="false">(P14*MIN(1,INDEX(Assumptions!$D$16:$F$16,1,P$5)*Scenario_Control!$M$8))*IF(OR(Scenario_Control!$M$25=0,P$3&gt;=Assumptions!$D$229+Scenario_Control!$M$26),1,0)</f>
        <v>81.25</v>
      </c>
      <c r="Q15" s="20" t="n">
        <f aca="false">(Q14*MIN(1,INDEX(Assumptions!$D$16:$F$16,1,Q$5)*Scenario_Control!$M$8))*IF(OR(Scenario_Control!$M$25=0,Q$3&gt;=Assumptions!$D$229+Scenario_Control!$M$26),1,0)</f>
        <v>48.75</v>
      </c>
      <c r="R15" s="20" t="n">
        <f aca="false">(R14*MIN(1,INDEX(Assumptions!$D$16:$F$16,1,R$5)*Scenario_Control!$M$8))*IF(OR(Scenario_Control!$M$25=0,R$3&gt;=Assumptions!$D$229+Scenario_Control!$M$26),1,0)</f>
        <v>227.5</v>
      </c>
      <c r="S15" s="20" t="n">
        <f aca="false">(S14*MIN(1,INDEX(Assumptions!$D$16:$F$16,1,S$5)*Scenario_Control!$M$8))*IF(OR(Scenario_Control!$M$25=0,S$3&gt;=Assumptions!$D$229+Scenario_Control!$M$26),1,0)</f>
        <v>146.25</v>
      </c>
      <c r="T15" s="20" t="n">
        <f aca="false">(T14*MIN(1,INDEX(Assumptions!$D$16:$F$16,1,T$5)*Scenario_Control!$M$8))*IF(OR(Scenario_Control!$M$25=0,T$3&gt;=Assumptions!$D$229+Scenario_Control!$M$26),1,0)</f>
        <v>130</v>
      </c>
      <c r="U15" s="20" t="n">
        <f aca="false">(U14*MIN(1,INDEX(Assumptions!$D$16:$F$16,1,U$5)*Scenario_Control!$M$8))*IF(OR(Scenario_Control!$M$25=0,U$3&gt;=Assumptions!$D$229+Scenario_Control!$M$26),1,0)</f>
        <v>97.5</v>
      </c>
      <c r="V15" s="20" t="n">
        <f aca="false">(V14*MIN(1,INDEX(Assumptions!$D$16:$F$16,1,V$5)*Scenario_Control!$M$8))*IF(OR(Scenario_Control!$M$25=0,V$3&gt;=Assumptions!$D$229+Scenario_Control!$M$26),1,0)</f>
        <v>65</v>
      </c>
      <c r="W15" s="20" t="n">
        <f aca="false">(W14*MIN(1,INDEX(Assumptions!$D$16:$F$16,1,W$5)*Scenario_Control!$M$8))*IF(OR(Scenario_Control!$M$25=0,W$3&gt;=Assumptions!$D$229+Scenario_Control!$M$26),1,0)</f>
        <v>65</v>
      </c>
      <c r="X15" s="20" t="n">
        <f aca="false">(X14*MIN(1,INDEX(Assumptions!$D$16:$F$16,1,X$5)*Scenario_Control!$M$8))*IF(OR(Scenario_Control!$M$25=0,X$3&gt;=Assumptions!$D$229+Scenario_Control!$M$26),1,0)</f>
        <v>113.75</v>
      </c>
      <c r="Y15" s="20" t="n">
        <f aca="false">(Y14*MIN(1,INDEX(Assumptions!$D$16:$F$16,1,Y$5)*Scenario_Control!$M$8))*IF(OR(Scenario_Control!$M$25=0,Y$3&gt;=Assumptions!$D$229+Scenario_Control!$M$26),1,0)</f>
        <v>390</v>
      </c>
      <c r="Z15" s="20" t="n">
        <f aca="false">(Z14*MIN(1,INDEX(Assumptions!$D$16:$F$16,1,Z$5)*Scenario_Control!$M$8))*IF(OR(Scenario_Control!$M$25=0,Z$3&gt;=Assumptions!$D$229+Scenario_Control!$M$26),1,0)</f>
        <v>422.5</v>
      </c>
      <c r="AA15" s="20" t="n">
        <f aca="false">(AA14*MIN(1,INDEX(Assumptions!$D$16:$F$16,1,AA$5)*Scenario_Control!$M$8))*IF(OR(Scenario_Control!$M$25=0,AA$3&gt;=Assumptions!$D$229+Scenario_Control!$M$26),1,0)</f>
        <v>162.5</v>
      </c>
      <c r="AB15" s="20" t="n">
        <f aca="false">(AB14*MIN(1,INDEX(Assumptions!$D$16:$F$16,1,AB$5)*Scenario_Control!$M$8))*IF(OR(Scenario_Control!$M$25=0,AB$3&gt;=Assumptions!$D$229+Scenario_Control!$M$26),1,0)</f>
        <v>153.125</v>
      </c>
      <c r="AC15" s="20" t="n">
        <f aca="false">(AC14*MIN(1,INDEX(Assumptions!$D$16:$F$16,1,AC$5)*Scenario_Control!$M$8))*IF(OR(Scenario_Control!$M$25=0,AC$3&gt;=Assumptions!$D$229+Scenario_Control!$M$26),1,0)</f>
        <v>91.875</v>
      </c>
      <c r="AD15" s="20" t="n">
        <f aca="false">(AD14*MIN(1,INDEX(Assumptions!$D$16:$F$16,1,AD$5)*Scenario_Control!$M$8))*IF(OR(Scenario_Control!$M$25=0,AD$3&gt;=Assumptions!$D$229+Scenario_Control!$M$26),1,0)</f>
        <v>428.75</v>
      </c>
      <c r="AE15" s="20" t="n">
        <f aca="false">(AE14*MIN(1,INDEX(Assumptions!$D$16:$F$16,1,AE$5)*Scenario_Control!$M$8))*IF(OR(Scenario_Control!$M$25=0,AE$3&gt;=Assumptions!$D$229+Scenario_Control!$M$26),1,0)</f>
        <v>275.625</v>
      </c>
      <c r="AF15" s="20" t="n">
        <f aca="false">(AF14*MIN(1,INDEX(Assumptions!$D$16:$F$16,1,AF$5)*Scenario_Control!$M$8))*IF(OR(Scenario_Control!$M$25=0,AF$3&gt;=Assumptions!$D$229+Scenario_Control!$M$26),1,0)</f>
        <v>245</v>
      </c>
      <c r="AG15" s="20" t="n">
        <f aca="false">(AG14*MIN(1,INDEX(Assumptions!$D$16:$F$16,1,AG$5)*Scenario_Control!$M$8))*IF(OR(Scenario_Control!$M$25=0,AG$3&gt;=Assumptions!$D$229+Scenario_Control!$M$26),1,0)</f>
        <v>183.75</v>
      </c>
      <c r="AH15" s="20" t="n">
        <f aca="false">(AH14*MIN(1,INDEX(Assumptions!$D$16:$F$16,1,AH$5)*Scenario_Control!$M$8))*IF(OR(Scenario_Control!$M$25=0,AH$3&gt;=Assumptions!$D$229+Scenario_Control!$M$26),1,0)</f>
        <v>122.5</v>
      </c>
      <c r="AI15" s="20" t="n">
        <f aca="false">(AI14*MIN(1,INDEX(Assumptions!$D$16:$F$16,1,AI$5)*Scenario_Control!$M$8))*IF(OR(Scenario_Control!$M$25=0,AI$3&gt;=Assumptions!$D$229+Scenario_Control!$M$26),1,0)</f>
        <v>122.5</v>
      </c>
      <c r="AJ15" s="20" t="n">
        <f aca="false">(AJ14*MIN(1,INDEX(Assumptions!$D$16:$F$16,1,AJ$5)*Scenario_Control!$M$8))*IF(OR(Scenario_Control!$M$25=0,AJ$3&gt;=Assumptions!$D$229+Scenario_Control!$M$26),1,0)</f>
        <v>214.375</v>
      </c>
      <c r="AK15" s="20" t="n">
        <f aca="false">(AK14*MIN(1,INDEX(Assumptions!$D$16:$F$16,1,AK$5)*Scenario_Control!$M$8))*IF(OR(Scenario_Control!$M$25=0,AK$3&gt;=Assumptions!$D$229+Scenario_Control!$M$26),1,0)</f>
        <v>735</v>
      </c>
      <c r="AL15" s="20" t="n">
        <f aca="false">(AL14*MIN(1,INDEX(Assumptions!$D$16:$F$16,1,AL$5)*Scenario_Control!$M$8))*IF(OR(Scenario_Control!$M$25=0,AL$3&gt;=Assumptions!$D$229+Scenario_Control!$M$26),1,0)</f>
        <v>796.25</v>
      </c>
      <c r="AM15" s="20" t="n">
        <f aca="false">(AM14*MIN(1,INDEX(Assumptions!$D$16:$F$16,1,AM$5)*Scenario_Control!$M$8))*IF(OR(Scenario_Control!$M$25=0,AM$3&gt;=Assumptions!$D$229+Scenario_Control!$M$26),1,0)</f>
        <v>306.25</v>
      </c>
    </row>
    <row r="16" customFormat="false" ht="15" hidden="false" customHeight="true" outlineLevel="0" collapsed="false">
      <c r="A16" s="5" t="s">
        <v>782</v>
      </c>
      <c r="B16" s="10" t="s">
        <v>100</v>
      </c>
      <c r="C16" s="21" t="n">
        <f aca="false">SUM(D16:AM16)</f>
        <v>4021.875</v>
      </c>
      <c r="D16" s="20" t="n">
        <f aca="false">D15*Assumptions!$D$17</f>
        <v>15.234375</v>
      </c>
      <c r="E16" s="20" t="n">
        <f aca="false">E15*Assumptions!$D$17</f>
        <v>9.140625</v>
      </c>
      <c r="F16" s="20" t="n">
        <f aca="false">F15*Assumptions!$D$17</f>
        <v>42.65625</v>
      </c>
      <c r="G16" s="20" t="n">
        <f aca="false">G15*Assumptions!$D$17</f>
        <v>27.421875</v>
      </c>
      <c r="H16" s="20" t="n">
        <f aca="false">H15*Assumptions!$D$17</f>
        <v>24.375</v>
      </c>
      <c r="I16" s="20" t="n">
        <f aca="false">I15*Assumptions!$D$17</f>
        <v>18.28125</v>
      </c>
      <c r="J16" s="20" t="n">
        <f aca="false">J15*Assumptions!$D$17</f>
        <v>12.1875</v>
      </c>
      <c r="K16" s="20" t="n">
        <f aca="false">K15*Assumptions!$D$17</f>
        <v>12.1875</v>
      </c>
      <c r="L16" s="20" t="n">
        <f aca="false">L15*Assumptions!$D$17</f>
        <v>21.328125</v>
      </c>
      <c r="M16" s="20" t="n">
        <f aca="false">M15*Assumptions!$D$17</f>
        <v>73.125</v>
      </c>
      <c r="N16" s="20" t="n">
        <f aca="false">N15*Assumptions!$D$17</f>
        <v>79.21875</v>
      </c>
      <c r="O16" s="20" t="n">
        <f aca="false">O15*Assumptions!$D$17</f>
        <v>30.46875</v>
      </c>
      <c r="P16" s="20" t="n">
        <f aca="false">P15*Assumptions!$D$17</f>
        <v>52.8125</v>
      </c>
      <c r="Q16" s="20" t="n">
        <f aca="false">Q15*Assumptions!$D$17</f>
        <v>31.6875</v>
      </c>
      <c r="R16" s="20" t="n">
        <f aca="false">R15*Assumptions!$D$17</f>
        <v>147.875</v>
      </c>
      <c r="S16" s="20" t="n">
        <f aca="false">S15*Assumptions!$D$17</f>
        <v>95.0625</v>
      </c>
      <c r="T16" s="20" t="n">
        <f aca="false">T15*Assumptions!$D$17</f>
        <v>84.5</v>
      </c>
      <c r="U16" s="20" t="n">
        <f aca="false">U15*Assumptions!$D$17</f>
        <v>63.375</v>
      </c>
      <c r="V16" s="20" t="n">
        <f aca="false">V15*Assumptions!$D$17</f>
        <v>42.25</v>
      </c>
      <c r="W16" s="20" t="n">
        <f aca="false">W15*Assumptions!$D$17</f>
        <v>42.25</v>
      </c>
      <c r="X16" s="20" t="n">
        <f aca="false">X15*Assumptions!$D$17</f>
        <v>73.9375</v>
      </c>
      <c r="Y16" s="20" t="n">
        <f aca="false">Y15*Assumptions!$D$17</f>
        <v>253.5</v>
      </c>
      <c r="Z16" s="20" t="n">
        <f aca="false">Z15*Assumptions!$D$17</f>
        <v>274.625</v>
      </c>
      <c r="AA16" s="20" t="n">
        <f aca="false">AA15*Assumptions!$D$17</f>
        <v>105.625</v>
      </c>
      <c r="AB16" s="20" t="n">
        <f aca="false">AB15*Assumptions!$D$17</f>
        <v>99.53125</v>
      </c>
      <c r="AC16" s="20" t="n">
        <f aca="false">AC15*Assumptions!$D$17</f>
        <v>59.71875</v>
      </c>
      <c r="AD16" s="20" t="n">
        <f aca="false">AD15*Assumptions!$D$17</f>
        <v>278.6875</v>
      </c>
      <c r="AE16" s="20" t="n">
        <f aca="false">AE15*Assumptions!$D$17</f>
        <v>179.15625</v>
      </c>
      <c r="AF16" s="20" t="n">
        <f aca="false">AF15*Assumptions!$D$17</f>
        <v>159.25</v>
      </c>
      <c r="AG16" s="20" t="n">
        <f aca="false">AG15*Assumptions!$D$17</f>
        <v>119.4375</v>
      </c>
      <c r="AH16" s="20" t="n">
        <f aca="false">AH15*Assumptions!$D$17</f>
        <v>79.625</v>
      </c>
      <c r="AI16" s="20" t="n">
        <f aca="false">AI15*Assumptions!$D$17</f>
        <v>79.625</v>
      </c>
      <c r="AJ16" s="20" t="n">
        <f aca="false">AJ15*Assumptions!$D$17</f>
        <v>139.34375</v>
      </c>
      <c r="AK16" s="20" t="n">
        <f aca="false">AK15*Assumptions!$D$17</f>
        <v>477.75</v>
      </c>
      <c r="AL16" s="20" t="n">
        <f aca="false">AL15*Assumptions!$D$17</f>
        <v>517.5625</v>
      </c>
      <c r="AM16" s="20" t="n">
        <f aca="false">AM15*Assumptions!$D$17</f>
        <v>199.0625</v>
      </c>
    </row>
    <row r="17" customFormat="false" ht="15" hidden="false" customHeight="true" outlineLevel="0" collapsed="false">
      <c r="A17" s="5" t="s">
        <v>783</v>
      </c>
      <c r="B17" s="10" t="s">
        <v>100</v>
      </c>
      <c r="C17" s="21" t="n">
        <f aca="false">SUM(D17:AM17)</f>
        <v>2165.625</v>
      </c>
      <c r="D17" s="20" t="n">
        <f aca="false">D15*(1-Assumptions!$D$17)</f>
        <v>8.203125</v>
      </c>
      <c r="E17" s="20" t="n">
        <f aca="false">E15*(1-Assumptions!$D$17)</f>
        <v>4.921875</v>
      </c>
      <c r="F17" s="20" t="n">
        <f aca="false">F15*(1-Assumptions!$D$17)</f>
        <v>22.96875</v>
      </c>
      <c r="G17" s="20" t="n">
        <f aca="false">G15*(1-Assumptions!$D$17)</f>
        <v>14.765625</v>
      </c>
      <c r="H17" s="20" t="n">
        <f aca="false">H15*(1-Assumptions!$D$17)</f>
        <v>13.125</v>
      </c>
      <c r="I17" s="20" t="n">
        <f aca="false">I15*(1-Assumptions!$D$17)</f>
        <v>9.84375</v>
      </c>
      <c r="J17" s="20" t="n">
        <f aca="false">J15*(1-Assumptions!$D$17)</f>
        <v>6.5625</v>
      </c>
      <c r="K17" s="20" t="n">
        <f aca="false">K15*(1-Assumptions!$D$17)</f>
        <v>6.5625</v>
      </c>
      <c r="L17" s="20" t="n">
        <f aca="false">L15*(1-Assumptions!$D$17)</f>
        <v>11.484375</v>
      </c>
      <c r="M17" s="20" t="n">
        <f aca="false">M15*(1-Assumptions!$D$17)</f>
        <v>39.375</v>
      </c>
      <c r="N17" s="20" t="n">
        <f aca="false">N15*(1-Assumptions!$D$17)</f>
        <v>42.65625</v>
      </c>
      <c r="O17" s="20" t="n">
        <f aca="false">O15*(1-Assumptions!$D$17)</f>
        <v>16.40625</v>
      </c>
      <c r="P17" s="20" t="n">
        <f aca="false">P15*(1-Assumptions!$D$17)</f>
        <v>28.4375</v>
      </c>
      <c r="Q17" s="20" t="n">
        <f aca="false">Q15*(1-Assumptions!$D$17)</f>
        <v>17.0625</v>
      </c>
      <c r="R17" s="20" t="n">
        <f aca="false">R15*(1-Assumptions!$D$17)</f>
        <v>79.625</v>
      </c>
      <c r="S17" s="20" t="n">
        <f aca="false">S15*(1-Assumptions!$D$17)</f>
        <v>51.1875</v>
      </c>
      <c r="T17" s="20" t="n">
        <f aca="false">T15*(1-Assumptions!$D$17)</f>
        <v>45.5</v>
      </c>
      <c r="U17" s="20" t="n">
        <f aca="false">U15*(1-Assumptions!$D$17)</f>
        <v>34.125</v>
      </c>
      <c r="V17" s="20" t="n">
        <f aca="false">V15*(1-Assumptions!$D$17)</f>
        <v>22.75</v>
      </c>
      <c r="W17" s="20" t="n">
        <f aca="false">W15*(1-Assumptions!$D$17)</f>
        <v>22.75</v>
      </c>
      <c r="X17" s="20" t="n">
        <f aca="false">X15*(1-Assumptions!$D$17)</f>
        <v>39.8125</v>
      </c>
      <c r="Y17" s="20" t="n">
        <f aca="false">Y15*(1-Assumptions!$D$17)</f>
        <v>136.5</v>
      </c>
      <c r="Z17" s="20" t="n">
        <f aca="false">Z15*(1-Assumptions!$D$17)</f>
        <v>147.875</v>
      </c>
      <c r="AA17" s="20" t="n">
        <f aca="false">AA15*(1-Assumptions!$D$17)</f>
        <v>56.875</v>
      </c>
      <c r="AB17" s="20" t="n">
        <f aca="false">AB15*(1-Assumptions!$D$17)</f>
        <v>53.59375</v>
      </c>
      <c r="AC17" s="20" t="n">
        <f aca="false">AC15*(1-Assumptions!$D$17)</f>
        <v>32.15625</v>
      </c>
      <c r="AD17" s="20" t="n">
        <f aca="false">AD15*(1-Assumptions!$D$17)</f>
        <v>150.0625</v>
      </c>
      <c r="AE17" s="20" t="n">
        <f aca="false">AE15*(1-Assumptions!$D$17)</f>
        <v>96.46875</v>
      </c>
      <c r="AF17" s="20" t="n">
        <f aca="false">AF15*(1-Assumptions!$D$17)</f>
        <v>85.75</v>
      </c>
      <c r="AG17" s="20" t="n">
        <f aca="false">AG15*(1-Assumptions!$D$17)</f>
        <v>64.3125</v>
      </c>
      <c r="AH17" s="20" t="n">
        <f aca="false">AH15*(1-Assumptions!$D$17)</f>
        <v>42.875</v>
      </c>
      <c r="AI17" s="20" t="n">
        <f aca="false">AI15*(1-Assumptions!$D$17)</f>
        <v>42.875</v>
      </c>
      <c r="AJ17" s="20" t="n">
        <f aca="false">AJ15*(1-Assumptions!$D$17)</f>
        <v>75.03125</v>
      </c>
      <c r="AK17" s="20" t="n">
        <f aca="false">AK15*(1-Assumptions!$D$17)</f>
        <v>257.25</v>
      </c>
      <c r="AL17" s="20" t="n">
        <f aca="false">AL15*(1-Assumptions!$D$17)</f>
        <v>278.6875</v>
      </c>
      <c r="AM17" s="20" t="n">
        <f aca="false">AM15*(1-Assumptions!$D$17)</f>
        <v>107.1875</v>
      </c>
    </row>
    <row r="18" customFormat="false" ht="15" hidden="false" customHeight="true" outlineLevel="0" collapsed="false">
      <c r="A18" s="5" t="s">
        <v>784</v>
      </c>
      <c r="B18" s="10" t="s">
        <v>100</v>
      </c>
      <c r="C18" s="21" t="n">
        <f aca="false">AM18</f>
        <v>54434.715835512</v>
      </c>
      <c r="D18" s="20" t="n">
        <f aca="false">0*(1-Assumptions!$D$25)+D14-D15</f>
        <v>367.1875</v>
      </c>
      <c r="E18" s="20" t="n">
        <f aca="false">D18*(1-Assumptions!$D$25)+E14-E15</f>
        <v>569.140625</v>
      </c>
      <c r="F18" s="20" t="n">
        <f aca="false">E18*(1-Assumptions!$D$25)+F14-F15</f>
        <v>1568.80859375</v>
      </c>
      <c r="G18" s="20" t="n">
        <f aca="false">F18*(1-Assumptions!$D$25)+G14-G15</f>
        <v>2151.3056640625</v>
      </c>
      <c r="H18" s="20" t="n">
        <f aca="false">G18*(1-Assumptions!$D$25)+H14-H15</f>
        <v>2631.24038085938</v>
      </c>
      <c r="I18" s="20" t="n">
        <f aca="false">H18*(1-Assumptions!$D$25)+I14-I15</f>
        <v>2940.30336181641</v>
      </c>
      <c r="J18" s="20" t="n">
        <f aca="false">I18*(1-Assumptions!$D$25)+J14-J15</f>
        <v>3087.03819372559</v>
      </c>
      <c r="K18" s="20" t="n">
        <f aca="false">J18*(1-Assumptions!$D$25)+K14-K15</f>
        <v>3226.43628403931</v>
      </c>
      <c r="L18" s="20" t="n">
        <f aca="false">K18*(1-Assumptions!$D$25)+L14-L15</f>
        <v>3579.17696983734</v>
      </c>
      <c r="M18" s="20" t="n">
        <f aca="false">L18*(1-Assumptions!$D$25)+M14-M15</f>
        <v>5162.71812134547</v>
      </c>
      <c r="N18" s="20" t="n">
        <f aca="false">M18*(1-Assumptions!$D$25)+N14-N15</f>
        <v>6813.9572152782</v>
      </c>
      <c r="O18" s="20" t="n">
        <f aca="false">N18*(1-Assumptions!$D$25)+O14-O15</f>
        <v>7207.63435451429</v>
      </c>
      <c r="P18" s="20" t="n">
        <f aca="false">O18*(1-Assumptions!$D$25)+P14-P15</f>
        <v>8016.00263678857</v>
      </c>
      <c r="Q18" s="20" t="n">
        <f aca="false">P18*(1-Assumptions!$D$25)+Q14-Q15</f>
        <v>8316.45250494915</v>
      </c>
      <c r="R18" s="20" t="n">
        <f aca="false">Q18*(1-Assumptions!$D$25)+R14-R15</f>
        <v>11173.1298797017</v>
      </c>
      <c r="S18" s="20" t="n">
        <f aca="false">R18*(1-Assumptions!$D$25)+S14-S15</f>
        <v>12718.2233857166</v>
      </c>
      <c r="T18" s="20" t="n">
        <f aca="false">S18*(1-Assumptions!$D$25)+T14-T15</f>
        <v>13952.3122164308</v>
      </c>
      <c r="U18" s="20" t="n">
        <f aca="false">T18*(1-Assumptions!$D$25)+U14-U15</f>
        <v>14657.1966056092</v>
      </c>
      <c r="V18" s="20" t="n">
        <f aca="false">U18*(1-Assumptions!$D$25)+V14-V15</f>
        <v>14859.3367753288</v>
      </c>
      <c r="W18" s="20" t="n">
        <f aca="false">V18*(1-Assumptions!$D$25)+W14-W15</f>
        <v>15051.3699365623</v>
      </c>
      <c r="X18" s="20" t="n">
        <f aca="false">W18*(1-Assumptions!$D$25)+X14-X15</f>
        <v>15935.0514397342</v>
      </c>
      <c r="Y18" s="20" t="n">
        <f aca="false">X18*(1-Assumptions!$D$25)+Y14-Y15</f>
        <v>20748.2988677475</v>
      </c>
      <c r="Z18" s="20" t="n">
        <f aca="false">Y18*(1-Assumptions!$D$25)+Z14-Z15</f>
        <v>25788.3839243601</v>
      </c>
      <c r="AA18" s="20" t="n">
        <f aca="false">Z18*(1-Assumptions!$D$25)+AA14-AA15</f>
        <v>26836.4647281421</v>
      </c>
      <c r="AB18" s="20" t="n">
        <f aca="false">AA18*(1-Assumptions!$D$25)+AB14-AB15</f>
        <v>27529.016491735</v>
      </c>
      <c r="AC18" s="20" t="n">
        <f aca="false">AB18*(1-Assumptions!$D$25)+AC14-AC15</f>
        <v>27373.1906671483</v>
      </c>
      <c r="AD18" s="20" t="n">
        <f aca="false">AC18*(1-Assumptions!$D$25)+AD14-AD15</f>
        <v>31700.7811337908</v>
      </c>
      <c r="AE18" s="20" t="n">
        <f aca="false">AD18*(1-Assumptions!$D$25)+AE14-AE15</f>
        <v>33777.6170771013</v>
      </c>
      <c r="AF18" s="20" t="n">
        <f aca="false">AE18*(1-Assumptions!$D$25)+AF14-AF15</f>
        <v>35343.7362232462</v>
      </c>
      <c r="AG18" s="20" t="n">
        <f aca="false">AF18*(1-Assumptions!$D$25)+AG14-AG15</f>
        <v>36017.7994120839</v>
      </c>
      <c r="AH18" s="20" t="n">
        <f aca="false">AG18*(1-Assumptions!$D$25)+AH14-AH15</f>
        <v>35844.4094414797</v>
      </c>
      <c r="AI18" s="20" t="n">
        <f aca="false">AH18*(1-Assumptions!$D$25)+AI14-AI15</f>
        <v>35679.6889694057</v>
      </c>
      <c r="AJ18" s="20" t="n">
        <f aca="false">AI18*(1-Assumptions!$D$25)+AJ14-AJ15</f>
        <v>36743.8295209354</v>
      </c>
      <c r="AK18" s="20" t="n">
        <f aca="false">AJ18*(1-Assumptions!$D$25)+AK14-AK15</f>
        <v>44671.6380448887</v>
      </c>
      <c r="AL18" s="20" t="n">
        <f aca="false">AK18*(1-Assumptions!$D$25)+AL14-AL15</f>
        <v>53016.8061426442</v>
      </c>
      <c r="AM18" s="20" t="n">
        <f aca="false">AL18*(1-Assumptions!$D$25)+AM14-AM15</f>
        <v>54434.715835512</v>
      </c>
    </row>
    <row r="19" customFormat="false" ht="15" hidden="false" customHeight="true" outlineLevel="0" collapsed="false">
      <c r="A19" s="5" t="s">
        <v>785</v>
      </c>
      <c r="B19" s="10" t="s">
        <v>100</v>
      </c>
      <c r="C19" s="21" t="n">
        <f aca="false">AM19</f>
        <v>1144.40904371702</v>
      </c>
      <c r="D19" s="20" t="n">
        <f aca="false">0*(1-Assumptions!$D$197)+D17</f>
        <v>8.203125</v>
      </c>
      <c r="E19" s="20" t="n">
        <f aca="false">D19*(1-Assumptions!$D$197)+E17</f>
        <v>12.46875</v>
      </c>
      <c r="F19" s="20" t="n">
        <f aca="false">E19*(1-Assumptions!$D$197)+F17</f>
        <v>34.44</v>
      </c>
      <c r="G19" s="20" t="n">
        <f aca="false">F19*(1-Assumptions!$D$197)+G17</f>
        <v>46.450425</v>
      </c>
      <c r="H19" s="20" t="n">
        <f aca="false">G19*(1-Assumptions!$D$197)+H17</f>
        <v>55.859391</v>
      </c>
      <c r="I19" s="20" t="n">
        <f aca="false">H19*(1-Assumptions!$D$197)+I17</f>
        <v>61.23438972</v>
      </c>
      <c r="J19" s="20" t="n">
        <f aca="false">I19*(1-Assumptions!$D$197)+J17</f>
        <v>62.8981385424</v>
      </c>
      <c r="K19" s="20" t="n">
        <f aca="false">J19*(1-Assumptions!$D$197)+K17</f>
        <v>64.428787459008</v>
      </c>
      <c r="L19" s="20" t="n">
        <f aca="false">K19*(1-Assumptions!$D$197)+L17</f>
        <v>70.7588594622874</v>
      </c>
      <c r="M19" s="20" t="n">
        <f aca="false">L19*(1-Assumptions!$D$197)+M17</f>
        <v>104.473150705304</v>
      </c>
      <c r="N19" s="20" t="n">
        <f aca="false">M19*(1-Assumptions!$D$197)+N17</f>
        <v>138.77154864888</v>
      </c>
      <c r="O19" s="20" t="n">
        <f aca="false">N19*(1-Assumptions!$D$197)+O17</f>
        <v>144.07607475697</v>
      </c>
      <c r="P19" s="20" t="n">
        <f aca="false">O19*(1-Assumptions!$D$197)+P17</f>
        <v>160.987488776412</v>
      </c>
      <c r="Q19" s="20" t="n">
        <f aca="false">P19*(1-Assumptions!$D$197)+Q17</f>
        <v>165.170989674299</v>
      </c>
      <c r="R19" s="20" t="n">
        <f aca="false">Q19*(1-Assumptions!$D$197)+R17</f>
        <v>231.582310500355</v>
      </c>
      <c r="S19" s="20" t="n">
        <f aca="false">R19*(1-Assumptions!$D$197)+S17</f>
        <v>264.243225660327</v>
      </c>
      <c r="T19" s="20" t="n">
        <f aca="false">S19*(1-Assumptions!$D$197)+T17</f>
        <v>288.603767607501</v>
      </c>
      <c r="U19" s="20" t="n">
        <f aca="false">T19*(1-Assumptions!$D$197)+U17</f>
        <v>299.640466198901</v>
      </c>
      <c r="V19" s="20" t="n">
        <f aca="false">U19*(1-Assumptions!$D$197)+V17</f>
        <v>298.419228902989</v>
      </c>
      <c r="W19" s="20" t="n">
        <f aca="false">V19*(1-Assumptions!$D$197)+W17</f>
        <v>297.295690590749</v>
      </c>
      <c r="X19" s="20" t="n">
        <f aca="false">W19*(1-Assumptions!$D$197)+X17</f>
        <v>313.324535343489</v>
      </c>
      <c r="Y19" s="20" t="n">
        <f aca="false">X19*(1-Assumptions!$D$197)+Y17</f>
        <v>424.75857251601</v>
      </c>
      <c r="Z19" s="20" t="n">
        <f aca="false">Y19*(1-Assumptions!$D$197)+Z17</f>
        <v>538.652886714729</v>
      </c>
      <c r="AA19" s="20" t="n">
        <f aca="false">Z19*(1-Assumptions!$D$197)+AA17</f>
        <v>552.435655777551</v>
      </c>
      <c r="AB19" s="20" t="n">
        <f aca="false">AA19*(1-Assumptions!$D$197)+AB17</f>
        <v>561.834553315347</v>
      </c>
      <c r="AC19" s="20" t="n">
        <f aca="false">AB19*(1-Assumptions!$D$197)+AC17</f>
        <v>549.044039050119</v>
      </c>
      <c r="AD19" s="20" t="n">
        <f aca="false">AC19*(1-Assumptions!$D$197)+AD17</f>
        <v>655.18301592611</v>
      </c>
      <c r="AE19" s="20" t="n">
        <f aca="false">AD19*(1-Assumptions!$D$197)+AE17</f>
        <v>699.237124652021</v>
      </c>
      <c r="AF19" s="20" t="n">
        <f aca="false">AE19*(1-Assumptions!$D$197)+AF17</f>
        <v>729.048154679859</v>
      </c>
      <c r="AG19" s="20" t="n">
        <f aca="false">AF19*(1-Assumptions!$D$197)+AG17</f>
        <v>735.036802305471</v>
      </c>
      <c r="AH19" s="20" t="n">
        <f aca="false">AG19*(1-Assumptions!$D$197)+AH17</f>
        <v>719.108858121033</v>
      </c>
      <c r="AI19" s="20" t="n">
        <f aca="false">AH19*(1-Assumptions!$D$197)+AI17</f>
        <v>704.45514947135</v>
      </c>
      <c r="AJ19" s="20" t="n">
        <f aca="false">AI19*(1-Assumptions!$D$197)+AJ17</f>
        <v>723.129987513642</v>
      </c>
      <c r="AK19" s="20" t="n">
        <f aca="false">AJ19*(1-Assumptions!$D$197)+AK17</f>
        <v>922.529588512551</v>
      </c>
      <c r="AL19" s="20" t="n">
        <f aca="false">AK19*(1-Assumptions!$D$197)+AL17</f>
        <v>1127.41472143155</v>
      </c>
      <c r="AM19" s="20" t="n">
        <f aca="false">AL19*(1-Assumptions!$D$197)+AM17</f>
        <v>1144.40904371702</v>
      </c>
    </row>
    <row r="20" customFormat="false" ht="15" hidden="false" customHeight="true" outlineLevel="0" collapsed="false">
      <c r="A20" s="5" t="s">
        <v>786</v>
      </c>
      <c r="B20" s="10" t="s">
        <v>100</v>
      </c>
      <c r="C20" s="21" t="n">
        <f aca="false">SUM(D20:AM20)</f>
        <v>898.21875</v>
      </c>
      <c r="D20" s="20" t="n">
        <f aca="false">0*Assumptions!$D$198</f>
        <v>0</v>
      </c>
      <c r="E20" s="20" t="n">
        <f aca="false">0*Assumptions!$D$198</f>
        <v>0</v>
      </c>
      <c r="F20" s="20" t="n">
        <f aca="false">0*Assumptions!$D$198</f>
        <v>0</v>
      </c>
      <c r="G20" s="20" t="n">
        <f aca="false">0*Assumptions!$D$198</f>
        <v>0</v>
      </c>
      <c r="H20" s="20" t="n">
        <f aca="false">0*Assumptions!$D$198</f>
        <v>0</v>
      </c>
      <c r="I20" s="20" t="n">
        <f aca="false">0*Assumptions!$D$198</f>
        <v>0</v>
      </c>
      <c r="J20" s="20" t="n">
        <f aca="false">0*Assumptions!$D$198</f>
        <v>0</v>
      </c>
      <c r="K20" s="20" t="n">
        <f aca="false">0*Assumptions!$D$198</f>
        <v>0</v>
      </c>
      <c r="L20" s="20" t="n">
        <f aca="false">0*Assumptions!$D$198</f>
        <v>0</v>
      </c>
      <c r="M20" s="20" t="n">
        <f aca="false">0*Assumptions!$D$198</f>
        <v>0</v>
      </c>
      <c r="N20" s="20" t="n">
        <f aca="false">0*Assumptions!$D$198</f>
        <v>0</v>
      </c>
      <c r="O20" s="20" t="n">
        <f aca="false">0*Assumptions!$D$198</f>
        <v>0</v>
      </c>
      <c r="P20" s="20" t="n">
        <f aca="false">D16*Assumptions!$D$198</f>
        <v>8.37890625</v>
      </c>
      <c r="Q20" s="20" t="n">
        <f aca="false">E16*Assumptions!$D$198</f>
        <v>5.02734375</v>
      </c>
      <c r="R20" s="20" t="n">
        <f aca="false">F16*Assumptions!$D$198</f>
        <v>23.4609375</v>
      </c>
      <c r="S20" s="20" t="n">
        <f aca="false">G16*Assumptions!$D$198</f>
        <v>15.08203125</v>
      </c>
      <c r="T20" s="20" t="n">
        <f aca="false">H16*Assumptions!$D$198</f>
        <v>13.40625</v>
      </c>
      <c r="U20" s="20" t="n">
        <f aca="false">I16*Assumptions!$D$198</f>
        <v>10.0546875</v>
      </c>
      <c r="V20" s="20" t="n">
        <f aca="false">J16*Assumptions!$D$198</f>
        <v>6.703125</v>
      </c>
      <c r="W20" s="20" t="n">
        <f aca="false">K16*Assumptions!$D$198</f>
        <v>6.703125</v>
      </c>
      <c r="X20" s="20" t="n">
        <f aca="false">L16*Assumptions!$D$198</f>
        <v>11.73046875</v>
      </c>
      <c r="Y20" s="20" t="n">
        <f aca="false">M16*Assumptions!$D$198</f>
        <v>40.21875</v>
      </c>
      <c r="Z20" s="20" t="n">
        <f aca="false">N16*Assumptions!$D$198</f>
        <v>43.5703125</v>
      </c>
      <c r="AA20" s="20" t="n">
        <f aca="false">O16*Assumptions!$D$198</f>
        <v>16.7578125</v>
      </c>
      <c r="AB20" s="20" t="n">
        <f aca="false">P16*Assumptions!$D$198</f>
        <v>29.046875</v>
      </c>
      <c r="AC20" s="20" t="n">
        <f aca="false">Q16*Assumptions!$D$198</f>
        <v>17.428125</v>
      </c>
      <c r="AD20" s="20" t="n">
        <f aca="false">R16*Assumptions!$D$198</f>
        <v>81.33125</v>
      </c>
      <c r="AE20" s="20" t="n">
        <f aca="false">S16*Assumptions!$D$198</f>
        <v>52.284375</v>
      </c>
      <c r="AF20" s="20" t="n">
        <f aca="false">T16*Assumptions!$D$198</f>
        <v>46.475</v>
      </c>
      <c r="AG20" s="20" t="n">
        <f aca="false">U16*Assumptions!$D$198</f>
        <v>34.85625</v>
      </c>
      <c r="AH20" s="20" t="n">
        <f aca="false">V16*Assumptions!$D$198</f>
        <v>23.2375</v>
      </c>
      <c r="AI20" s="20" t="n">
        <f aca="false">W16*Assumptions!$D$198</f>
        <v>23.2375</v>
      </c>
      <c r="AJ20" s="20" t="n">
        <f aca="false">X16*Assumptions!$D$198</f>
        <v>40.665625</v>
      </c>
      <c r="AK20" s="20" t="n">
        <f aca="false">Y16*Assumptions!$D$198</f>
        <v>139.425</v>
      </c>
      <c r="AL20" s="20" t="n">
        <f aca="false">Z16*Assumptions!$D$198</f>
        <v>151.04375</v>
      </c>
      <c r="AM20" s="20" t="n">
        <f aca="false">AA16*Assumptions!$D$198</f>
        <v>58.09375</v>
      </c>
    </row>
    <row r="21" customFormat="false" ht="15" hidden="false" customHeight="true" outlineLevel="0" collapsed="false">
      <c r="A21" s="5" t="s">
        <v>787</v>
      </c>
      <c r="B21" s="10" t="s">
        <v>100</v>
      </c>
      <c r="C21" s="21" t="n">
        <f aca="false">SUM(D21:AM21)</f>
        <v>140.765625</v>
      </c>
      <c r="D21" s="20" t="n">
        <f aca="false">0*Assumptions!$D$198*Assumptions!$D$199</f>
        <v>0</v>
      </c>
      <c r="E21" s="20" t="n">
        <f aca="false">0*Assumptions!$D$198*Assumptions!$D$199</f>
        <v>0</v>
      </c>
      <c r="F21" s="20" t="n">
        <f aca="false">0*Assumptions!$D$198*Assumptions!$D$199</f>
        <v>0</v>
      </c>
      <c r="G21" s="20" t="n">
        <f aca="false">0*Assumptions!$D$198*Assumptions!$D$199</f>
        <v>0</v>
      </c>
      <c r="H21" s="20" t="n">
        <f aca="false">0*Assumptions!$D$198*Assumptions!$D$199</f>
        <v>0</v>
      </c>
      <c r="I21" s="20" t="n">
        <f aca="false">0*Assumptions!$D$198*Assumptions!$D$199</f>
        <v>0</v>
      </c>
      <c r="J21" s="20" t="n">
        <f aca="false">0*Assumptions!$D$198*Assumptions!$D$199</f>
        <v>0</v>
      </c>
      <c r="K21" s="20" t="n">
        <f aca="false">0*Assumptions!$D$198*Assumptions!$D$199</f>
        <v>0</v>
      </c>
      <c r="L21" s="20" t="n">
        <f aca="false">0*Assumptions!$D$198*Assumptions!$D$199</f>
        <v>0</v>
      </c>
      <c r="M21" s="20" t="n">
        <f aca="false">0*Assumptions!$D$198*Assumptions!$D$199</f>
        <v>0</v>
      </c>
      <c r="N21" s="20" t="n">
        <f aca="false">0*Assumptions!$D$198*Assumptions!$D$199</f>
        <v>0</v>
      </c>
      <c r="O21" s="20" t="n">
        <f aca="false">0*Assumptions!$D$198*Assumptions!$D$199</f>
        <v>0</v>
      </c>
      <c r="P21" s="20" t="n">
        <f aca="false">0*Assumptions!$D$198*Assumptions!$D$199</f>
        <v>0</v>
      </c>
      <c r="Q21" s="20" t="n">
        <f aca="false">0*Assumptions!$D$198*Assumptions!$D$199</f>
        <v>0</v>
      </c>
      <c r="R21" s="20" t="n">
        <f aca="false">0*Assumptions!$D$198*Assumptions!$D$199</f>
        <v>0</v>
      </c>
      <c r="S21" s="20" t="n">
        <f aca="false">0*Assumptions!$D$198*Assumptions!$D$199</f>
        <v>0</v>
      </c>
      <c r="T21" s="20" t="n">
        <f aca="false">0*Assumptions!$D$198*Assumptions!$D$199</f>
        <v>0</v>
      </c>
      <c r="U21" s="20" t="n">
        <f aca="false">0*Assumptions!$D$198*Assumptions!$D$199</f>
        <v>0</v>
      </c>
      <c r="V21" s="20" t="n">
        <f aca="false">0*Assumptions!$D$198*Assumptions!$D$199</f>
        <v>0</v>
      </c>
      <c r="W21" s="20" t="n">
        <f aca="false">0*Assumptions!$D$198*Assumptions!$D$199</f>
        <v>0</v>
      </c>
      <c r="X21" s="20" t="n">
        <f aca="false">0*Assumptions!$D$198*Assumptions!$D$199</f>
        <v>0</v>
      </c>
      <c r="Y21" s="20" t="n">
        <f aca="false">0*Assumptions!$D$198*Assumptions!$D$199</f>
        <v>0</v>
      </c>
      <c r="Z21" s="20" t="n">
        <f aca="false">0*Assumptions!$D$198*Assumptions!$D$199</f>
        <v>0</v>
      </c>
      <c r="AA21" s="20" t="n">
        <f aca="false">0*Assumptions!$D$198*Assumptions!$D$199</f>
        <v>0</v>
      </c>
      <c r="AB21" s="20" t="n">
        <f aca="false">D16*Assumptions!$D$198*Assumptions!$D$199</f>
        <v>5.865234375</v>
      </c>
      <c r="AC21" s="20" t="n">
        <f aca="false">E16*Assumptions!$D$198*Assumptions!$D$199</f>
        <v>3.519140625</v>
      </c>
      <c r="AD21" s="20" t="n">
        <f aca="false">F16*Assumptions!$D$198*Assumptions!$D$199</f>
        <v>16.42265625</v>
      </c>
      <c r="AE21" s="20" t="n">
        <f aca="false">G16*Assumptions!$D$198*Assumptions!$D$199</f>
        <v>10.557421875</v>
      </c>
      <c r="AF21" s="20" t="n">
        <f aca="false">H16*Assumptions!$D$198*Assumptions!$D$199</f>
        <v>9.384375</v>
      </c>
      <c r="AG21" s="20" t="n">
        <f aca="false">I16*Assumptions!$D$198*Assumptions!$D$199</f>
        <v>7.03828125</v>
      </c>
      <c r="AH21" s="20" t="n">
        <f aca="false">J16*Assumptions!$D$198*Assumptions!$D$199</f>
        <v>4.6921875</v>
      </c>
      <c r="AI21" s="20" t="n">
        <f aca="false">K16*Assumptions!$D$198*Assumptions!$D$199</f>
        <v>4.6921875</v>
      </c>
      <c r="AJ21" s="20" t="n">
        <f aca="false">L16*Assumptions!$D$198*Assumptions!$D$199</f>
        <v>8.211328125</v>
      </c>
      <c r="AK21" s="20" t="n">
        <f aca="false">M16*Assumptions!$D$198*Assumptions!$D$199</f>
        <v>28.153125</v>
      </c>
      <c r="AL21" s="20" t="n">
        <f aca="false">N16*Assumptions!$D$198*Assumptions!$D$199</f>
        <v>30.49921875</v>
      </c>
      <c r="AM21" s="20" t="n">
        <f aca="false">O16*Assumptions!$D$198*Assumptions!$D$199</f>
        <v>11.73046875</v>
      </c>
    </row>
    <row r="22" customFormat="false" ht="15" hidden="false" customHeight="true" outlineLevel="0" collapsed="false">
      <c r="A22" s="5" t="s">
        <v>788</v>
      </c>
      <c r="B22" s="10" t="s">
        <v>100</v>
      </c>
      <c r="C22" s="21" t="n">
        <f aca="false">AM22</f>
        <v>3226.640625</v>
      </c>
      <c r="D22" s="20" t="n">
        <f aca="false">0+D16-0*(1-Assumptions!$D$198)-0*Assumptions!$D$198*(1-Assumptions!$D$199)</f>
        <v>15.234375</v>
      </c>
      <c r="E22" s="20" t="n">
        <f aca="false">D22+E16-0*(1-Assumptions!$D$198)-0*Assumptions!$D$198*(1-Assumptions!$D$199)</f>
        <v>24.375</v>
      </c>
      <c r="F22" s="20" t="n">
        <f aca="false">E22+F16-0*(1-Assumptions!$D$198)-0*Assumptions!$D$198*(1-Assumptions!$D$199)</f>
        <v>67.03125</v>
      </c>
      <c r="G22" s="20" t="n">
        <f aca="false">F22+G16-0*(1-Assumptions!$D$198)-0*Assumptions!$D$198*(1-Assumptions!$D$199)</f>
        <v>94.453125</v>
      </c>
      <c r="H22" s="20" t="n">
        <f aca="false">G22+H16-0*(1-Assumptions!$D$198)-0*Assumptions!$D$198*(1-Assumptions!$D$199)</f>
        <v>118.828125</v>
      </c>
      <c r="I22" s="20" t="n">
        <f aca="false">H22+I16-0*(1-Assumptions!$D$198)-0*Assumptions!$D$198*(1-Assumptions!$D$199)</f>
        <v>137.109375</v>
      </c>
      <c r="J22" s="20" t="n">
        <f aca="false">I22+J16-0*(1-Assumptions!$D$198)-0*Assumptions!$D$198*(1-Assumptions!$D$199)</f>
        <v>149.296875</v>
      </c>
      <c r="K22" s="20" t="n">
        <f aca="false">J22+K16-0*(1-Assumptions!$D$198)-0*Assumptions!$D$198*(1-Assumptions!$D$199)</f>
        <v>161.484375</v>
      </c>
      <c r="L22" s="20" t="n">
        <f aca="false">K22+L16-0*(1-Assumptions!$D$198)-0*Assumptions!$D$198*(1-Assumptions!$D$199)</f>
        <v>182.8125</v>
      </c>
      <c r="M22" s="20" t="n">
        <f aca="false">L22+M16-0*(1-Assumptions!$D$198)-0*Assumptions!$D$198*(1-Assumptions!$D$199)</f>
        <v>255.9375</v>
      </c>
      <c r="N22" s="20" t="n">
        <f aca="false">M22+N16-0*(1-Assumptions!$D$198)-0*Assumptions!$D$198*(1-Assumptions!$D$199)</f>
        <v>335.15625</v>
      </c>
      <c r="O22" s="20" t="n">
        <f aca="false">N22+O16-0*(1-Assumptions!$D$198)-0*Assumptions!$D$198*(1-Assumptions!$D$199)</f>
        <v>365.625</v>
      </c>
      <c r="P22" s="20" t="n">
        <f aca="false">O22+P16-D16*(1-Assumptions!$D$198)-0*Assumptions!$D$198*(1-Assumptions!$D$199)</f>
        <v>411.58203125</v>
      </c>
      <c r="Q22" s="20" t="n">
        <f aca="false">P22+Q16-E16*(1-Assumptions!$D$198)-0*Assumptions!$D$198*(1-Assumptions!$D$199)</f>
        <v>439.15625</v>
      </c>
      <c r="R22" s="20" t="n">
        <f aca="false">Q22+R16-F16*(1-Assumptions!$D$198)-0*Assumptions!$D$198*(1-Assumptions!$D$199)</f>
        <v>567.8359375</v>
      </c>
      <c r="S22" s="20" t="n">
        <f aca="false">R22+S16-G16*(1-Assumptions!$D$198)-0*Assumptions!$D$198*(1-Assumptions!$D$199)</f>
        <v>650.55859375</v>
      </c>
      <c r="T22" s="20" t="n">
        <f aca="false">S22+T16-H16*(1-Assumptions!$D$198)-0*Assumptions!$D$198*(1-Assumptions!$D$199)</f>
        <v>724.08984375</v>
      </c>
      <c r="U22" s="20" t="n">
        <f aca="false">T22+U16-I16*(1-Assumptions!$D$198)-0*Assumptions!$D$198*(1-Assumptions!$D$199)</f>
        <v>779.23828125</v>
      </c>
      <c r="V22" s="20" t="n">
        <f aca="false">U22+V16-J16*(1-Assumptions!$D$198)-0*Assumptions!$D$198*(1-Assumptions!$D$199)</f>
        <v>816.00390625</v>
      </c>
      <c r="W22" s="20" t="n">
        <f aca="false">V22+W16-K16*(1-Assumptions!$D$198)-0*Assumptions!$D$198*(1-Assumptions!$D$199)</f>
        <v>852.76953125</v>
      </c>
      <c r="X22" s="20" t="n">
        <f aca="false">W22+X16-L16*(1-Assumptions!$D$198)-0*Assumptions!$D$198*(1-Assumptions!$D$199)</f>
        <v>917.109375</v>
      </c>
      <c r="Y22" s="20" t="n">
        <f aca="false">X22+Y16-M16*(1-Assumptions!$D$198)-0*Assumptions!$D$198*(1-Assumptions!$D$199)</f>
        <v>1137.703125</v>
      </c>
      <c r="Z22" s="20" t="n">
        <f aca="false">Y22+Z16-N16*(1-Assumptions!$D$198)-0*Assumptions!$D$198*(1-Assumptions!$D$199)</f>
        <v>1376.6796875</v>
      </c>
      <c r="AA22" s="20" t="n">
        <f aca="false">Z22+AA16-O16*(1-Assumptions!$D$198)-0*Assumptions!$D$198*(1-Assumptions!$D$199)</f>
        <v>1468.59375</v>
      </c>
      <c r="AB22" s="20" t="n">
        <f aca="false">AA22+AB16-P16*(1-Assumptions!$D$198)-D16*Assumptions!$D$198*(1-Assumptions!$D$199)</f>
        <v>1541.845703125</v>
      </c>
      <c r="AC22" s="20" t="n">
        <f aca="false">AB22+AC16-Q16*(1-Assumptions!$D$198)-E16*Assumptions!$D$198*(1-Assumptions!$D$199)</f>
        <v>1585.796875</v>
      </c>
      <c r="AD22" s="20" t="n">
        <f aca="false">AC22+AD16-R16*(1-Assumptions!$D$198)-F16*Assumptions!$D$198*(1-Assumptions!$D$199)</f>
        <v>1790.90234375</v>
      </c>
      <c r="AE22" s="20" t="n">
        <f aca="false">AD22+AE16-S16*(1-Assumptions!$D$198)-G16*Assumptions!$D$198*(1-Assumptions!$D$199)</f>
        <v>1922.755859375</v>
      </c>
      <c r="AF22" s="20" t="n">
        <f aca="false">AE22+AF16-T16*(1-Assumptions!$D$198)-H16*Assumptions!$D$198*(1-Assumptions!$D$199)</f>
        <v>2039.958984375</v>
      </c>
      <c r="AG22" s="20" t="n">
        <f aca="false">AF22+AG16-U16*(1-Assumptions!$D$198)-I16*Assumptions!$D$198*(1-Assumptions!$D$199)</f>
        <v>2127.861328125</v>
      </c>
      <c r="AH22" s="20" t="n">
        <f aca="false">AG22+AH16-V16*(1-Assumptions!$D$198)-J16*Assumptions!$D$198*(1-Assumptions!$D$199)</f>
        <v>2186.462890625</v>
      </c>
      <c r="AI22" s="20" t="n">
        <f aca="false">AH22+AI16-W16*(1-Assumptions!$D$198)-K16*Assumptions!$D$198*(1-Assumptions!$D$199)</f>
        <v>2245.064453125</v>
      </c>
      <c r="AJ22" s="20" t="n">
        <f aca="false">AI22+AJ16-X16*(1-Assumptions!$D$198)-L16*Assumptions!$D$198*(1-Assumptions!$D$199)</f>
        <v>2347.6171875</v>
      </c>
      <c r="AK22" s="20" t="n">
        <f aca="false">AJ22+AK16-Y16*(1-Assumptions!$D$198)-M16*Assumptions!$D$198*(1-Assumptions!$D$199)</f>
        <v>2699.2265625</v>
      </c>
      <c r="AL22" s="20" t="n">
        <f aca="false">AK22+AL16-Z16*(1-Assumptions!$D$198)-N16*Assumptions!$D$198*(1-Assumptions!$D$199)</f>
        <v>3080.13671875</v>
      </c>
      <c r="AM22" s="20" t="n">
        <f aca="false">AL22+AM16-AA16*(1-Assumptions!$D$198)-O16*Assumptions!$D$198*(1-Assumptions!$D$199)</f>
        <v>3226.640625</v>
      </c>
    </row>
    <row r="23" customFormat="false" ht="15" hidden="false" customHeight="true" outlineLevel="0" collapsed="false">
      <c r="A23" s="13" t="s">
        <v>789</v>
      </c>
      <c r="B23" s="14" t="s">
        <v>100</v>
      </c>
      <c r="C23" s="35" t="n">
        <f aca="false">AM23</f>
        <v>4371.04966871702</v>
      </c>
      <c r="D23" s="35" t="n">
        <f aca="false">D19+D22</f>
        <v>23.4375</v>
      </c>
      <c r="E23" s="35" t="n">
        <f aca="false">E19+E22</f>
        <v>36.84375</v>
      </c>
      <c r="F23" s="35" t="n">
        <f aca="false">F19+F22</f>
        <v>101.47125</v>
      </c>
      <c r="G23" s="35" t="n">
        <f aca="false">G19+G22</f>
        <v>140.90355</v>
      </c>
      <c r="H23" s="35" t="n">
        <f aca="false">H19+H22</f>
        <v>174.687516</v>
      </c>
      <c r="I23" s="35" t="n">
        <f aca="false">I19+I22</f>
        <v>198.34376472</v>
      </c>
      <c r="J23" s="35" t="n">
        <f aca="false">J19+J22</f>
        <v>212.1950135424</v>
      </c>
      <c r="K23" s="35" t="n">
        <f aca="false">K19+K22</f>
        <v>225.913162459008</v>
      </c>
      <c r="L23" s="35" t="n">
        <f aca="false">L19+L22</f>
        <v>253.571359462287</v>
      </c>
      <c r="M23" s="35" t="n">
        <f aca="false">M19+M22</f>
        <v>360.410650705304</v>
      </c>
      <c r="N23" s="35" t="n">
        <f aca="false">N19+N22</f>
        <v>473.92779864888</v>
      </c>
      <c r="O23" s="35" t="n">
        <f aca="false">O19+O22</f>
        <v>509.70107475697</v>
      </c>
      <c r="P23" s="35" t="n">
        <f aca="false">P19+P22</f>
        <v>572.569520026412</v>
      </c>
      <c r="Q23" s="35" t="n">
        <f aca="false">Q19+Q22</f>
        <v>604.327239674299</v>
      </c>
      <c r="R23" s="35" t="n">
        <f aca="false">R19+R22</f>
        <v>799.418248000355</v>
      </c>
      <c r="S23" s="35" t="n">
        <f aca="false">S19+S22</f>
        <v>914.801819410327</v>
      </c>
      <c r="T23" s="35" t="n">
        <f aca="false">T19+T22</f>
        <v>1012.6936113575</v>
      </c>
      <c r="U23" s="35" t="n">
        <f aca="false">U19+U22</f>
        <v>1078.8787474489</v>
      </c>
      <c r="V23" s="35" t="n">
        <f aca="false">V19+V22</f>
        <v>1114.42313515299</v>
      </c>
      <c r="W23" s="35" t="n">
        <f aca="false">W19+W22</f>
        <v>1150.06522184075</v>
      </c>
      <c r="X23" s="35" t="n">
        <f aca="false">X19+X22</f>
        <v>1230.43391034349</v>
      </c>
      <c r="Y23" s="35" t="n">
        <f aca="false">Y19+Y22</f>
        <v>1562.46169751601</v>
      </c>
      <c r="Z23" s="35" t="n">
        <f aca="false">Z19+Z22</f>
        <v>1915.33257421473</v>
      </c>
      <c r="AA23" s="35" t="n">
        <f aca="false">AA19+AA22</f>
        <v>2021.02940577755</v>
      </c>
      <c r="AB23" s="35" t="n">
        <f aca="false">AB19+AB22</f>
        <v>2103.68025644035</v>
      </c>
      <c r="AC23" s="35" t="n">
        <f aca="false">AC19+AC22</f>
        <v>2134.84091405012</v>
      </c>
      <c r="AD23" s="35" t="n">
        <f aca="false">AD19+AD22</f>
        <v>2446.08535967611</v>
      </c>
      <c r="AE23" s="35" t="n">
        <f aca="false">AE19+AE22</f>
        <v>2621.99298402702</v>
      </c>
      <c r="AF23" s="35" t="n">
        <f aca="false">AF19+AF22</f>
        <v>2769.00713905486</v>
      </c>
      <c r="AG23" s="35" t="n">
        <f aca="false">AG19+AG22</f>
        <v>2862.89813043047</v>
      </c>
      <c r="AH23" s="35" t="n">
        <f aca="false">AH19+AH22</f>
        <v>2905.57174874603</v>
      </c>
      <c r="AI23" s="35" t="n">
        <f aca="false">AI19+AI22</f>
        <v>2949.51960259635</v>
      </c>
      <c r="AJ23" s="35" t="n">
        <f aca="false">AJ19+AJ22</f>
        <v>3070.74717501364</v>
      </c>
      <c r="AK23" s="35" t="n">
        <f aca="false">AK19+AK22</f>
        <v>3621.75615101255</v>
      </c>
      <c r="AL23" s="35" t="n">
        <f aca="false">AL19+AL22</f>
        <v>4207.55144018155</v>
      </c>
      <c r="AM23" s="35" t="n">
        <f aca="false">AM19+AM22</f>
        <v>4371.04966871702</v>
      </c>
    </row>
    <row r="24" customFormat="false" ht="15" hidden="false" customHeight="true" outlineLevel="0" collapsed="false">
      <c r="A24" s="5" t="s">
        <v>790</v>
      </c>
      <c r="B24" s="10" t="s">
        <v>64</v>
      </c>
      <c r="C24" s="12" t="n">
        <f aca="false">SUM(D24:AM24)</f>
        <v>102246.750141616</v>
      </c>
      <c r="D24" s="11" t="n">
        <f aca="false">D19*Assumptions!$D$195</f>
        <v>60.29953125</v>
      </c>
      <c r="E24" s="11" t="n">
        <f aca="false">E19*Assumptions!$D$195</f>
        <v>91.6552875</v>
      </c>
      <c r="F24" s="11" t="n">
        <f aca="false">F19*Assumptions!$D$195</f>
        <v>253.161552</v>
      </c>
      <c r="G24" s="11" t="n">
        <f aca="false">G19*Assumptions!$D$195</f>
        <v>341.44778409</v>
      </c>
      <c r="H24" s="11" t="n">
        <f aca="false">H19*Assumptions!$D$195</f>
        <v>410.6112113628</v>
      </c>
      <c r="I24" s="11" t="n">
        <f aca="false">I19*Assumptions!$D$195</f>
        <v>450.121751953776</v>
      </c>
      <c r="J24" s="11" t="n">
        <f aca="false">J19*Assumptions!$D$195</f>
        <v>462.351636797474</v>
      </c>
      <c r="K24" s="11" t="n">
        <f aca="false">K19*Assumptions!$D$195</f>
        <v>473.603130853676</v>
      </c>
      <c r="L24" s="11" t="n">
        <f aca="false">L19*Assumptions!$D$195</f>
        <v>520.134224135382</v>
      </c>
      <c r="M24" s="11" t="n">
        <f aca="false">M19*Assumptions!$D$195</f>
        <v>767.961236204551</v>
      </c>
      <c r="N24" s="11" t="n">
        <f aca="false">N19*Assumptions!$D$195</f>
        <v>1020.08189980819</v>
      </c>
      <c r="O24" s="11" t="n">
        <f aca="false">O19*Assumptions!$D$195</f>
        <v>1059.07441032353</v>
      </c>
      <c r="P24" s="11" t="n">
        <f aca="false">P19*Assumptions!$D$195</f>
        <v>1183.38683249765</v>
      </c>
      <c r="Q24" s="11" t="n">
        <f aca="false">Q19*Assumptions!$D$195</f>
        <v>1214.13891089784</v>
      </c>
      <c r="R24" s="11" t="n">
        <f aca="false">R19*Assumptions!$D$195</f>
        <v>1702.31524802601</v>
      </c>
      <c r="S24" s="11" t="n">
        <f aca="false">S19*Assumptions!$D$195</f>
        <v>1942.39910318393</v>
      </c>
      <c r="T24" s="11" t="n">
        <f aca="false">T19*Assumptions!$D$195</f>
        <v>2121.46857492922</v>
      </c>
      <c r="U24" s="11" t="n">
        <f aca="false">U19*Assumptions!$D$195</f>
        <v>2202.59713893488</v>
      </c>
      <c r="V24" s="11" t="n">
        <f aca="false">V19*Assumptions!$D$195</f>
        <v>2193.62006782009</v>
      </c>
      <c r="W24" s="11" t="n">
        <f aca="false">W19*Assumptions!$D$195</f>
        <v>2185.36116239448</v>
      </c>
      <c r="X24" s="11" t="n">
        <f aca="false">X19*Assumptions!$D$195</f>
        <v>2303.18599440292</v>
      </c>
      <c r="Y24" s="11" t="n">
        <f aca="false">Y19*Assumptions!$D$195</f>
        <v>3122.31531485069</v>
      </c>
      <c r="Z24" s="11" t="n">
        <f aca="false">Z19*Assumptions!$D$195</f>
        <v>3959.52963966263</v>
      </c>
      <c r="AA24" s="11" t="n">
        <f aca="false">AA19*Assumptions!$D$195</f>
        <v>4060.84401848962</v>
      </c>
      <c r="AB24" s="11" t="n">
        <f aca="false">AB19*Assumptions!$D$195</f>
        <v>4129.93343451045</v>
      </c>
      <c r="AC24" s="11" t="n">
        <f aca="false">AC19*Assumptions!$D$195</f>
        <v>4035.91292224962</v>
      </c>
      <c r="AD24" s="11" t="n">
        <f aca="false">AD19*Assumptions!$D$195</f>
        <v>4816.11931346965</v>
      </c>
      <c r="AE24" s="11" t="n">
        <f aca="false">AE19*Assumptions!$D$195</f>
        <v>5139.95225589208</v>
      </c>
      <c r="AF24" s="11" t="n">
        <f aca="false">AF19*Assumptions!$D$195</f>
        <v>5359.08717542071</v>
      </c>
      <c r="AG24" s="11" t="n">
        <f aca="false">AG19*Assumptions!$D$195</f>
        <v>5403.10852638705</v>
      </c>
      <c r="AH24" s="11" t="n">
        <f aca="false">AH19*Assumptions!$D$195</f>
        <v>5286.02539427609</v>
      </c>
      <c r="AI24" s="11" t="n">
        <f aca="false">AI19*Assumptions!$D$195</f>
        <v>5178.308912734</v>
      </c>
      <c r="AJ24" s="11" t="n">
        <f aca="false">AJ19*Assumptions!$D$195</f>
        <v>5315.58391221528</v>
      </c>
      <c r="AK24" s="11" t="n">
        <f aca="false">AK19*Assumptions!$D$195</f>
        <v>6781.33049923806</v>
      </c>
      <c r="AL24" s="11" t="n">
        <f aca="false">AL19*Assumptions!$D$195</f>
        <v>8287.40013429902</v>
      </c>
      <c r="AM24" s="11" t="n">
        <f aca="false">AM19*Assumptions!$D$195</f>
        <v>8412.3219985551</v>
      </c>
    </row>
    <row r="25" customFormat="false" ht="15" hidden="false" customHeight="true" outlineLevel="0" collapsed="false">
      <c r="A25" s="5" t="s">
        <v>791</v>
      </c>
      <c r="B25" s="10" t="s">
        <v>64</v>
      </c>
      <c r="C25" s="12" t="n">
        <f aca="false">SUM(D25:AM25)</f>
        <v>274703.446875</v>
      </c>
      <c r="D25" s="11" t="n">
        <f aca="false">(D16+D20+D21)*Assumptions!$D$196</f>
        <v>826.921875</v>
      </c>
      <c r="E25" s="11" t="n">
        <f aca="false">(E16+E20+E21)*Assumptions!$D$196</f>
        <v>496.153125</v>
      </c>
      <c r="F25" s="11" t="n">
        <f aca="false">(F16+F20+F21)*Assumptions!$D$196</f>
        <v>2315.38125</v>
      </c>
      <c r="G25" s="11" t="n">
        <f aca="false">(G16+G20+G21)*Assumptions!$D$196</f>
        <v>1488.459375</v>
      </c>
      <c r="H25" s="11" t="n">
        <f aca="false">(H16+H20+H21)*Assumptions!$D$196</f>
        <v>1323.075</v>
      </c>
      <c r="I25" s="11" t="n">
        <f aca="false">(I16+I20+I21)*Assumptions!$D$196</f>
        <v>992.30625</v>
      </c>
      <c r="J25" s="11" t="n">
        <f aca="false">(J16+J20+J21)*Assumptions!$D$196</f>
        <v>661.5375</v>
      </c>
      <c r="K25" s="11" t="n">
        <f aca="false">(K16+K20+K21)*Assumptions!$D$196</f>
        <v>661.5375</v>
      </c>
      <c r="L25" s="11" t="n">
        <f aca="false">(L16+L20+L21)*Assumptions!$D$196</f>
        <v>1157.690625</v>
      </c>
      <c r="M25" s="11" t="n">
        <f aca="false">(M16+M20+M21)*Assumptions!$D$196</f>
        <v>3969.225</v>
      </c>
      <c r="N25" s="11" t="n">
        <f aca="false">(N16+N20+N21)*Assumptions!$D$196</f>
        <v>4299.99375</v>
      </c>
      <c r="O25" s="11" t="n">
        <f aca="false">(O16+O20+O21)*Assumptions!$D$196</f>
        <v>1653.84375</v>
      </c>
      <c r="P25" s="11" t="n">
        <f aca="false">(P16+P20+P21)*Assumptions!$D$196</f>
        <v>3321.46953125</v>
      </c>
      <c r="Q25" s="11" t="n">
        <f aca="false">(Q16+Q20+Q21)*Assumptions!$D$196</f>
        <v>1992.88171875</v>
      </c>
      <c r="R25" s="11" t="n">
        <f aca="false">(R16+R20+R21)*Assumptions!$D$196</f>
        <v>9300.1146875</v>
      </c>
      <c r="S25" s="11" t="n">
        <f aca="false">(S16+S20+S21)*Assumptions!$D$196</f>
        <v>5978.64515625</v>
      </c>
      <c r="T25" s="11" t="n">
        <f aca="false">(T16+T20+T21)*Assumptions!$D$196</f>
        <v>5314.35125</v>
      </c>
      <c r="U25" s="11" t="n">
        <f aca="false">(U16+U20+U21)*Assumptions!$D$196</f>
        <v>3985.7634375</v>
      </c>
      <c r="V25" s="11" t="n">
        <f aca="false">(V16+V20+V21)*Assumptions!$D$196</f>
        <v>2657.175625</v>
      </c>
      <c r="W25" s="11" t="n">
        <f aca="false">(W16+W20+W21)*Assumptions!$D$196</f>
        <v>2657.175625</v>
      </c>
      <c r="X25" s="11" t="n">
        <f aca="false">(X16+X20+X21)*Assumptions!$D$196</f>
        <v>4650.05734375</v>
      </c>
      <c r="Y25" s="11" t="n">
        <f aca="false">(Y16+Y20+Y21)*Assumptions!$D$196</f>
        <v>15943.05375</v>
      </c>
      <c r="Z25" s="11" t="n">
        <f aca="false">(Z16+Z20+Z21)*Assumptions!$D$196</f>
        <v>17271.6415625</v>
      </c>
      <c r="AA25" s="11" t="n">
        <f aca="false">(AA16+AA20+AA21)*Assumptions!$D$196</f>
        <v>6642.9390625</v>
      </c>
      <c r="AB25" s="11" t="n">
        <f aca="false">(AB16+AB20+AB21)*Assumptions!$D$196</f>
        <v>7297.585546875</v>
      </c>
      <c r="AC25" s="11" t="n">
        <f aca="false">(AC16+AC20+AC21)*Assumptions!$D$196</f>
        <v>4378.551328125</v>
      </c>
      <c r="AD25" s="11" t="n">
        <f aca="false">(AD16+AD20+AD21)*Assumptions!$D$196</f>
        <v>20433.23953125</v>
      </c>
      <c r="AE25" s="11" t="n">
        <f aca="false">(AE16+AE20+AE21)*Assumptions!$D$196</f>
        <v>13135.653984375</v>
      </c>
      <c r="AF25" s="11" t="n">
        <f aca="false">(AF16+AF20+AF21)*Assumptions!$D$196</f>
        <v>11676.136875</v>
      </c>
      <c r="AG25" s="11" t="n">
        <f aca="false">(AG16+AG20+AG21)*Assumptions!$D$196</f>
        <v>8757.10265625</v>
      </c>
      <c r="AH25" s="11" t="n">
        <f aca="false">(AH16+AH20+AH21)*Assumptions!$D$196</f>
        <v>5838.0684375</v>
      </c>
      <c r="AI25" s="11" t="n">
        <f aca="false">(AI16+AI20+AI21)*Assumptions!$D$196</f>
        <v>5838.0684375</v>
      </c>
      <c r="AJ25" s="11" t="n">
        <f aca="false">(AJ16+AJ20+AJ21)*Assumptions!$D$196</f>
        <v>10216.619765625</v>
      </c>
      <c r="AK25" s="11" t="n">
        <f aca="false">(AK16+AK20+AK21)*Assumptions!$D$196</f>
        <v>35028.410625</v>
      </c>
      <c r="AL25" s="11" t="n">
        <f aca="false">(AL16+AL20+AL21)*Assumptions!$D$196</f>
        <v>37947.44484375</v>
      </c>
      <c r="AM25" s="11" t="n">
        <f aca="false">(AM16+AM20+AM21)*Assumptions!$D$196</f>
        <v>14595.17109375</v>
      </c>
    </row>
    <row r="26" customFormat="false" ht="15" hidden="false" customHeight="true" outlineLevel="0" collapsed="false">
      <c r="A26" s="5" t="s">
        <v>792</v>
      </c>
      <c r="B26" s="10" t="s">
        <v>64</v>
      </c>
      <c r="C26" s="12" t="n">
        <f aca="false">SUM(D26:AM26)</f>
        <v>18987.4706823001</v>
      </c>
      <c r="D26" s="11" t="n">
        <f aca="false">D23*INDEX(Assumptions!$D$30:$F$30,1,D$5)*Scenario_Control!$M$22*Assumptions!$D$31</f>
        <v>3.50859375</v>
      </c>
      <c r="E26" s="11" t="n">
        <f aca="false">E23*INDEX(Assumptions!$D$30:$F$30,1,E$5)*Scenario_Control!$M$22*Assumptions!$D$31</f>
        <v>5.515509375</v>
      </c>
      <c r="F26" s="11" t="n">
        <f aca="false">F23*INDEX(Assumptions!$D$30:$F$30,1,F$5)*Scenario_Control!$M$22*Assumptions!$D$31</f>
        <v>15.190246125</v>
      </c>
      <c r="G26" s="11" t="n">
        <f aca="false">G23*INDEX(Assumptions!$D$30:$F$30,1,G$5)*Scenario_Control!$M$22*Assumptions!$D$31</f>
        <v>21.093261435</v>
      </c>
      <c r="H26" s="11" t="n">
        <f aca="false">H23*INDEX(Assumptions!$D$30:$F$30,1,H$5)*Scenario_Control!$M$22*Assumptions!$D$31</f>
        <v>26.1507211452</v>
      </c>
      <c r="I26" s="11" t="n">
        <f aca="false">I23*INDEX(Assumptions!$D$30:$F$30,1,I$5)*Scenario_Control!$M$22*Assumptions!$D$31</f>
        <v>29.692061578584</v>
      </c>
      <c r="J26" s="11" t="n">
        <f aca="false">J23*INDEX(Assumptions!$D$30:$F$30,1,J$5)*Scenario_Control!$M$22*Assumptions!$D$31</f>
        <v>31.7655935272973</v>
      </c>
      <c r="K26" s="11" t="n">
        <f aca="false">K23*INDEX(Assumptions!$D$30:$F$30,1,K$5)*Scenario_Control!$M$22*Assumptions!$D$31</f>
        <v>33.8192004201135</v>
      </c>
      <c r="L26" s="11" t="n">
        <f aca="false">L23*INDEX(Assumptions!$D$30:$F$30,1,L$5)*Scenario_Control!$M$22*Assumptions!$D$31</f>
        <v>37.9596325115044</v>
      </c>
      <c r="M26" s="11" t="n">
        <f aca="false">M23*INDEX(Assumptions!$D$30:$F$30,1,M$5)*Scenario_Control!$M$22*Assumptions!$D$31</f>
        <v>53.9534744105841</v>
      </c>
      <c r="N26" s="11" t="n">
        <f aca="false">N23*INDEX(Assumptions!$D$30:$F$30,1,N$5)*Scenario_Control!$M$22*Assumptions!$D$31</f>
        <v>70.9469914577373</v>
      </c>
      <c r="O26" s="11" t="n">
        <f aca="false">O23*INDEX(Assumptions!$D$30:$F$30,1,O$5)*Scenario_Control!$M$22*Assumptions!$D$31</f>
        <v>76.3022508911184</v>
      </c>
      <c r="P26" s="11" t="n">
        <f aca="false">P23*INDEX(Assumptions!$D$30:$F$30,1,P$5)*Scenario_Control!$M$22*Assumptions!$D$31</f>
        <v>171.427314295908</v>
      </c>
      <c r="Q26" s="11" t="n">
        <f aca="false">Q23*INDEX(Assumptions!$D$30:$F$30,1,Q$5)*Scenario_Control!$M$22*Assumptions!$D$31</f>
        <v>180.935575558485</v>
      </c>
      <c r="R26" s="11" t="n">
        <f aca="false">R23*INDEX(Assumptions!$D$30:$F$30,1,R$5)*Scenario_Control!$M$22*Assumptions!$D$31</f>
        <v>239.345823451306</v>
      </c>
      <c r="S26" s="11" t="n">
        <f aca="false">S23*INDEX(Assumptions!$D$30:$F$30,1,S$5)*Scenario_Control!$M$22*Assumptions!$D$31</f>
        <v>273.891664731452</v>
      </c>
      <c r="T26" s="11" t="n">
        <f aca="false">T23*INDEX(Assumptions!$D$30:$F$30,1,T$5)*Scenario_Control!$M$22*Assumptions!$D$31</f>
        <v>303.200467240436</v>
      </c>
      <c r="U26" s="11" t="n">
        <f aca="false">U23*INDEX(Assumptions!$D$30:$F$30,1,U$5)*Scenario_Control!$M$22*Assumptions!$D$31</f>
        <v>323.016296986201</v>
      </c>
      <c r="V26" s="11" t="n">
        <f aca="false">V23*INDEX(Assumptions!$D$30:$F$30,1,V$5)*Scenario_Control!$M$22*Assumptions!$D$31</f>
        <v>333.658286664805</v>
      </c>
      <c r="W26" s="11" t="n">
        <f aca="false">W23*INDEX(Assumptions!$D$30:$F$30,1,W$5)*Scenario_Control!$M$22*Assumptions!$D$31</f>
        <v>344.32952741912</v>
      </c>
      <c r="X26" s="11" t="n">
        <f aca="false">X23*INDEX(Assumptions!$D$30:$F$30,1,X$5)*Scenario_Control!$M$22*Assumptions!$D$31</f>
        <v>368.391912756841</v>
      </c>
      <c r="Y26" s="11" t="n">
        <f aca="false">Y23*INDEX(Assumptions!$D$30:$F$30,1,Y$5)*Scenario_Control!$M$22*Assumptions!$D$31</f>
        <v>467.801032236293</v>
      </c>
      <c r="Z26" s="11" t="n">
        <f aca="false">Z23*INDEX(Assumptions!$D$30:$F$30,1,Z$5)*Scenario_Control!$M$22*Assumptions!$D$31</f>
        <v>573.45057271989</v>
      </c>
      <c r="AA26" s="11" t="n">
        <f aca="false">AA23*INDEX(Assumptions!$D$30:$F$30,1,AA$5)*Scenario_Control!$M$22*Assumptions!$D$31</f>
        <v>605.096204089799</v>
      </c>
      <c r="AB26" s="11" t="n">
        <f aca="false">AB23*INDEX(Assumptions!$D$30:$F$30,1,AB$5)*Scenario_Control!$M$22*Assumptions!$D$31</f>
        <v>839.789158370987</v>
      </c>
      <c r="AC26" s="11" t="n">
        <f aca="false">AC23*INDEX(Assumptions!$D$30:$F$30,1,AC$5)*Scenario_Control!$M$22*Assumptions!$D$31</f>
        <v>852.228492888808</v>
      </c>
      <c r="AD26" s="11" t="n">
        <f aca="false">AD23*INDEX(Assumptions!$D$30:$F$30,1,AD$5)*Scenario_Control!$M$22*Assumptions!$D$31</f>
        <v>976.477275582703</v>
      </c>
      <c r="AE26" s="11" t="n">
        <f aca="false">AE23*INDEX(Assumptions!$D$30:$F$30,1,AE$5)*Scenario_Control!$M$22*Assumptions!$D$31</f>
        <v>1046.69959922359</v>
      </c>
      <c r="AF26" s="11" t="n">
        <f aca="false">AF23*INDEX(Assumptions!$D$30:$F$30,1,AF$5)*Scenario_Control!$M$22*Assumptions!$D$31</f>
        <v>1105.3876499107</v>
      </c>
      <c r="AG26" s="11" t="n">
        <f aca="false">AG23*INDEX(Assumptions!$D$30:$F$30,1,AG$5)*Scenario_Control!$M$22*Assumptions!$D$31</f>
        <v>1142.86893366784</v>
      </c>
      <c r="AH26" s="11" t="n">
        <f aca="false">AH23*INDEX(Assumptions!$D$30:$F$30,1,AH$5)*Scenario_Control!$M$22*Assumptions!$D$31</f>
        <v>1159.90424209942</v>
      </c>
      <c r="AI26" s="11" t="n">
        <f aca="false">AI23*INDEX(Assumptions!$D$30:$F$30,1,AI$5)*Scenario_Control!$M$22*Assumptions!$D$31</f>
        <v>1177.44822535646</v>
      </c>
      <c r="AJ26" s="11" t="n">
        <f aca="false">AJ23*INDEX(Assumptions!$D$30:$F$30,1,AJ$5)*Scenario_Control!$M$22*Assumptions!$D$31</f>
        <v>1225.84227226545</v>
      </c>
      <c r="AK26" s="11" t="n">
        <f aca="false">AK23*INDEX(Assumptions!$D$30:$F$30,1,AK$5)*Scenario_Control!$M$22*Assumptions!$D$31</f>
        <v>1445.80505548421</v>
      </c>
      <c r="AL26" s="11" t="n">
        <f aca="false">AL23*INDEX(Assumptions!$D$30:$F$30,1,AL$5)*Scenario_Control!$M$22*Assumptions!$D$31</f>
        <v>1679.65453492047</v>
      </c>
      <c r="AM26" s="11" t="n">
        <f aca="false">AM23*INDEX(Assumptions!$D$30:$F$30,1,AM$5)*Scenario_Control!$M$22*Assumptions!$D$31</f>
        <v>1744.92302775184</v>
      </c>
    </row>
    <row r="27" customFormat="false" ht="15" hidden="false" customHeight="true" outlineLevel="0" collapsed="false">
      <c r="A27" s="13" t="s">
        <v>793</v>
      </c>
      <c r="B27" s="14" t="s">
        <v>64</v>
      </c>
      <c r="C27" s="15" t="n">
        <f aca="false">SUM(D27:AM27)</f>
        <v>395937.667698917</v>
      </c>
      <c r="D27" s="15" t="n">
        <f aca="false">D24+D25+D26</f>
        <v>890.73</v>
      </c>
      <c r="E27" s="15" t="n">
        <f aca="false">E24+E25+E26</f>
        <v>593.323921875</v>
      </c>
      <c r="F27" s="15" t="n">
        <f aca="false">F24+F25+F26</f>
        <v>2583.733048125</v>
      </c>
      <c r="G27" s="15" t="n">
        <f aca="false">G24+G25+G26</f>
        <v>1851.000420525</v>
      </c>
      <c r="H27" s="15" t="n">
        <f aca="false">H24+H25+H26</f>
        <v>1759.836932508</v>
      </c>
      <c r="I27" s="15" t="n">
        <f aca="false">I24+I25+I26</f>
        <v>1472.12006353236</v>
      </c>
      <c r="J27" s="15" t="n">
        <f aca="false">J24+J25+J26</f>
        <v>1155.65473032477</v>
      </c>
      <c r="K27" s="15" t="n">
        <f aca="false">K24+K25+K26</f>
        <v>1168.95983127379</v>
      </c>
      <c r="L27" s="15" t="n">
        <f aca="false">L24+L25+L26</f>
        <v>1715.78448164689</v>
      </c>
      <c r="M27" s="15" t="n">
        <f aca="false">M24+M25+M26</f>
        <v>4791.13971061514</v>
      </c>
      <c r="N27" s="15" t="n">
        <f aca="false">N24+N25+N26</f>
        <v>5391.02264126592</v>
      </c>
      <c r="O27" s="15" t="n">
        <f aca="false">O24+O25+O26</f>
        <v>2789.22041121465</v>
      </c>
      <c r="P27" s="15" t="n">
        <f aca="false">P24+P25+P26</f>
        <v>4676.28367804356</v>
      </c>
      <c r="Q27" s="15" t="n">
        <f aca="false">Q24+Q25+Q26</f>
        <v>3387.95620520632</v>
      </c>
      <c r="R27" s="15" t="n">
        <f aca="false">R24+R25+R26</f>
        <v>11241.7757589773</v>
      </c>
      <c r="S27" s="15" t="n">
        <f aca="false">S24+S25+S26</f>
        <v>8194.93592416538</v>
      </c>
      <c r="T27" s="15" t="n">
        <f aca="false">T24+T25+T26</f>
        <v>7739.02029216965</v>
      </c>
      <c r="U27" s="15" t="n">
        <f aca="false">U24+U25+U26</f>
        <v>6511.37687342108</v>
      </c>
      <c r="V27" s="15" t="n">
        <f aca="false">V24+V25+V26</f>
        <v>5184.45397948489</v>
      </c>
      <c r="W27" s="15" t="n">
        <f aca="false">W24+W25+W26</f>
        <v>5186.8663148136</v>
      </c>
      <c r="X27" s="15" t="n">
        <f aca="false">X24+X25+X26</f>
        <v>7321.63525090976</v>
      </c>
      <c r="Y27" s="15" t="n">
        <f aca="false">Y24+Y25+Y26</f>
        <v>19533.170097087</v>
      </c>
      <c r="Z27" s="15" t="n">
        <f aca="false">Z24+Z25+Z26</f>
        <v>21804.6217748825</v>
      </c>
      <c r="AA27" s="15" t="n">
        <f aca="false">AA24+AA25+AA26</f>
        <v>11308.8792850794</v>
      </c>
      <c r="AB27" s="15" t="n">
        <f aca="false">AB24+AB25+AB26</f>
        <v>12267.3081397564</v>
      </c>
      <c r="AC27" s="15" t="n">
        <f aca="false">AC24+AC25+AC26</f>
        <v>9266.69274326343</v>
      </c>
      <c r="AD27" s="15" t="n">
        <f aca="false">AD24+AD25+AD26</f>
        <v>26225.8361203024</v>
      </c>
      <c r="AE27" s="15" t="n">
        <f aca="false">AE24+AE25+AE26</f>
        <v>19322.3058394907</v>
      </c>
      <c r="AF27" s="15" t="n">
        <f aca="false">AF24+AF25+AF26</f>
        <v>18140.6117003314</v>
      </c>
      <c r="AG27" s="15" t="n">
        <f aca="false">AG24+AG25+AG26</f>
        <v>15303.0801163049</v>
      </c>
      <c r="AH27" s="15" t="n">
        <f aca="false">AH24+AH25+AH26</f>
        <v>12283.9980738755</v>
      </c>
      <c r="AI27" s="15" t="n">
        <f aca="false">AI24+AI25+AI26</f>
        <v>12193.8255755905</v>
      </c>
      <c r="AJ27" s="15" t="n">
        <f aca="false">AJ24+AJ25+AJ26</f>
        <v>16758.0459501057</v>
      </c>
      <c r="AK27" s="15" t="n">
        <f aca="false">AK24+AK25+AK26</f>
        <v>43255.5461797223</v>
      </c>
      <c r="AL27" s="15" t="n">
        <f aca="false">AL24+AL25+AL26</f>
        <v>47914.4995129695</v>
      </c>
      <c r="AM27" s="15" t="n">
        <f aca="false">AM24+AM25+AM26</f>
        <v>24752.4161200569</v>
      </c>
    </row>
    <row r="28" customFormat="false" ht="15" hidden="false" customHeight="true" outlineLevel="0" collapsed="false">
      <c r="A28" s="5" t="s">
        <v>794</v>
      </c>
      <c r="B28" s="10" t="s">
        <v>64</v>
      </c>
      <c r="C28" s="12" t="n">
        <f aca="false">SUM(D28:AM28)</f>
        <v>-11878.1300309675</v>
      </c>
      <c r="D28" s="11" t="n">
        <f aca="false">-Assumptions!$D$21*D27</f>
        <v>-26.7219</v>
      </c>
      <c r="E28" s="11" t="n">
        <f aca="false">-Assumptions!$D$21*E27</f>
        <v>-17.79971765625</v>
      </c>
      <c r="F28" s="11" t="n">
        <f aca="false">-Assumptions!$D$21*F27</f>
        <v>-77.51199144375</v>
      </c>
      <c r="G28" s="11" t="n">
        <f aca="false">-Assumptions!$D$21*G27</f>
        <v>-55.53001261575</v>
      </c>
      <c r="H28" s="11" t="n">
        <f aca="false">-Assumptions!$D$21*H27</f>
        <v>-52.79510797524</v>
      </c>
      <c r="I28" s="11" t="n">
        <f aca="false">-Assumptions!$D$21*I27</f>
        <v>-44.1636019059708</v>
      </c>
      <c r="J28" s="11" t="n">
        <f aca="false">-Assumptions!$D$21*J27</f>
        <v>-34.6696419097431</v>
      </c>
      <c r="K28" s="11" t="n">
        <f aca="false">-Assumptions!$D$21*K27</f>
        <v>-35.0687949382137</v>
      </c>
      <c r="L28" s="11" t="n">
        <f aca="false">-Assumptions!$D$21*L27</f>
        <v>-51.4735344494066</v>
      </c>
      <c r="M28" s="11" t="n">
        <f aca="false">-Assumptions!$D$21*M27</f>
        <v>-143.734191318454</v>
      </c>
      <c r="N28" s="11" t="n">
        <f aca="false">-Assumptions!$D$21*N27</f>
        <v>-161.730679237978</v>
      </c>
      <c r="O28" s="11" t="n">
        <f aca="false">-Assumptions!$D$21*O27</f>
        <v>-83.6766123364395</v>
      </c>
      <c r="P28" s="11" t="n">
        <f aca="false">-Assumptions!$D$21*P27</f>
        <v>-140.288510341307</v>
      </c>
      <c r="Q28" s="11" t="n">
        <f aca="false">-Assumptions!$D$21*Q27</f>
        <v>-101.63868615619</v>
      </c>
      <c r="R28" s="11" t="n">
        <f aca="false">-Assumptions!$D$21*R27</f>
        <v>-337.253272769319</v>
      </c>
      <c r="S28" s="11" t="n">
        <f aca="false">-Assumptions!$D$21*S27</f>
        <v>-245.848077724961</v>
      </c>
      <c r="T28" s="11" t="n">
        <f aca="false">-Assumptions!$D$21*T27</f>
        <v>-232.17060876509</v>
      </c>
      <c r="U28" s="11" t="n">
        <f aca="false">-Assumptions!$D$21*U27</f>
        <v>-195.341306202632</v>
      </c>
      <c r="V28" s="11" t="n">
        <f aca="false">-Assumptions!$D$21*V27</f>
        <v>-155.533619384547</v>
      </c>
      <c r="W28" s="11" t="n">
        <f aca="false">-Assumptions!$D$21*W27</f>
        <v>-155.605989444408</v>
      </c>
      <c r="X28" s="11" t="n">
        <f aca="false">-Assumptions!$D$21*X27</f>
        <v>-219.649057527293</v>
      </c>
      <c r="Y28" s="11" t="n">
        <f aca="false">-Assumptions!$D$21*Y27</f>
        <v>-585.99510291261</v>
      </c>
      <c r="Z28" s="11" t="n">
        <f aca="false">-Assumptions!$D$21*Z27</f>
        <v>-654.138653246476</v>
      </c>
      <c r="AA28" s="11" t="n">
        <f aca="false">-Assumptions!$D$21*AA27</f>
        <v>-339.266378552383</v>
      </c>
      <c r="AB28" s="11" t="n">
        <f aca="false">-Assumptions!$D$21*AB27</f>
        <v>-368.019244192693</v>
      </c>
      <c r="AC28" s="11" t="n">
        <f aca="false">-Assumptions!$D$21*AC27</f>
        <v>-278.000782297903</v>
      </c>
      <c r="AD28" s="11" t="n">
        <f aca="false">-Assumptions!$D$21*AD27</f>
        <v>-786.775083609071</v>
      </c>
      <c r="AE28" s="11" t="n">
        <f aca="false">-Assumptions!$D$21*AE27</f>
        <v>-579.66917518472</v>
      </c>
      <c r="AF28" s="11" t="n">
        <f aca="false">-Assumptions!$D$21*AF27</f>
        <v>-544.218351009942</v>
      </c>
      <c r="AG28" s="11" t="n">
        <f aca="false">-Assumptions!$D$21*AG27</f>
        <v>-459.092403489147</v>
      </c>
      <c r="AH28" s="11" t="n">
        <f aca="false">-Assumptions!$D$21*AH27</f>
        <v>-368.519942216265</v>
      </c>
      <c r="AI28" s="11" t="n">
        <f aca="false">-Assumptions!$D$21*AI27</f>
        <v>-365.814767267714</v>
      </c>
      <c r="AJ28" s="11" t="n">
        <f aca="false">-Assumptions!$D$21*AJ27</f>
        <v>-502.741378503172</v>
      </c>
      <c r="AK28" s="11" t="n">
        <f aca="false">-Assumptions!$D$21*AK27</f>
        <v>-1297.66638539167</v>
      </c>
      <c r="AL28" s="11" t="n">
        <f aca="false">-Assumptions!$D$21*AL27</f>
        <v>-1437.43498538908</v>
      </c>
      <c r="AM28" s="11" t="n">
        <f aca="false">-Assumptions!$D$21*AM27</f>
        <v>-742.572483601708</v>
      </c>
    </row>
    <row r="29" customFormat="false" ht="15" hidden="false" customHeight="true" outlineLevel="0" collapsed="false">
      <c r="A29" s="5" t="s">
        <v>795</v>
      </c>
      <c r="B29" s="10" t="s">
        <v>64</v>
      </c>
      <c r="C29" s="12" t="n">
        <f aca="false">SUM(D29:AM29)</f>
        <v>384059.537667949</v>
      </c>
      <c r="D29" s="11" t="n">
        <f aca="false">D27+D28</f>
        <v>864.0081</v>
      </c>
      <c r="E29" s="11" t="n">
        <f aca="false">E27+E28</f>
        <v>575.52420421875</v>
      </c>
      <c r="F29" s="11" t="n">
        <f aca="false">F27+F28</f>
        <v>2506.22105668125</v>
      </c>
      <c r="G29" s="11" t="n">
        <f aca="false">G27+G28</f>
        <v>1795.47040790925</v>
      </c>
      <c r="H29" s="11" t="n">
        <f aca="false">H27+H28</f>
        <v>1707.04182453276</v>
      </c>
      <c r="I29" s="11" t="n">
        <f aca="false">I27+I28</f>
        <v>1427.95646162639</v>
      </c>
      <c r="J29" s="11" t="n">
        <f aca="false">J27+J28</f>
        <v>1120.98508841503</v>
      </c>
      <c r="K29" s="11" t="n">
        <f aca="false">K27+K28</f>
        <v>1133.89103633558</v>
      </c>
      <c r="L29" s="11" t="n">
        <f aca="false">L27+L28</f>
        <v>1664.31094719748</v>
      </c>
      <c r="M29" s="11" t="n">
        <f aca="false">M27+M28</f>
        <v>4647.40551929668</v>
      </c>
      <c r="N29" s="11" t="n">
        <f aca="false">N27+N28</f>
        <v>5229.29196202795</v>
      </c>
      <c r="O29" s="11" t="n">
        <f aca="false">O27+O28</f>
        <v>2705.54379887821</v>
      </c>
      <c r="P29" s="11" t="n">
        <f aca="false">P27+P28</f>
        <v>4535.99516770225</v>
      </c>
      <c r="Q29" s="11" t="n">
        <f aca="false">Q27+Q28</f>
        <v>3286.31751905013</v>
      </c>
      <c r="R29" s="11" t="n">
        <f aca="false">R27+R28</f>
        <v>10904.522486208</v>
      </c>
      <c r="S29" s="11" t="n">
        <f aca="false">S27+S28</f>
        <v>7949.08784644042</v>
      </c>
      <c r="T29" s="11" t="n">
        <f aca="false">T27+T28</f>
        <v>7506.84968340456</v>
      </c>
      <c r="U29" s="11" t="n">
        <f aca="false">U27+U28</f>
        <v>6316.03556721845</v>
      </c>
      <c r="V29" s="11" t="n">
        <f aca="false">V27+V28</f>
        <v>5028.92036010035</v>
      </c>
      <c r="W29" s="11" t="n">
        <f aca="false">W27+W28</f>
        <v>5031.26032536919</v>
      </c>
      <c r="X29" s="11" t="n">
        <f aca="false">X27+X28</f>
        <v>7101.98619338247</v>
      </c>
      <c r="Y29" s="11" t="n">
        <f aca="false">Y27+Y28</f>
        <v>18947.1749941744</v>
      </c>
      <c r="Z29" s="11" t="n">
        <f aca="false">Z27+Z28</f>
        <v>21150.483121636</v>
      </c>
      <c r="AA29" s="11" t="n">
        <f aca="false">AA27+AA28</f>
        <v>10969.612906527</v>
      </c>
      <c r="AB29" s="11" t="n">
        <f aca="false">AB27+AB28</f>
        <v>11899.2888955637</v>
      </c>
      <c r="AC29" s="11" t="n">
        <f aca="false">AC27+AC28</f>
        <v>8988.69196096552</v>
      </c>
      <c r="AD29" s="11" t="n">
        <f aca="false">AD27+AD28</f>
        <v>25439.0610366933</v>
      </c>
      <c r="AE29" s="11" t="n">
        <f aca="false">AE27+AE28</f>
        <v>18742.6366643059</v>
      </c>
      <c r="AF29" s="11" t="n">
        <f aca="false">AF27+AF28</f>
        <v>17596.3933493215</v>
      </c>
      <c r="AG29" s="11" t="n">
        <f aca="false">AG27+AG28</f>
        <v>14843.9877128158</v>
      </c>
      <c r="AH29" s="11" t="n">
        <f aca="false">AH27+AH28</f>
        <v>11915.4781316592</v>
      </c>
      <c r="AI29" s="11" t="n">
        <f aca="false">AI27+AI28</f>
        <v>11828.0108083228</v>
      </c>
      <c r="AJ29" s="11" t="n">
        <f aca="false">AJ27+AJ28</f>
        <v>16255.3045716026</v>
      </c>
      <c r="AK29" s="11" t="n">
        <f aca="false">AK27+AK28</f>
        <v>41957.8797943306</v>
      </c>
      <c r="AL29" s="11" t="n">
        <f aca="false">AL27+AL28</f>
        <v>46477.0645275804</v>
      </c>
      <c r="AM29" s="11" t="n">
        <f aca="false">AM27+AM28</f>
        <v>24009.8436364552</v>
      </c>
    </row>
    <row r="30" customFormat="false" ht="15" hidden="false" customHeight="true" outlineLevel="0" collapsed="false">
      <c r="A30" s="5" t="s">
        <v>796</v>
      </c>
      <c r="B30" s="10" t="s">
        <v>64</v>
      </c>
      <c r="C30" s="12" t="n">
        <f aca="false">SUM(D30:AM30)</f>
        <v>99179.347637368</v>
      </c>
      <c r="D30" s="11" t="n">
        <f aca="false">D24*(1-Assumptions!$D$21)</f>
        <v>58.4905453125</v>
      </c>
      <c r="E30" s="11" t="n">
        <f aca="false">E24*(1-Assumptions!$D$21)</f>
        <v>88.905628875</v>
      </c>
      <c r="F30" s="11" t="n">
        <f aca="false">F24*(1-Assumptions!$D$21)</f>
        <v>245.56670544</v>
      </c>
      <c r="G30" s="11" t="n">
        <f aca="false">G24*(1-Assumptions!$D$21)</f>
        <v>331.2043505673</v>
      </c>
      <c r="H30" s="11" t="n">
        <f aca="false">H24*(1-Assumptions!$D$21)</f>
        <v>398.292875021916</v>
      </c>
      <c r="I30" s="11" t="n">
        <f aca="false">I24*(1-Assumptions!$D$21)</f>
        <v>436.618099395163</v>
      </c>
      <c r="J30" s="11" t="n">
        <f aca="false">J24*(1-Assumptions!$D$21)</f>
        <v>448.48108769355</v>
      </c>
      <c r="K30" s="11" t="n">
        <f aca="false">K24*(1-Assumptions!$D$21)</f>
        <v>459.395036928066</v>
      </c>
      <c r="L30" s="11" t="n">
        <f aca="false">L24*(1-Assumptions!$D$21)</f>
        <v>504.53019741132</v>
      </c>
      <c r="M30" s="11" t="n">
        <f aca="false">M24*(1-Assumptions!$D$21)</f>
        <v>744.922399118415</v>
      </c>
      <c r="N30" s="11" t="n">
        <f aca="false">N24*(1-Assumptions!$D$21)</f>
        <v>989.479442813942</v>
      </c>
      <c r="O30" s="11" t="n">
        <f aca="false">O24*(1-Assumptions!$D$21)</f>
        <v>1027.30217801383</v>
      </c>
      <c r="P30" s="11" t="n">
        <f aca="false">P24*(1-Assumptions!$D$21)</f>
        <v>1147.88522752272</v>
      </c>
      <c r="Q30" s="11" t="n">
        <f aca="false">Q24*(1-Assumptions!$D$21)</f>
        <v>1177.7147435709</v>
      </c>
      <c r="R30" s="11" t="n">
        <f aca="false">R24*(1-Assumptions!$D$21)</f>
        <v>1651.24579058523</v>
      </c>
      <c r="S30" s="11" t="n">
        <f aca="false">S24*(1-Assumptions!$D$21)</f>
        <v>1884.12713008841</v>
      </c>
      <c r="T30" s="11" t="n">
        <f aca="false">T24*(1-Assumptions!$D$21)</f>
        <v>2057.82451768134</v>
      </c>
      <c r="U30" s="11" t="n">
        <f aca="false">U24*(1-Assumptions!$D$21)</f>
        <v>2136.51922476683</v>
      </c>
      <c r="V30" s="11" t="n">
        <f aca="false">V24*(1-Assumptions!$D$21)</f>
        <v>2127.81146578549</v>
      </c>
      <c r="W30" s="11" t="n">
        <f aca="false">W24*(1-Assumptions!$D$21)</f>
        <v>2119.80032752265</v>
      </c>
      <c r="X30" s="11" t="n">
        <f aca="false">X24*(1-Assumptions!$D$21)</f>
        <v>2234.09041457083</v>
      </c>
      <c r="Y30" s="11" t="n">
        <f aca="false">Y24*(1-Assumptions!$D$21)</f>
        <v>3028.64585540517</v>
      </c>
      <c r="Z30" s="11" t="n">
        <f aca="false">Z24*(1-Assumptions!$D$21)</f>
        <v>3840.74375047275</v>
      </c>
      <c r="AA30" s="11" t="n">
        <f aca="false">AA24*(1-Assumptions!$D$21)</f>
        <v>3939.01869793493</v>
      </c>
      <c r="AB30" s="11" t="n">
        <f aca="false">AB24*(1-Assumptions!$D$21)</f>
        <v>4006.03543147514</v>
      </c>
      <c r="AC30" s="11" t="n">
        <f aca="false">AC24*(1-Assumptions!$D$21)</f>
        <v>3914.83553458213</v>
      </c>
      <c r="AD30" s="11" t="n">
        <f aca="false">AD24*(1-Assumptions!$D$21)</f>
        <v>4671.63573406556</v>
      </c>
      <c r="AE30" s="11" t="n">
        <f aca="false">AE24*(1-Assumptions!$D$21)</f>
        <v>4985.75368821531</v>
      </c>
      <c r="AF30" s="11" t="n">
        <f aca="false">AF24*(1-Assumptions!$D$21)</f>
        <v>5198.31456015809</v>
      </c>
      <c r="AG30" s="11" t="n">
        <f aca="false">AG24*(1-Assumptions!$D$21)</f>
        <v>5241.01527059544</v>
      </c>
      <c r="AH30" s="11" t="n">
        <f aca="false">AH24*(1-Assumptions!$D$21)</f>
        <v>5127.44463244781</v>
      </c>
      <c r="AI30" s="11" t="n">
        <f aca="false">AI24*(1-Assumptions!$D$21)</f>
        <v>5022.95964535198</v>
      </c>
      <c r="AJ30" s="11" t="n">
        <f aca="false">AJ24*(1-Assumptions!$D$21)</f>
        <v>5156.11639484883</v>
      </c>
      <c r="AK30" s="11" t="n">
        <f aca="false">AK24*(1-Assumptions!$D$21)</f>
        <v>6577.89058426092</v>
      </c>
      <c r="AL30" s="11" t="n">
        <f aca="false">AL24*(1-Assumptions!$D$21)</f>
        <v>8038.77813027005</v>
      </c>
      <c r="AM30" s="11" t="n">
        <f aca="false">AM24*(1-Assumptions!$D$21)</f>
        <v>8159.95233859844</v>
      </c>
    </row>
    <row r="31" customFormat="false" ht="15" hidden="false" customHeight="true" outlineLevel="0" collapsed="false">
      <c r="A31" s="5" t="s">
        <v>797</v>
      </c>
      <c r="B31" s="10" t="s">
        <v>64</v>
      </c>
      <c r="C31" s="12" t="n">
        <f aca="false">SUM(D31:AM31)</f>
        <v>170428.550200391</v>
      </c>
      <c r="D31" s="11" t="n">
        <f aca="false">D22*Assumptions!$D$196/12*(1-Assumptions!$D$21)</f>
        <v>66.8428515625</v>
      </c>
      <c r="E31" s="11" t="n">
        <f aca="false">E22*Assumptions!$D$196/12*(1-Assumptions!$D$21)</f>
        <v>106.9485625</v>
      </c>
      <c r="F31" s="11" t="n">
        <f aca="false">F22*Assumptions!$D$196/12*(1-Assumptions!$D$21)</f>
        <v>294.108546875</v>
      </c>
      <c r="G31" s="11" t="n">
        <f aca="false">G22*Assumptions!$D$196/12*(1-Assumptions!$D$21)</f>
        <v>414.4256796875</v>
      </c>
      <c r="H31" s="11" t="n">
        <f aca="false">H22*Assumptions!$D$196/12*(1-Assumptions!$D$21)</f>
        <v>521.3742421875</v>
      </c>
      <c r="I31" s="11" t="n">
        <f aca="false">I22*Assumptions!$D$196/12*(1-Assumptions!$D$21)</f>
        <v>601.5856640625</v>
      </c>
      <c r="J31" s="11" t="n">
        <f aca="false">J22*Assumptions!$D$196/12*(1-Assumptions!$D$21)</f>
        <v>655.0599453125</v>
      </c>
      <c r="K31" s="11" t="n">
        <f aca="false">K22*Assumptions!$D$196/12*(1-Assumptions!$D$21)</f>
        <v>708.5342265625</v>
      </c>
      <c r="L31" s="11" t="n">
        <f aca="false">L22*Assumptions!$D$196/12*(1-Assumptions!$D$21)</f>
        <v>802.11421875</v>
      </c>
      <c r="M31" s="11" t="n">
        <f aca="false">M22*Assumptions!$D$196/12*(1-Assumptions!$D$21)</f>
        <v>1122.95990625</v>
      </c>
      <c r="N31" s="11" t="n">
        <f aca="false">N22*Assumptions!$D$196/12*(1-Assumptions!$D$21)</f>
        <v>1470.542734375</v>
      </c>
      <c r="O31" s="11" t="n">
        <f aca="false">O22*Assumptions!$D$196/12*(1-Assumptions!$D$21)</f>
        <v>1604.2284375</v>
      </c>
      <c r="P31" s="11" t="n">
        <f aca="false">P22*Assumptions!$D$196/12*(1-Assumptions!$D$21)</f>
        <v>1805.87103971354</v>
      </c>
      <c r="Q31" s="11" t="n">
        <f aca="false">Q22*Assumptions!$D$196/12*(1-Assumptions!$D$21)</f>
        <v>1926.85660104167</v>
      </c>
      <c r="R31" s="11" t="n">
        <f aca="false">R22*Assumptions!$D$196/12*(1-Assumptions!$D$21)</f>
        <v>2491.45588723958</v>
      </c>
      <c r="S31" s="11" t="n">
        <f aca="false">S22*Assumptions!$D$196/12*(1-Assumptions!$D$21)</f>
        <v>2854.41257122396</v>
      </c>
      <c r="T31" s="11" t="n">
        <f aca="false">T22*Assumptions!$D$196/12*(1-Assumptions!$D$21)</f>
        <v>3177.04073476562</v>
      </c>
      <c r="U31" s="11" t="n">
        <f aca="false">U22*Assumptions!$D$196/12*(1-Assumptions!$D$21)</f>
        <v>3419.01185742188</v>
      </c>
      <c r="V31" s="11" t="n">
        <f aca="false">V22*Assumptions!$D$196/12*(1-Assumptions!$D$21)</f>
        <v>3580.32593919271</v>
      </c>
      <c r="W31" s="11" t="n">
        <f aca="false">W22*Assumptions!$D$196/12*(1-Assumptions!$D$21)</f>
        <v>3741.64002096354</v>
      </c>
      <c r="X31" s="11" t="n">
        <f aca="false">X22*Assumptions!$D$196/12*(1-Assumptions!$D$21)</f>
        <v>4023.9396640625</v>
      </c>
      <c r="Y31" s="11" t="n">
        <f aca="false">Y22*Assumptions!$D$196/12*(1-Assumptions!$D$21)</f>
        <v>4991.8241546875</v>
      </c>
      <c r="Z31" s="11" t="n">
        <f aca="false">Z22*Assumptions!$D$196/12*(1-Assumptions!$D$21)</f>
        <v>6040.36568619792</v>
      </c>
      <c r="AA31" s="11" t="n">
        <f aca="false">AA22*Assumptions!$D$196/12*(1-Assumptions!$D$21)</f>
        <v>6443.650890625</v>
      </c>
      <c r="AB31" s="11" t="n">
        <f aca="false">AB22*Assumptions!$D$196/12*(1-Assumptions!$D$21)</f>
        <v>6765.05360188802</v>
      </c>
      <c r="AC31" s="11" t="n">
        <f aca="false">AC22*Assumptions!$D$196/12*(1-Assumptions!$D$21)</f>
        <v>6957.89522864583</v>
      </c>
      <c r="AD31" s="11" t="n">
        <f aca="false">AD22*Assumptions!$D$196/12*(1-Assumptions!$D$21)</f>
        <v>7857.82282018229</v>
      </c>
      <c r="AE31" s="11" t="n">
        <f aca="false">AE22*Assumptions!$D$196/12*(1-Assumptions!$D$21)</f>
        <v>8436.34770045573</v>
      </c>
      <c r="AF31" s="11" t="n">
        <f aca="false">AF22*Assumptions!$D$196/12*(1-Assumptions!$D$21)</f>
        <v>8950.59203847656</v>
      </c>
      <c r="AG31" s="11" t="n">
        <f aca="false">AG22*Assumptions!$D$196/12*(1-Assumptions!$D$21)</f>
        <v>9336.27529199219</v>
      </c>
      <c r="AH31" s="11" t="n">
        <f aca="false">AH22*Assumptions!$D$196/12*(1-Assumptions!$D$21)</f>
        <v>9593.3974610026</v>
      </c>
      <c r="AI31" s="11" t="n">
        <f aca="false">AI22*Assumptions!$D$196/12*(1-Assumptions!$D$21)</f>
        <v>9850.51963001302</v>
      </c>
      <c r="AJ31" s="11" t="n">
        <f aca="false">AJ22*Assumptions!$D$196/12*(1-Assumptions!$D$21)</f>
        <v>10300.4834257813</v>
      </c>
      <c r="AK31" s="11" t="n">
        <f aca="false">AK22*Assumptions!$D$196/12*(1-Assumptions!$D$21)</f>
        <v>11843.2164398438</v>
      </c>
      <c r="AL31" s="11" t="n">
        <f aca="false">AL22*Assumptions!$D$196/12*(1-Assumptions!$D$21)</f>
        <v>13514.5105384115</v>
      </c>
      <c r="AM31" s="11" t="n">
        <f aca="false">AM22*Assumptions!$D$196/12*(1-Assumptions!$D$21)</f>
        <v>14157.3159609375</v>
      </c>
    </row>
    <row r="32" customFormat="false" ht="15" hidden="false" customHeight="true" outlineLevel="0" collapsed="false">
      <c r="A32" s="5" t="s">
        <v>798</v>
      </c>
      <c r="B32" s="10" t="s">
        <v>64</v>
      </c>
      <c r="C32" s="12" t="n">
        <f aca="false">SUM(D32:AM32)</f>
        <v>18417.8465618311</v>
      </c>
      <c r="D32" s="11" t="n">
        <f aca="false">D26*(1-Assumptions!$D$21)</f>
        <v>3.4033359375</v>
      </c>
      <c r="E32" s="11" t="n">
        <f aca="false">E26*(1-Assumptions!$D$21)</f>
        <v>5.35004409375</v>
      </c>
      <c r="F32" s="11" t="n">
        <f aca="false">F26*(1-Assumptions!$D$21)</f>
        <v>14.73453874125</v>
      </c>
      <c r="G32" s="11" t="n">
        <f aca="false">G26*(1-Assumptions!$D$21)</f>
        <v>20.46046359195</v>
      </c>
      <c r="H32" s="11" t="n">
        <f aca="false">H26*(1-Assumptions!$D$21)</f>
        <v>25.366199510844</v>
      </c>
      <c r="I32" s="11" t="n">
        <f aca="false">I26*(1-Assumptions!$D$21)</f>
        <v>28.8012997312265</v>
      </c>
      <c r="J32" s="11" t="n">
        <f aca="false">J26*(1-Assumptions!$D$21)</f>
        <v>30.8126257214784</v>
      </c>
      <c r="K32" s="11" t="n">
        <f aca="false">K26*(1-Assumptions!$D$21)</f>
        <v>32.8046244075101</v>
      </c>
      <c r="L32" s="11" t="n">
        <f aca="false">L26*(1-Assumptions!$D$21)</f>
        <v>36.8208435361593</v>
      </c>
      <c r="M32" s="11" t="n">
        <f aca="false">M26*(1-Assumptions!$D$21)</f>
        <v>52.3348701782665</v>
      </c>
      <c r="N32" s="11" t="n">
        <f aca="false">N26*(1-Assumptions!$D$21)</f>
        <v>68.8185817140052</v>
      </c>
      <c r="O32" s="11" t="n">
        <f aca="false">O26*(1-Assumptions!$D$21)</f>
        <v>74.0131833643848</v>
      </c>
      <c r="P32" s="11" t="n">
        <f aca="false">P26*(1-Assumptions!$D$21)</f>
        <v>166.284494867031</v>
      </c>
      <c r="Q32" s="11" t="n">
        <f aca="false">Q26*(1-Assumptions!$D$21)</f>
        <v>175.507508291731</v>
      </c>
      <c r="R32" s="11" t="n">
        <f aca="false">R26*(1-Assumptions!$D$21)</f>
        <v>232.165448747767</v>
      </c>
      <c r="S32" s="11" t="n">
        <f aca="false">S26*(1-Assumptions!$D$21)</f>
        <v>265.674914789508</v>
      </c>
      <c r="T32" s="11" t="n">
        <f aca="false">T26*(1-Assumptions!$D$21)</f>
        <v>294.104453223223</v>
      </c>
      <c r="U32" s="11" t="n">
        <f aca="false">U26*(1-Assumptions!$D$21)</f>
        <v>313.325808076615</v>
      </c>
      <c r="V32" s="11" t="n">
        <f aca="false">V26*(1-Assumptions!$D$21)</f>
        <v>323.648538064861</v>
      </c>
      <c r="W32" s="11" t="n">
        <f aca="false">W26*(1-Assumptions!$D$21)</f>
        <v>333.999641596547</v>
      </c>
      <c r="X32" s="11" t="n">
        <f aca="false">X26*(1-Assumptions!$D$21)</f>
        <v>357.340155374136</v>
      </c>
      <c r="Y32" s="11" t="n">
        <f aca="false">Y26*(1-Assumptions!$D$21)</f>
        <v>453.767001269205</v>
      </c>
      <c r="Z32" s="11" t="n">
        <f aca="false">Z26*(1-Assumptions!$D$21)</f>
        <v>556.247055538293</v>
      </c>
      <c r="AA32" s="11" t="n">
        <f aca="false">AA26*(1-Assumptions!$D$21)</f>
        <v>586.943317967105</v>
      </c>
      <c r="AB32" s="11" t="n">
        <f aca="false">AB26*(1-Assumptions!$D$21)</f>
        <v>814.595483619857</v>
      </c>
      <c r="AC32" s="11" t="n">
        <f aca="false">AC26*(1-Assumptions!$D$21)</f>
        <v>826.661638102143</v>
      </c>
      <c r="AD32" s="11" t="n">
        <f aca="false">AD26*(1-Assumptions!$D$21)</f>
        <v>947.182957315222</v>
      </c>
      <c r="AE32" s="11" t="n">
        <f aca="false">AE26*(1-Assumptions!$D$21)</f>
        <v>1015.29861124688</v>
      </c>
      <c r="AF32" s="11" t="n">
        <f aca="false">AF26*(1-Assumptions!$D$21)</f>
        <v>1072.22602041338</v>
      </c>
      <c r="AG32" s="11" t="n">
        <f aca="false">AG26*(1-Assumptions!$D$21)</f>
        <v>1108.58286565781</v>
      </c>
      <c r="AH32" s="11" t="n">
        <f aca="false">AH26*(1-Assumptions!$D$21)</f>
        <v>1125.10711483643</v>
      </c>
      <c r="AI32" s="11" t="n">
        <f aca="false">AI26*(1-Assumptions!$D$21)</f>
        <v>1142.12477859577</v>
      </c>
      <c r="AJ32" s="11" t="n">
        <f aca="false">AJ26*(1-Assumptions!$D$21)</f>
        <v>1189.06700409748</v>
      </c>
      <c r="AK32" s="11" t="n">
        <f aca="false">AK26*(1-Assumptions!$D$21)</f>
        <v>1402.43090381968</v>
      </c>
      <c r="AL32" s="11" t="n">
        <f aca="false">AL26*(1-Assumptions!$D$21)</f>
        <v>1629.26489887286</v>
      </c>
      <c r="AM32" s="11" t="n">
        <f aca="false">AM26*(1-Assumptions!$D$21)</f>
        <v>1692.57533691928</v>
      </c>
    </row>
    <row r="33" customFormat="false" ht="15" hidden="false" customHeight="true" outlineLevel="0" collapsed="false">
      <c r="A33" s="5" t="s">
        <v>799</v>
      </c>
      <c r="B33" s="10" t="s">
        <v>64</v>
      </c>
      <c r="C33" s="12" t="n">
        <f aca="false">AM33</f>
        <v>96033.7932683594</v>
      </c>
      <c r="D33" s="11" t="n">
        <f aca="false">0+D25*(1-Assumptions!$D$21)-D31</f>
        <v>735.2713671875</v>
      </c>
      <c r="E33" s="11" t="n">
        <f aca="false">D33+E25*(1-Assumptions!$D$21)-E31</f>
        <v>1109.5913359375</v>
      </c>
      <c r="F33" s="11" t="n">
        <f aca="false">E33+F25*(1-Assumptions!$D$21)-F31</f>
        <v>3061.4026015625</v>
      </c>
      <c r="G33" s="11" t="n">
        <f aca="false">F33+G25*(1-Assumptions!$D$21)-G31</f>
        <v>4090.782515625</v>
      </c>
      <c r="H33" s="11" t="n">
        <f aca="false">G33+H25*(1-Assumptions!$D$21)-H31</f>
        <v>4852.7910234375</v>
      </c>
      <c r="I33" s="11" t="n">
        <f aca="false">H33+I25*(1-Assumptions!$D$21)-I31</f>
        <v>5213.742421875</v>
      </c>
      <c r="J33" s="11" t="n">
        <f aca="false">I33+J25*(1-Assumptions!$D$21)-J31</f>
        <v>5200.3738515625</v>
      </c>
      <c r="K33" s="11" t="n">
        <f aca="false">J33+K25*(1-Assumptions!$D$21)-K31</f>
        <v>5133.531</v>
      </c>
      <c r="L33" s="11" t="n">
        <f aca="false">K33+L25*(1-Assumptions!$D$21)-L31</f>
        <v>5454.3766875</v>
      </c>
      <c r="M33" s="11" t="n">
        <f aca="false">L33+M25*(1-Assumptions!$D$21)-M31</f>
        <v>8181.56503125</v>
      </c>
      <c r="N33" s="11" t="n">
        <f aca="false">M33+N25*(1-Assumptions!$D$21)-N31</f>
        <v>10882.016234375</v>
      </c>
      <c r="O33" s="11" t="n">
        <f aca="false">N33+O25*(1-Assumptions!$D$21)-O31</f>
        <v>10882.016234375</v>
      </c>
      <c r="P33" s="11" t="n">
        <f aca="false">O33+P25*(1-Assumptions!$D$21)-P31</f>
        <v>12297.970639974</v>
      </c>
      <c r="Q33" s="11" t="n">
        <f aca="false">P33+Q25*(1-Assumptions!$D$21)-Q31</f>
        <v>12304.2093061198</v>
      </c>
      <c r="R33" s="11" t="n">
        <f aca="false">Q33+R25*(1-Assumptions!$D$21)-R31</f>
        <v>18833.8646657552</v>
      </c>
      <c r="S33" s="11" t="n">
        <f aca="false">R33+S25*(1-Assumptions!$D$21)-S31</f>
        <v>21778.7378960937</v>
      </c>
      <c r="T33" s="11" t="n">
        <f aca="false">S33+T25*(1-Assumptions!$D$21)-T31</f>
        <v>23756.6178738281</v>
      </c>
      <c r="U33" s="11" t="n">
        <f aca="false">T33+U25*(1-Assumptions!$D$21)-U31</f>
        <v>24203.7965507812</v>
      </c>
      <c r="V33" s="11" t="n">
        <f aca="false">U33+V25*(1-Assumptions!$D$21)-V31</f>
        <v>23200.9309678385</v>
      </c>
      <c r="W33" s="11" t="n">
        <f aca="false">V33+W25*(1-Assumptions!$D$21)-W31</f>
        <v>22036.751303125</v>
      </c>
      <c r="X33" s="11" t="n">
        <f aca="false">W33+X25*(1-Assumptions!$D$21)-X31</f>
        <v>22523.3672625</v>
      </c>
      <c r="Y33" s="11" t="n">
        <f aca="false">X33+Y25*(1-Assumptions!$D$21)-Y31</f>
        <v>32996.3052453125</v>
      </c>
      <c r="Z33" s="11" t="n">
        <f aca="false">Y33+Z25*(1-Assumptions!$D$21)-Z31</f>
        <v>43709.4318747396</v>
      </c>
      <c r="AA33" s="11" t="n">
        <f aca="false">Z33+AA25*(1-Assumptions!$D$21)-AA31</f>
        <v>43709.4318747396</v>
      </c>
      <c r="AB33" s="11" t="n">
        <f aca="false">AA33+AB25*(1-Assumptions!$D$21)-AB31</f>
        <v>44023.0362533203</v>
      </c>
      <c r="AC33" s="11" t="n">
        <f aca="false">AB33+AC25*(1-Assumptions!$D$21)-AC31</f>
        <v>41312.3358129557</v>
      </c>
      <c r="AD33" s="11" t="n">
        <f aca="false">AC33+AD25*(1-Assumptions!$D$21)-AD31</f>
        <v>53274.7553380859</v>
      </c>
      <c r="AE33" s="11" t="n">
        <f aca="false">AD33+AE25*(1-Assumptions!$D$21)-AE31</f>
        <v>57579.992002474</v>
      </c>
      <c r="AF33" s="11" t="n">
        <f aca="false">AE33+AF25*(1-Assumptions!$D$21)-AF31</f>
        <v>59955.2527327474</v>
      </c>
      <c r="AG33" s="11" t="n">
        <f aca="false">AF33+AG25*(1-Assumptions!$D$21)-AG31</f>
        <v>59113.3670173177</v>
      </c>
      <c r="AH33" s="11" t="n">
        <f aca="false">AG33+AH25*(1-Assumptions!$D$21)-AH31</f>
        <v>55182.8959406901</v>
      </c>
      <c r="AI33" s="11" t="n">
        <f aca="false">AH33+AI25*(1-Assumptions!$D$21)-AI31</f>
        <v>50995.3026950521</v>
      </c>
      <c r="AJ33" s="11" t="n">
        <f aca="false">AI33+AJ25*(1-Assumptions!$D$21)-AJ31</f>
        <v>50604.9404419271</v>
      </c>
      <c r="AK33" s="11" t="n">
        <f aca="false">AJ33+AK25*(1-Assumptions!$D$21)-AK31</f>
        <v>72739.2823083334</v>
      </c>
      <c r="AL33" s="11" t="n">
        <f aca="false">AK33+AL25*(1-Assumptions!$D$21)-AL31</f>
        <v>96033.7932683594</v>
      </c>
      <c r="AM33" s="11" t="n">
        <f aca="false">AL33+AM25*(1-Assumptions!$D$21)-AM31</f>
        <v>96033.7932683594</v>
      </c>
    </row>
    <row r="34" customFormat="false" ht="15" hidden="false" customHeight="true" outlineLevel="0" collapsed="false">
      <c r="A34" s="5" t="s">
        <v>800</v>
      </c>
      <c r="B34" s="10" t="s">
        <v>100</v>
      </c>
      <c r="C34" s="21" t="n">
        <f aca="false">SUM(D34:AM34)</f>
        <v>18970.4678722542</v>
      </c>
      <c r="D34" s="20" t="n">
        <f aca="false">D19+D16+D20+D21</f>
        <v>23.4375</v>
      </c>
      <c r="E34" s="20" t="n">
        <f aca="false">E19+E16+E20+E21</f>
        <v>21.609375</v>
      </c>
      <c r="F34" s="20" t="n">
        <f aca="false">F19+F16+F20+F21</f>
        <v>77.09625</v>
      </c>
      <c r="G34" s="20" t="n">
        <f aca="false">G19+G16+G20+G21</f>
        <v>73.8723</v>
      </c>
      <c r="H34" s="20" t="n">
        <f aca="false">H19+H16+H20+H21</f>
        <v>80.234391</v>
      </c>
      <c r="I34" s="20" t="n">
        <f aca="false">I19+I16+I20+I21</f>
        <v>79.51563972</v>
      </c>
      <c r="J34" s="20" t="n">
        <f aca="false">J19+J16+J20+J21</f>
        <v>75.0856385424</v>
      </c>
      <c r="K34" s="20" t="n">
        <f aca="false">K19+K16+K20+K21</f>
        <v>76.616287459008</v>
      </c>
      <c r="L34" s="20" t="n">
        <f aca="false">L19+L16+L20+L21</f>
        <v>92.0869844622874</v>
      </c>
      <c r="M34" s="20" t="n">
        <f aca="false">M19+M16+M20+M21</f>
        <v>177.598150705304</v>
      </c>
      <c r="N34" s="20" t="n">
        <f aca="false">N19+N16+N20+N21</f>
        <v>217.99029864888</v>
      </c>
      <c r="O34" s="20" t="n">
        <f aca="false">O19+O16+O20+O21</f>
        <v>174.54482475697</v>
      </c>
      <c r="P34" s="20" t="n">
        <f aca="false">P19+P16+P20+P21</f>
        <v>222.178895026412</v>
      </c>
      <c r="Q34" s="20" t="n">
        <f aca="false">Q19+Q16+Q20+Q21</f>
        <v>201.885833424299</v>
      </c>
      <c r="R34" s="20" t="n">
        <f aca="false">R19+R16+R20+R21</f>
        <v>402.918248000355</v>
      </c>
      <c r="S34" s="20" t="n">
        <f aca="false">S19+S16+S20+S21</f>
        <v>374.387756910327</v>
      </c>
      <c r="T34" s="20" t="n">
        <f aca="false">T19+T16+T20+T21</f>
        <v>386.510017607501</v>
      </c>
      <c r="U34" s="20" t="n">
        <f aca="false">U19+U16+U20+U21</f>
        <v>373.070153698901</v>
      </c>
      <c r="V34" s="20" t="n">
        <f aca="false">V19+V16+V20+V21</f>
        <v>347.372353902989</v>
      </c>
      <c r="W34" s="20" t="n">
        <f aca="false">W19+W16+W20+W21</f>
        <v>346.248815590749</v>
      </c>
      <c r="X34" s="20" t="n">
        <f aca="false">X19+X16+X20+X21</f>
        <v>398.992504093489</v>
      </c>
      <c r="Y34" s="20" t="n">
        <f aca="false">Y19+Y16+Y20+Y21</f>
        <v>718.47732251601</v>
      </c>
      <c r="Z34" s="20" t="n">
        <f aca="false">Z19+Z16+Z20+Z21</f>
        <v>856.848199214729</v>
      </c>
      <c r="AA34" s="20" t="n">
        <f aca="false">AA19+AA16+AA20+AA21</f>
        <v>674.818468277551</v>
      </c>
      <c r="AB34" s="20" t="n">
        <f aca="false">AB19+AB16+AB20+AB21</f>
        <v>696.277912690347</v>
      </c>
      <c r="AC34" s="20" t="n">
        <f aca="false">AC19+AC16+AC20+AC21</f>
        <v>629.710054675119</v>
      </c>
      <c r="AD34" s="20" t="n">
        <f aca="false">AD19+AD16+AD20+AD21</f>
        <v>1031.62442217611</v>
      </c>
      <c r="AE34" s="20" t="n">
        <f aca="false">AE19+AE16+AE20+AE21</f>
        <v>941.235171527021</v>
      </c>
      <c r="AF34" s="20" t="n">
        <f aca="false">AF19+AF16+AF20+AF21</f>
        <v>944.157529679859</v>
      </c>
      <c r="AG34" s="20" t="n">
        <f aca="false">AG19+AG16+AG20+AG21</f>
        <v>896.368833555471</v>
      </c>
      <c r="AH34" s="20" t="n">
        <f aca="false">AH19+AH16+AH20+AH21</f>
        <v>826.663545621033</v>
      </c>
      <c r="AI34" s="20" t="n">
        <f aca="false">AI19+AI16+AI20+AI21</f>
        <v>812.00983697135</v>
      </c>
      <c r="AJ34" s="20" t="n">
        <f aca="false">AJ19+AJ16+AJ20+AJ21</f>
        <v>911.350690638642</v>
      </c>
      <c r="AK34" s="20" t="n">
        <f aca="false">AK19+AK16+AK20+AK21</f>
        <v>1567.85771351255</v>
      </c>
      <c r="AL34" s="20" t="n">
        <f aca="false">AL19+AL16+AL20+AL21</f>
        <v>1826.52019018155</v>
      </c>
      <c r="AM34" s="20" t="n">
        <f aca="false">AM19+AM16+AM20+AM21</f>
        <v>1413.29576246702</v>
      </c>
    </row>
    <row r="35" customFormat="false" ht="15" hidden="false" customHeight="true" outlineLevel="0" collapsed="false">
      <c r="A35" s="5" t="s">
        <v>801</v>
      </c>
      <c r="B35" s="10" t="s">
        <v>64</v>
      </c>
      <c r="C35" s="12" t="n">
        <f aca="false">SUM(D35:AM35)</f>
        <v>31949.3938254073</v>
      </c>
      <c r="D35" s="11" t="n">
        <f aca="false">Assumptions!$D$26*(Assumptions!$D$27*D27+Assumptions!$D$28*D34)+(1-Assumptions!$D$26)*Assumptions!$D$29*D27</f>
        <v>68.123898</v>
      </c>
      <c r="E35" s="11" t="n">
        <f aca="false">Assumptions!$D$26*(Assumptions!$D$27*E27+Assumptions!$D$28*E34)+(1-Assumptions!$D$26)*Assumptions!$D$29*E27</f>
        <v>46.5474899507813</v>
      </c>
      <c r="F35" s="11" t="n">
        <f aca="false">Assumptions!$D$26*(Assumptions!$D$27*F27+Assumptions!$D$28*F34)+(1-Assumptions!$D$26)*Assumptions!$D$29*F27</f>
        <v>199.383121733719</v>
      </c>
      <c r="G35" s="11" t="n">
        <f aca="false">Assumptions!$D$26*(Assumptions!$D$27*G27+Assumptions!$D$28*G34)+(1-Assumptions!$D$26)*Assumptions!$D$29*G27</f>
        <v>146.473978504459</v>
      </c>
      <c r="H35" s="11" t="n">
        <f aca="false">Assumptions!$D$26*(Assumptions!$D$27*H27+Assumptions!$D$28*H34)+(1-Assumptions!$D$26)*Assumptions!$D$29*H27</f>
        <v>141.210071379446</v>
      </c>
      <c r="I35" s="11" t="n">
        <f aca="false">Assumptions!$D$26*(Assumptions!$D$27*I27+Assumptions!$D$28*I34)+(1-Assumptions!$D$26)*Assumptions!$D$29*I27</f>
        <v>120.541316278434</v>
      </c>
      <c r="J35" s="11" t="n">
        <f aca="false">Assumptions!$D$26*(Assumptions!$D$27*J27+Assumptions!$D$28*J34)+(1-Assumptions!$D$26)*Assumptions!$D$29*J27</f>
        <v>97.0976645244404</v>
      </c>
      <c r="K35" s="11" t="n">
        <f aca="false">Assumptions!$D$26*(Assumptions!$D$27*K27+Assumptions!$D$28*K34)+(1-Assumptions!$D$26)*Assumptions!$D$29*K27</f>
        <v>98.3454600158914</v>
      </c>
      <c r="L35" s="11" t="n">
        <f aca="false">Assumptions!$D$26*(Assumptions!$D$27*L27+Assumptions!$D$28*L34)+(1-Assumptions!$D$26)*Assumptions!$D$29*L27</f>
        <v>140.378184735651</v>
      </c>
      <c r="M35" s="11" t="n">
        <f aca="false">Assumptions!$D$26*(Assumptions!$D$27*M27+Assumptions!$D$28*M34)+(1-Assumptions!$D$26)*Assumptions!$D$29*M27</f>
        <v>376.479457739924</v>
      </c>
      <c r="N35" s="11" t="n">
        <f aca="false">Assumptions!$D$26*(Assumptions!$D$27*N27+Assumptions!$D$28*N34)+(1-Assumptions!$D$26)*Assumptions!$D$29*N27</f>
        <v>427.157573690855</v>
      </c>
      <c r="O35" s="11" t="n">
        <f aca="false">Assumptions!$D$26*(Assumptions!$D$27*O27+Assumptions!$D$28*O34)+(1-Assumptions!$D$26)*Assumptions!$D$29*O27</f>
        <v>233.047117167774</v>
      </c>
      <c r="P35" s="11" t="n">
        <f aca="false">Assumptions!$D$26*(Assumptions!$D$27*P27+Assumptions!$D$28*P34)+(1-Assumptions!$D$26)*Assumptions!$D$29*P27</f>
        <v>376.977724958558</v>
      </c>
      <c r="Q35" s="11" t="n">
        <f aca="false">Assumptions!$D$26*(Assumptions!$D$27*Q27+Assumptions!$D$28*Q34)+(1-Assumptions!$D$26)*Assumptions!$D$29*Q27</f>
        <v>281.09841275921</v>
      </c>
      <c r="R35" s="11" t="n">
        <f aca="false">Assumptions!$D$26*(Assumptions!$D$27*R27+Assumptions!$D$28*R34)+(1-Assumptions!$D$26)*Assumptions!$D$29*R27</f>
        <v>880.669758763101</v>
      </c>
      <c r="S35" s="11" t="n">
        <f aca="false">Assumptions!$D$26*(Assumptions!$D$27*S27+Assumptions!$D$28*S34)+(1-Assumptions!$D$26)*Assumptions!$D$29*S27</f>
        <v>657.714290786714</v>
      </c>
      <c r="T35" s="11" t="n">
        <f aca="false">Assumptions!$D$26*(Assumptions!$D$27*T27+Assumptions!$D$28*T34)+(1-Assumptions!$D$26)*Assumptions!$D$29*T27</f>
        <v>627.548551279767</v>
      </c>
      <c r="U35" s="11" t="n">
        <f aca="false">Assumptions!$D$26*(Assumptions!$D$27*U27+Assumptions!$D$28*U34)+(1-Assumptions!$D$26)*Assumptions!$D$29*U27</f>
        <v>537.33541988988</v>
      </c>
      <c r="V35" s="11" t="n">
        <f aca="false">Assumptions!$D$26*(Assumptions!$D$27*V27+Assumptions!$D$28*V34)+(1-Assumptions!$D$26)*Assumptions!$D$29*V27</f>
        <v>437.64840044733</v>
      </c>
      <c r="W35" s="11" t="n">
        <f aca="false">Assumptions!$D$26*(Assumptions!$D$27*W27+Assumptions!$D$28*W34)+(1-Assumptions!$D$26)*Assumptions!$D$29*W27</f>
        <v>437.601430602147</v>
      </c>
      <c r="X35" s="11" t="n">
        <f aca="false">Assumptions!$D$26*(Assumptions!$D$27*X27+Assumptions!$D$28*X34)+(1-Assumptions!$D$26)*Assumptions!$D$29*X27</f>
        <v>600.202213450642</v>
      </c>
      <c r="Y35" s="11" t="n">
        <f aca="false">Assumptions!$D$26*(Assumptions!$D$27*Y27+Assumptions!$D$28*Y34)+(1-Assumptions!$D$26)*Assumptions!$D$29*Y27</f>
        <v>1533.79476431778</v>
      </c>
      <c r="Z35" s="11" t="n">
        <f aca="false">Assumptions!$D$26*(Assumptions!$D$27*Z27+Assumptions!$D$28*Z34)+(1-Assumptions!$D$26)*Assumptions!$D$29*Z27</f>
        <v>1722.84516248474</v>
      </c>
      <c r="AA35" s="11" t="n">
        <f aca="false">Assumptions!$D$26*(Assumptions!$D$27*AA27+Assumptions!$D$28*AA34)+(1-Assumptions!$D$26)*Assumptions!$D$29*AA27</f>
        <v>938.478138304539</v>
      </c>
      <c r="AB35" s="11" t="n">
        <f aca="false">Assumptions!$D$26*(Assumptions!$D$27*AB27+Assumptions!$D$28*AB34)+(1-Assumptions!$D$26)*Assumptions!$D$29*AB27</f>
        <v>1011.04662874624</v>
      </c>
      <c r="AC35" s="11" t="n">
        <f aca="false">Assumptions!$D$26*(Assumptions!$D$27*AC27+Assumptions!$D$28*AC34)+(1-Assumptions!$D$26)*Assumptions!$D$29*AC27</f>
        <v>783.971987893494</v>
      </c>
      <c r="AD35" s="11" t="n">
        <f aca="false">Assumptions!$D$26*(Assumptions!$D$27*AD27+Assumptions!$D$28*AD34)+(1-Assumptions!$D$26)*Assumptions!$D$29*AD27</f>
        <v>2072.38016950791</v>
      </c>
      <c r="AE35" s="11" t="n">
        <f aca="false">Assumptions!$D$26*(Assumptions!$D$27*AE27+Assumptions!$D$28*AE34)+(1-Assumptions!$D$26)*Assumptions!$D$29*AE27</f>
        <v>1562.18738009543</v>
      </c>
      <c r="AF35" s="11" t="n">
        <f aca="false">Assumptions!$D$26*(Assumptions!$D$27*AF27+Assumptions!$D$28*AF34)+(1-Assumptions!$D$26)*Assumptions!$D$29*AF27</f>
        <v>1478.44336310622</v>
      </c>
      <c r="AG35" s="11" t="n">
        <f aca="false">Assumptions!$D$26*(Assumptions!$D$27*AG27+Assumptions!$D$28*AG34)+(1-Assumptions!$D$26)*Assumptions!$D$29*AG27</f>
        <v>1266.66668884167</v>
      </c>
      <c r="AH35" s="11" t="n">
        <f aca="false">Assumptions!$D$26*(Assumptions!$D$27*AH27+Assumptions!$D$28*AH34)+(1-Assumptions!$D$26)*Assumptions!$D$29*AH27</f>
        <v>1037.66265396712</v>
      </c>
      <c r="AI35" s="11" t="n">
        <f aca="false">Assumptions!$D$26*(Assumptions!$D$27*AI27+Assumptions!$D$28*AI34)+(1-Assumptions!$D$26)*Assumptions!$D$29*AI27</f>
        <v>1028.37137302779</v>
      </c>
      <c r="AJ35" s="11" t="n">
        <f aca="false">Assumptions!$D$26*(Assumptions!$D$27*AJ27+Assumptions!$D$28*AJ34)+(1-Assumptions!$D$26)*Assumptions!$D$29*AJ27</f>
        <v>1373.39996321458</v>
      </c>
      <c r="AK35" s="11" t="n">
        <f aca="false">Assumptions!$D$26*(Assumptions!$D$27*AK27+Assumptions!$D$28*AK34)+(1-Assumptions!$D$26)*Assumptions!$D$29*AK27</f>
        <v>3392.01547405813</v>
      </c>
      <c r="AL35" s="11" t="n">
        <f aca="false">Assumptions!$D$26*(Assumptions!$D$27*AL27+Assumptions!$D$28*AL34)+(1-Assumptions!$D$26)*Assumptions!$D$29*AL27</f>
        <v>3774.87097733578</v>
      </c>
      <c r="AM35" s="11" t="n">
        <f aca="false">Assumptions!$D$26*(Assumptions!$D$27*AM27+Assumptions!$D$28*AM34)+(1-Assumptions!$D$26)*Assumptions!$D$29*AM27</f>
        <v>2041.67756384713</v>
      </c>
    </row>
    <row r="36" customFormat="false" ht="15" hidden="false" customHeight="true" outlineLevel="0" collapsed="false">
      <c r="A36" s="5" t="s">
        <v>802</v>
      </c>
      <c r="B36" s="10" t="s">
        <v>64</v>
      </c>
      <c r="C36" s="12" t="n">
        <f aca="false">SUM(D36:AM36)</f>
        <v>375656.09239519</v>
      </c>
      <c r="D36" s="11" t="n">
        <f aca="false">D29*Assumptions!$D$26+0*(1-Assumptions!$D$26)</f>
        <v>561.605265</v>
      </c>
      <c r="E36" s="11" t="n">
        <f aca="false">E29*Assumptions!$D$26+D29*(1-Assumptions!$D$26)</f>
        <v>676.493567742188</v>
      </c>
      <c r="F36" s="11" t="n">
        <f aca="false">F29*Assumptions!$D$26+E29*(1-Assumptions!$D$26)</f>
        <v>1830.47715831938</v>
      </c>
      <c r="G36" s="11" t="n">
        <f aca="false">G29*Assumptions!$D$26+F29*(1-Assumptions!$D$26)</f>
        <v>2044.23313497945</v>
      </c>
      <c r="H36" s="11" t="n">
        <f aca="false">H29*Assumptions!$D$26+G29*(1-Assumptions!$D$26)</f>
        <v>1737.99182871453</v>
      </c>
      <c r="I36" s="11" t="n">
        <f aca="false">I29*Assumptions!$D$26+H29*(1-Assumptions!$D$26)</f>
        <v>1525.63633864362</v>
      </c>
      <c r="J36" s="11" t="n">
        <f aca="false">J29*Assumptions!$D$26+I29*(1-Assumptions!$D$26)</f>
        <v>1228.425069039</v>
      </c>
      <c r="K36" s="11" t="n">
        <f aca="false">K29*Assumptions!$D$26+J29*(1-Assumptions!$D$26)</f>
        <v>1129.37395456338</v>
      </c>
      <c r="L36" s="11" t="n">
        <f aca="false">L29*Assumptions!$D$26+K29*(1-Assumptions!$D$26)</f>
        <v>1478.66397839581</v>
      </c>
      <c r="M36" s="11" t="n">
        <f aca="false">M29*Assumptions!$D$26+L29*(1-Assumptions!$D$26)</f>
        <v>3603.32241906196</v>
      </c>
      <c r="N36" s="11" t="n">
        <f aca="false">N29*Assumptions!$D$26+M29*(1-Assumptions!$D$26)</f>
        <v>5025.631707072</v>
      </c>
      <c r="O36" s="11" t="n">
        <f aca="false">O29*Assumptions!$D$26+N29*(1-Assumptions!$D$26)</f>
        <v>3588.85565598062</v>
      </c>
      <c r="P36" s="11" t="n">
        <f aca="false">P29*Assumptions!$D$26+O29*(1-Assumptions!$D$26)</f>
        <v>3895.33718861384</v>
      </c>
      <c r="Q36" s="11" t="n">
        <f aca="false">Q29*Assumptions!$D$26+P29*(1-Assumptions!$D$26)</f>
        <v>3723.70469607838</v>
      </c>
      <c r="R36" s="11" t="n">
        <f aca="false">R29*Assumptions!$D$26+Q29*(1-Assumptions!$D$26)</f>
        <v>8238.15074770274</v>
      </c>
      <c r="S36" s="11" t="n">
        <f aca="false">S29*Assumptions!$D$26+R29*(1-Assumptions!$D$26)</f>
        <v>8983.48997035907</v>
      </c>
      <c r="T36" s="11" t="n">
        <f aca="false">T29*Assumptions!$D$26+S29*(1-Assumptions!$D$26)</f>
        <v>7661.63304046711</v>
      </c>
      <c r="U36" s="11" t="n">
        <f aca="false">U29*Assumptions!$D$26+T29*(1-Assumptions!$D$26)</f>
        <v>6732.82050788359</v>
      </c>
      <c r="V36" s="11" t="n">
        <f aca="false">V29*Assumptions!$D$26+U29*(1-Assumptions!$D$26)</f>
        <v>5479.41068259168</v>
      </c>
      <c r="W36" s="11" t="n">
        <f aca="false">W29*Assumptions!$D$26+V29*(1-Assumptions!$D$26)</f>
        <v>5030.4413375251</v>
      </c>
      <c r="X36" s="11" t="n">
        <f aca="false">X29*Assumptions!$D$26+W29*(1-Assumptions!$D$26)</f>
        <v>6377.23213957782</v>
      </c>
      <c r="Y36" s="11" t="n">
        <f aca="false">Y29*Assumptions!$D$26+X29*(1-Assumptions!$D$26)</f>
        <v>14801.3589138972</v>
      </c>
      <c r="Z36" s="11" t="n">
        <f aca="false">Z29*Assumptions!$D$26+Y29*(1-Assumptions!$D$26)</f>
        <v>20379.3252770245</v>
      </c>
      <c r="AA36" s="11" t="n">
        <f aca="false">AA29*Assumptions!$D$26+Z29*(1-Assumptions!$D$26)</f>
        <v>14532.9174818152</v>
      </c>
      <c r="AB36" s="11" t="n">
        <f aca="false">AB29*Assumptions!$D$26+AA29*(1-Assumptions!$D$26)</f>
        <v>11573.9022994009</v>
      </c>
      <c r="AC36" s="11" t="n">
        <f aca="false">AC29*Assumptions!$D$26+AB29*(1-Assumptions!$D$26)</f>
        <v>10007.4008880749</v>
      </c>
      <c r="AD36" s="11" t="n">
        <f aca="false">AD29*Assumptions!$D$26+AC29*(1-Assumptions!$D$26)</f>
        <v>19681.4318601886</v>
      </c>
      <c r="AE36" s="11" t="n">
        <f aca="false">AE29*Assumptions!$D$26+AD29*(1-Assumptions!$D$26)</f>
        <v>21086.3851946415</v>
      </c>
      <c r="AF36" s="11" t="n">
        <f aca="false">AF29*Assumptions!$D$26+AE29*(1-Assumptions!$D$26)</f>
        <v>17997.578509566</v>
      </c>
      <c r="AG36" s="11" t="n">
        <f aca="false">AG29*Assumptions!$D$26+AF29*(1-Assumptions!$D$26)</f>
        <v>15807.3296855928</v>
      </c>
      <c r="AH36" s="11" t="n">
        <f aca="false">AH29*Assumptions!$D$26+AG29*(1-Assumptions!$D$26)</f>
        <v>12940.456485064</v>
      </c>
      <c r="AI36" s="11" t="n">
        <f aca="false">AI29*Assumptions!$D$26+AH29*(1-Assumptions!$D$26)</f>
        <v>11858.6243714905</v>
      </c>
      <c r="AJ36" s="11" t="n">
        <f aca="false">AJ29*Assumptions!$D$26+AI29*(1-Assumptions!$D$26)</f>
        <v>14705.7517544546</v>
      </c>
      <c r="AK36" s="11" t="n">
        <f aca="false">AK29*Assumptions!$D$26+AJ29*(1-Assumptions!$D$26)</f>
        <v>32961.9784663758</v>
      </c>
      <c r="AL36" s="11" t="n">
        <f aca="false">AL29*Assumptions!$D$26+AK29*(1-Assumptions!$D$26)</f>
        <v>44895.349870943</v>
      </c>
      <c r="AM36" s="11" t="n">
        <f aca="false">AM29*Assumptions!$D$26+AL29*(1-Assumptions!$D$26)</f>
        <v>31873.370948349</v>
      </c>
    </row>
    <row r="37" customFormat="false" ht="15" hidden="false" customHeight="true" outlineLevel="0" collapsed="false">
      <c r="A37" s="5" t="s">
        <v>803</v>
      </c>
      <c r="B37" s="10" t="s">
        <v>64</v>
      </c>
      <c r="C37" s="12" t="n">
        <f aca="false">AM37</f>
        <v>8403.44527275934</v>
      </c>
      <c r="D37" s="11" t="n">
        <f aca="false">0+D29-D36</f>
        <v>302.402835</v>
      </c>
      <c r="E37" s="11" t="n">
        <f aca="false">D37+E29-E36</f>
        <v>201.433471476563</v>
      </c>
      <c r="F37" s="11" t="n">
        <f aca="false">E37+F29-F36</f>
        <v>877.177369838438</v>
      </c>
      <c r="G37" s="11" t="n">
        <f aca="false">F37+G29-G36</f>
        <v>628.414642768237</v>
      </c>
      <c r="H37" s="11" t="n">
        <f aca="false">G37+H29-H36</f>
        <v>597.464638586466</v>
      </c>
      <c r="I37" s="11" t="n">
        <f aca="false">H37+I29-I36</f>
        <v>499.784761569236</v>
      </c>
      <c r="J37" s="11" t="n">
        <f aca="false">I37+J29-J36</f>
        <v>392.34478094526</v>
      </c>
      <c r="K37" s="11" t="n">
        <f aca="false">J37+K29-K36</f>
        <v>396.861862717451</v>
      </c>
      <c r="L37" s="11" t="n">
        <f aca="false">K37+L29-L36</f>
        <v>582.508831519118</v>
      </c>
      <c r="M37" s="11" t="n">
        <f aca="false">L37+M29-M36</f>
        <v>1626.59193175384</v>
      </c>
      <c r="N37" s="11" t="n">
        <f aca="false">M37+N29-N36</f>
        <v>1830.25218670978</v>
      </c>
      <c r="O37" s="11" t="n">
        <f aca="false">N37+O29-O36</f>
        <v>946.940329607374</v>
      </c>
      <c r="P37" s="11" t="n">
        <f aca="false">O37+P29-P36</f>
        <v>1587.59830869579</v>
      </c>
      <c r="Q37" s="11" t="n">
        <f aca="false">P37+Q29-Q36</f>
        <v>1150.21113166755</v>
      </c>
      <c r="R37" s="11" t="n">
        <f aca="false">Q37+R29-R36</f>
        <v>3816.5828701728</v>
      </c>
      <c r="S37" s="11" t="n">
        <f aca="false">R37+S29-S36</f>
        <v>2782.18074625415</v>
      </c>
      <c r="T37" s="11" t="n">
        <f aca="false">S37+T29-T36</f>
        <v>2627.3973891916</v>
      </c>
      <c r="U37" s="11" t="n">
        <f aca="false">T37+U29-U36</f>
        <v>2210.61244852646</v>
      </c>
      <c r="V37" s="11" t="n">
        <f aca="false">U37+V29-V36</f>
        <v>1760.12212603512</v>
      </c>
      <c r="W37" s="11" t="n">
        <f aca="false">V37+W29-W36</f>
        <v>1760.94111387922</v>
      </c>
      <c r="X37" s="11" t="n">
        <f aca="false">W37+X29-X36</f>
        <v>2485.69516768387</v>
      </c>
      <c r="Y37" s="11" t="n">
        <f aca="false">X37+Y29-Y36</f>
        <v>6631.51124796103</v>
      </c>
      <c r="Z37" s="11" t="n">
        <f aca="false">Y37+Z29-Z36</f>
        <v>7402.66909257262</v>
      </c>
      <c r="AA37" s="11" t="n">
        <f aca="false">Z37+AA29-AA36</f>
        <v>3839.36451728446</v>
      </c>
      <c r="AB37" s="11" t="n">
        <f aca="false">AA37+AB29-AB36</f>
        <v>4164.75111344731</v>
      </c>
      <c r="AC37" s="11" t="n">
        <f aca="false">AB37+AC29-AC36</f>
        <v>3146.04218633793</v>
      </c>
      <c r="AD37" s="11" t="n">
        <f aca="false">AC37+AD29-AD36</f>
        <v>8903.67136284265</v>
      </c>
      <c r="AE37" s="11" t="n">
        <f aca="false">AD37+AE29-AE36</f>
        <v>6559.92283250708</v>
      </c>
      <c r="AF37" s="11" t="n">
        <f aca="false">AE37+AF29-AF36</f>
        <v>6158.73767226251</v>
      </c>
      <c r="AG37" s="11" t="n">
        <f aca="false">AF37+AG29-AG36</f>
        <v>5195.39569948551</v>
      </c>
      <c r="AH37" s="11" t="n">
        <f aca="false">AG37+AH29-AH36</f>
        <v>4170.41734608073</v>
      </c>
      <c r="AI37" s="11" t="n">
        <f aca="false">AH37+AI29-AI36</f>
        <v>4139.80378291296</v>
      </c>
      <c r="AJ37" s="11" t="n">
        <f aca="false">AI37+AJ29-AJ36</f>
        <v>5689.35660006089</v>
      </c>
      <c r="AK37" s="11" t="n">
        <f aca="false">AJ37+AK29-AK36</f>
        <v>14685.2579280157</v>
      </c>
      <c r="AL37" s="11" t="n">
        <f aca="false">AK37+AL29-AL36</f>
        <v>16266.9725846532</v>
      </c>
      <c r="AM37" s="11" t="n">
        <f aca="false">AL37+AM29-AM36</f>
        <v>8403.44527275934</v>
      </c>
    </row>
    <row r="39" customFormat="false" ht="15" hidden="false" customHeight="true" outlineLevel="0" collapsed="false">
      <c r="A39" s="8" t="s">
        <v>804</v>
      </c>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row>
    <row r="40" customFormat="false" ht="15" hidden="false" customHeight="true" outlineLevel="0" collapsed="false">
      <c r="A40" s="5" t="s">
        <v>805</v>
      </c>
      <c r="B40" s="10" t="s">
        <v>777</v>
      </c>
      <c r="C40" s="57"/>
      <c r="D40" s="53" t="n">
        <f aca="false">INDEX(Assumptions!$E$180:$E$191,D$6)</f>
        <v>0.6</v>
      </c>
      <c r="E40" s="53" t="n">
        <f aca="false">INDEX(Assumptions!$E$180:$E$191,E$6)</f>
        <v>0.5</v>
      </c>
      <c r="F40" s="53" t="n">
        <f aca="false">INDEX(Assumptions!$E$180:$E$191,F$6)</f>
        <v>0.9</v>
      </c>
      <c r="G40" s="53" t="n">
        <f aca="false">INDEX(Assumptions!$E$180:$E$191,G$6)</f>
        <v>1</v>
      </c>
      <c r="H40" s="53" t="n">
        <f aca="false">INDEX(Assumptions!$E$180:$E$191,H$6)</f>
        <v>1.4</v>
      </c>
      <c r="I40" s="53" t="n">
        <f aca="false">INDEX(Assumptions!$E$180:$E$191,I$6)</f>
        <v>1.6</v>
      </c>
      <c r="J40" s="53" t="n">
        <f aca="false">INDEX(Assumptions!$E$180:$E$191,J$6)</f>
        <v>1.8</v>
      </c>
      <c r="K40" s="53" t="n">
        <f aca="false">INDEX(Assumptions!$E$180:$E$191,K$6)</f>
        <v>1.7</v>
      </c>
      <c r="L40" s="53" t="n">
        <f aca="false">INDEX(Assumptions!$E$180:$E$191,L$6)</f>
        <v>1</v>
      </c>
      <c r="M40" s="53" t="n">
        <f aca="false">INDEX(Assumptions!$E$180:$E$191,M$6)</f>
        <v>0.5</v>
      </c>
      <c r="N40" s="53" t="n">
        <f aca="false">INDEX(Assumptions!$E$180:$E$191,N$6)</f>
        <v>0.4</v>
      </c>
      <c r="O40" s="53" t="n">
        <f aca="false">INDEX(Assumptions!$E$180:$E$191,O$6)</f>
        <v>0.6</v>
      </c>
      <c r="P40" s="53" t="n">
        <f aca="false">INDEX(Assumptions!$E$180:$E$191,P$6)</f>
        <v>0.6</v>
      </c>
      <c r="Q40" s="53" t="n">
        <f aca="false">INDEX(Assumptions!$E$180:$E$191,Q$6)</f>
        <v>0.5</v>
      </c>
      <c r="R40" s="53" t="n">
        <f aca="false">INDEX(Assumptions!$E$180:$E$191,R$6)</f>
        <v>0.9</v>
      </c>
      <c r="S40" s="53" t="n">
        <f aca="false">INDEX(Assumptions!$E$180:$E$191,S$6)</f>
        <v>1</v>
      </c>
      <c r="T40" s="53" t="n">
        <f aca="false">INDEX(Assumptions!$E$180:$E$191,T$6)</f>
        <v>1.4</v>
      </c>
      <c r="U40" s="53" t="n">
        <f aca="false">INDEX(Assumptions!$E$180:$E$191,U$6)</f>
        <v>1.6</v>
      </c>
      <c r="V40" s="53" t="n">
        <f aca="false">INDEX(Assumptions!$E$180:$E$191,V$6)</f>
        <v>1.8</v>
      </c>
      <c r="W40" s="53" t="n">
        <f aca="false">INDEX(Assumptions!$E$180:$E$191,W$6)</f>
        <v>1.7</v>
      </c>
      <c r="X40" s="53" t="n">
        <f aca="false">INDEX(Assumptions!$E$180:$E$191,X$6)</f>
        <v>1</v>
      </c>
      <c r="Y40" s="53" t="n">
        <f aca="false">INDEX(Assumptions!$E$180:$E$191,Y$6)</f>
        <v>0.5</v>
      </c>
      <c r="Z40" s="53" t="n">
        <f aca="false">INDEX(Assumptions!$E$180:$E$191,Z$6)</f>
        <v>0.4</v>
      </c>
      <c r="AA40" s="53" t="n">
        <f aca="false">INDEX(Assumptions!$E$180:$E$191,AA$6)</f>
        <v>0.6</v>
      </c>
      <c r="AB40" s="53" t="n">
        <f aca="false">INDEX(Assumptions!$E$180:$E$191,AB$6)</f>
        <v>0.6</v>
      </c>
      <c r="AC40" s="53" t="n">
        <f aca="false">INDEX(Assumptions!$E$180:$E$191,AC$6)</f>
        <v>0.5</v>
      </c>
      <c r="AD40" s="53" t="n">
        <f aca="false">INDEX(Assumptions!$E$180:$E$191,AD$6)</f>
        <v>0.9</v>
      </c>
      <c r="AE40" s="53" t="n">
        <f aca="false">INDEX(Assumptions!$E$180:$E$191,AE$6)</f>
        <v>1</v>
      </c>
      <c r="AF40" s="53" t="n">
        <f aca="false">INDEX(Assumptions!$E$180:$E$191,AF$6)</f>
        <v>1.4</v>
      </c>
      <c r="AG40" s="53" t="n">
        <f aca="false">INDEX(Assumptions!$E$180:$E$191,AG$6)</f>
        <v>1.6</v>
      </c>
      <c r="AH40" s="53" t="n">
        <f aca="false">INDEX(Assumptions!$E$180:$E$191,AH$6)</f>
        <v>1.8</v>
      </c>
      <c r="AI40" s="53" t="n">
        <f aca="false">INDEX(Assumptions!$E$180:$E$191,AI$6)</f>
        <v>1.7</v>
      </c>
      <c r="AJ40" s="53" t="n">
        <f aca="false">INDEX(Assumptions!$E$180:$E$191,AJ$6)</f>
        <v>1</v>
      </c>
      <c r="AK40" s="53" t="n">
        <f aca="false">INDEX(Assumptions!$E$180:$E$191,AK$6)</f>
        <v>0.5</v>
      </c>
      <c r="AL40" s="53" t="n">
        <f aca="false">INDEX(Assumptions!$E$180:$E$191,AL$6)</f>
        <v>0.4</v>
      </c>
      <c r="AM40" s="53" t="n">
        <f aca="false">INDEX(Assumptions!$E$180:$E$191,AM$6)</f>
        <v>0.6</v>
      </c>
    </row>
    <row r="41" customFormat="false" ht="15" hidden="false" customHeight="true" outlineLevel="0" collapsed="false">
      <c r="A41" s="5" t="s">
        <v>806</v>
      </c>
      <c r="B41" s="10" t="s">
        <v>100</v>
      </c>
      <c r="C41" s="57" t="n">
        <f aca="false">SUM(D41:AM41)</f>
        <v>28</v>
      </c>
      <c r="D41" s="53" t="n">
        <f aca="false">(INDEX(Assumptions!$D$34:$F$34,1,D$5)*D40/12*Scenario_Control!$M$10)*IF(OR(Scenario_Control!$M$25=0,D$3&gt;=Assumptions!$D$231+Scenario_Control!$M$26),1,0)</f>
        <v>0.2</v>
      </c>
      <c r="E41" s="53" t="n">
        <f aca="false">(INDEX(Assumptions!$D$34:$F$34,1,E$5)*E40/12*Scenario_Control!$M$10)*IF(OR(Scenario_Control!$M$25=0,E$3&gt;=Assumptions!$D$231+Scenario_Control!$M$26),1,0)</f>
        <v>0.166666666666667</v>
      </c>
      <c r="F41" s="53" t="n">
        <f aca="false">(INDEX(Assumptions!$D$34:$F$34,1,F$5)*F40/12*Scenario_Control!$M$10)*IF(OR(Scenario_Control!$M$25=0,F$3&gt;=Assumptions!$D$231+Scenario_Control!$M$26),1,0)</f>
        <v>0.3</v>
      </c>
      <c r="G41" s="53" t="n">
        <f aca="false">(INDEX(Assumptions!$D$34:$F$34,1,G$5)*G40/12*Scenario_Control!$M$10)*IF(OR(Scenario_Control!$M$25=0,G$3&gt;=Assumptions!$D$231+Scenario_Control!$M$26),1,0)</f>
        <v>0.333333333333333</v>
      </c>
      <c r="H41" s="53" t="n">
        <f aca="false">(INDEX(Assumptions!$D$34:$F$34,1,H$5)*H40/12*Scenario_Control!$M$10)*IF(OR(Scenario_Control!$M$25=0,H$3&gt;=Assumptions!$D$231+Scenario_Control!$M$26),1,0)</f>
        <v>0.466666666666667</v>
      </c>
      <c r="I41" s="53" t="n">
        <f aca="false">(INDEX(Assumptions!$D$34:$F$34,1,I$5)*I40/12*Scenario_Control!$M$10)*IF(OR(Scenario_Control!$M$25=0,I$3&gt;=Assumptions!$D$231+Scenario_Control!$M$26),1,0)</f>
        <v>0.533333333333333</v>
      </c>
      <c r="J41" s="53" t="n">
        <f aca="false">(INDEX(Assumptions!$D$34:$F$34,1,J$5)*J40/12*Scenario_Control!$M$10)*IF(OR(Scenario_Control!$M$25=0,J$3&gt;=Assumptions!$D$231+Scenario_Control!$M$26),1,0)</f>
        <v>0.6</v>
      </c>
      <c r="K41" s="53" t="n">
        <f aca="false">(INDEX(Assumptions!$D$34:$F$34,1,K$5)*K40/12*Scenario_Control!$M$10)*IF(OR(Scenario_Control!$M$25=0,K$3&gt;=Assumptions!$D$231+Scenario_Control!$M$26),1,0)</f>
        <v>0.566666666666667</v>
      </c>
      <c r="L41" s="53" t="n">
        <f aca="false">(INDEX(Assumptions!$D$34:$F$34,1,L$5)*L40/12*Scenario_Control!$M$10)*IF(OR(Scenario_Control!$M$25=0,L$3&gt;=Assumptions!$D$231+Scenario_Control!$M$26),1,0)</f>
        <v>0.333333333333333</v>
      </c>
      <c r="M41" s="53" t="n">
        <f aca="false">(INDEX(Assumptions!$D$34:$F$34,1,M$5)*M40/12*Scenario_Control!$M$10)*IF(OR(Scenario_Control!$M$25=0,M$3&gt;=Assumptions!$D$231+Scenario_Control!$M$26),1,0)</f>
        <v>0.166666666666667</v>
      </c>
      <c r="N41" s="53" t="n">
        <f aca="false">(INDEX(Assumptions!$D$34:$F$34,1,N$5)*N40/12*Scenario_Control!$M$10)*IF(OR(Scenario_Control!$M$25=0,N$3&gt;=Assumptions!$D$231+Scenario_Control!$M$26),1,0)</f>
        <v>0.133333333333333</v>
      </c>
      <c r="O41" s="53" t="n">
        <f aca="false">(INDEX(Assumptions!$D$34:$F$34,1,O$5)*O40/12*Scenario_Control!$M$10)*IF(OR(Scenario_Control!$M$25=0,O$3&gt;=Assumptions!$D$231+Scenario_Control!$M$26),1,0)</f>
        <v>0.2</v>
      </c>
      <c r="P41" s="53" t="n">
        <f aca="false">(INDEX(Assumptions!$D$34:$F$34,1,P$5)*P40/12*Scenario_Control!$M$10)*IF(OR(Scenario_Control!$M$25=0,P$3&gt;=Assumptions!$D$231+Scenario_Control!$M$26),1,0)</f>
        <v>0.5</v>
      </c>
      <c r="Q41" s="53" t="n">
        <f aca="false">(INDEX(Assumptions!$D$34:$F$34,1,Q$5)*Q40/12*Scenario_Control!$M$10)*IF(OR(Scenario_Control!$M$25=0,Q$3&gt;=Assumptions!$D$231+Scenario_Control!$M$26),1,0)</f>
        <v>0.416666666666667</v>
      </c>
      <c r="R41" s="53" t="n">
        <f aca="false">(INDEX(Assumptions!$D$34:$F$34,1,R$5)*R40/12*Scenario_Control!$M$10)*IF(OR(Scenario_Control!$M$25=0,R$3&gt;=Assumptions!$D$231+Scenario_Control!$M$26),1,0)</f>
        <v>0.75</v>
      </c>
      <c r="S41" s="53" t="n">
        <f aca="false">(INDEX(Assumptions!$D$34:$F$34,1,S$5)*S40/12*Scenario_Control!$M$10)*IF(OR(Scenario_Control!$M$25=0,S$3&gt;=Assumptions!$D$231+Scenario_Control!$M$26),1,0)</f>
        <v>0.833333333333333</v>
      </c>
      <c r="T41" s="53" t="n">
        <f aca="false">(INDEX(Assumptions!$D$34:$F$34,1,T$5)*T40/12*Scenario_Control!$M$10)*IF(OR(Scenario_Control!$M$25=0,T$3&gt;=Assumptions!$D$231+Scenario_Control!$M$26),1,0)</f>
        <v>1.16666666666667</v>
      </c>
      <c r="U41" s="53" t="n">
        <f aca="false">(INDEX(Assumptions!$D$34:$F$34,1,U$5)*U40/12*Scenario_Control!$M$10)*IF(OR(Scenario_Control!$M$25=0,U$3&gt;=Assumptions!$D$231+Scenario_Control!$M$26),1,0)</f>
        <v>1.33333333333333</v>
      </c>
      <c r="V41" s="53" t="n">
        <f aca="false">(INDEX(Assumptions!$D$34:$F$34,1,V$5)*V40/12*Scenario_Control!$M$10)*IF(OR(Scenario_Control!$M$25=0,V$3&gt;=Assumptions!$D$231+Scenario_Control!$M$26),1,0)</f>
        <v>1.5</v>
      </c>
      <c r="W41" s="53" t="n">
        <f aca="false">(INDEX(Assumptions!$D$34:$F$34,1,W$5)*W40/12*Scenario_Control!$M$10)*IF(OR(Scenario_Control!$M$25=0,W$3&gt;=Assumptions!$D$231+Scenario_Control!$M$26),1,0)</f>
        <v>1.41666666666667</v>
      </c>
      <c r="X41" s="53" t="n">
        <f aca="false">(INDEX(Assumptions!$D$34:$F$34,1,X$5)*X40/12*Scenario_Control!$M$10)*IF(OR(Scenario_Control!$M$25=0,X$3&gt;=Assumptions!$D$231+Scenario_Control!$M$26),1,0)</f>
        <v>0.833333333333333</v>
      </c>
      <c r="Y41" s="53" t="n">
        <f aca="false">(INDEX(Assumptions!$D$34:$F$34,1,Y$5)*Y40/12*Scenario_Control!$M$10)*IF(OR(Scenario_Control!$M$25=0,Y$3&gt;=Assumptions!$D$231+Scenario_Control!$M$26),1,0)</f>
        <v>0.416666666666667</v>
      </c>
      <c r="Z41" s="53" t="n">
        <f aca="false">(INDEX(Assumptions!$D$34:$F$34,1,Z$5)*Z40/12*Scenario_Control!$M$10)*IF(OR(Scenario_Control!$M$25=0,Z$3&gt;=Assumptions!$D$231+Scenario_Control!$M$26),1,0)</f>
        <v>0.333333333333333</v>
      </c>
      <c r="AA41" s="53" t="n">
        <f aca="false">(INDEX(Assumptions!$D$34:$F$34,1,AA$5)*AA40/12*Scenario_Control!$M$10)*IF(OR(Scenario_Control!$M$25=0,AA$3&gt;=Assumptions!$D$231+Scenario_Control!$M$26),1,0)</f>
        <v>0.5</v>
      </c>
      <c r="AB41" s="53" t="n">
        <f aca="false">(INDEX(Assumptions!$D$34:$F$34,1,AB$5)*AB40/12*Scenario_Control!$M$10)*IF(OR(Scenario_Control!$M$25=0,AB$3&gt;=Assumptions!$D$231+Scenario_Control!$M$26),1,0)</f>
        <v>0.7</v>
      </c>
      <c r="AC41" s="53" t="n">
        <f aca="false">(INDEX(Assumptions!$D$34:$F$34,1,AC$5)*AC40/12*Scenario_Control!$M$10)*IF(OR(Scenario_Control!$M$25=0,AC$3&gt;=Assumptions!$D$231+Scenario_Control!$M$26),1,0)</f>
        <v>0.583333333333333</v>
      </c>
      <c r="AD41" s="53" t="n">
        <f aca="false">(INDEX(Assumptions!$D$34:$F$34,1,AD$5)*AD40/12*Scenario_Control!$M$10)*IF(OR(Scenario_Control!$M$25=0,AD$3&gt;=Assumptions!$D$231+Scenario_Control!$M$26),1,0)</f>
        <v>1.05</v>
      </c>
      <c r="AE41" s="53" t="n">
        <f aca="false">(INDEX(Assumptions!$D$34:$F$34,1,AE$5)*AE40/12*Scenario_Control!$M$10)*IF(OR(Scenario_Control!$M$25=0,AE$3&gt;=Assumptions!$D$231+Scenario_Control!$M$26),1,0)</f>
        <v>1.16666666666667</v>
      </c>
      <c r="AF41" s="53" t="n">
        <f aca="false">(INDEX(Assumptions!$D$34:$F$34,1,AF$5)*AF40/12*Scenario_Control!$M$10)*IF(OR(Scenario_Control!$M$25=0,AF$3&gt;=Assumptions!$D$231+Scenario_Control!$M$26),1,0)</f>
        <v>1.63333333333333</v>
      </c>
      <c r="AG41" s="53" t="n">
        <f aca="false">(INDEX(Assumptions!$D$34:$F$34,1,AG$5)*AG40/12*Scenario_Control!$M$10)*IF(OR(Scenario_Control!$M$25=0,AG$3&gt;=Assumptions!$D$231+Scenario_Control!$M$26),1,0)</f>
        <v>1.86666666666667</v>
      </c>
      <c r="AH41" s="53" t="n">
        <f aca="false">(INDEX(Assumptions!$D$34:$F$34,1,AH$5)*AH40/12*Scenario_Control!$M$10)*IF(OR(Scenario_Control!$M$25=0,AH$3&gt;=Assumptions!$D$231+Scenario_Control!$M$26),1,0)</f>
        <v>2.1</v>
      </c>
      <c r="AI41" s="53" t="n">
        <f aca="false">(INDEX(Assumptions!$D$34:$F$34,1,AI$5)*AI40/12*Scenario_Control!$M$10)*IF(OR(Scenario_Control!$M$25=0,AI$3&gt;=Assumptions!$D$231+Scenario_Control!$M$26),1,0)</f>
        <v>1.98333333333333</v>
      </c>
      <c r="AJ41" s="53" t="n">
        <f aca="false">(INDEX(Assumptions!$D$34:$F$34,1,AJ$5)*AJ40/12*Scenario_Control!$M$10)*IF(OR(Scenario_Control!$M$25=0,AJ$3&gt;=Assumptions!$D$231+Scenario_Control!$M$26),1,0)</f>
        <v>1.16666666666667</v>
      </c>
      <c r="AK41" s="53" t="n">
        <f aca="false">(INDEX(Assumptions!$D$34:$F$34,1,AK$5)*AK40/12*Scenario_Control!$M$10)*IF(OR(Scenario_Control!$M$25=0,AK$3&gt;=Assumptions!$D$231+Scenario_Control!$M$26),1,0)</f>
        <v>0.583333333333333</v>
      </c>
      <c r="AL41" s="53" t="n">
        <f aca="false">(INDEX(Assumptions!$D$34:$F$34,1,AL$5)*AL40/12*Scenario_Control!$M$10)*IF(OR(Scenario_Control!$M$25=0,AL$3&gt;=Assumptions!$D$231+Scenario_Control!$M$26),1,0)</f>
        <v>0.466666666666667</v>
      </c>
      <c r="AM41" s="53" t="n">
        <f aca="false">(INDEX(Assumptions!$D$34:$F$34,1,AM$5)*AM40/12*Scenario_Control!$M$10)*IF(OR(Scenario_Control!$M$25=0,AM$3&gt;=Assumptions!$D$231+Scenario_Control!$M$26),1,0)</f>
        <v>0.7</v>
      </c>
    </row>
    <row r="42" customFormat="false" ht="15" hidden="false" customHeight="true" outlineLevel="0" collapsed="false">
      <c r="A42" s="5" t="s">
        <v>807</v>
      </c>
      <c r="B42" s="10" t="s">
        <v>100</v>
      </c>
      <c r="C42" s="57" t="n">
        <f aca="false">SUM(D42:AM42)</f>
        <v>28</v>
      </c>
      <c r="D42" s="53" t="n">
        <f aca="false">D41</f>
        <v>0.2</v>
      </c>
      <c r="E42" s="53" t="n">
        <f aca="false">E41</f>
        <v>0.166666666666667</v>
      </c>
      <c r="F42" s="53" t="n">
        <f aca="false">F41</f>
        <v>0.3</v>
      </c>
      <c r="G42" s="53" t="n">
        <f aca="false">G41</f>
        <v>0.333333333333333</v>
      </c>
      <c r="H42" s="53" t="n">
        <f aca="false">H41</f>
        <v>0.466666666666667</v>
      </c>
      <c r="I42" s="53" t="n">
        <f aca="false">I41</f>
        <v>0.533333333333333</v>
      </c>
      <c r="J42" s="53" t="n">
        <f aca="false">J41</f>
        <v>0.6</v>
      </c>
      <c r="K42" s="53" t="n">
        <f aca="false">K41</f>
        <v>0.566666666666667</v>
      </c>
      <c r="L42" s="53" t="n">
        <f aca="false">L41</f>
        <v>0.333333333333333</v>
      </c>
      <c r="M42" s="53" t="n">
        <f aca="false">M41</f>
        <v>0.166666666666667</v>
      </c>
      <c r="N42" s="53" t="n">
        <f aca="false">N41</f>
        <v>0.133333333333333</v>
      </c>
      <c r="O42" s="53" t="n">
        <f aca="false">O41</f>
        <v>0.2</v>
      </c>
      <c r="P42" s="53" t="n">
        <f aca="false">P41</f>
        <v>0.5</v>
      </c>
      <c r="Q42" s="53" t="n">
        <f aca="false">Q41</f>
        <v>0.416666666666667</v>
      </c>
      <c r="R42" s="53" t="n">
        <f aca="false">R41</f>
        <v>0.75</v>
      </c>
      <c r="S42" s="53" t="n">
        <f aca="false">S41</f>
        <v>0.833333333333333</v>
      </c>
      <c r="T42" s="53" t="n">
        <f aca="false">T41</f>
        <v>1.16666666666667</v>
      </c>
      <c r="U42" s="53" t="n">
        <f aca="false">U41</f>
        <v>1.33333333333333</v>
      </c>
      <c r="V42" s="53" t="n">
        <f aca="false">V41</f>
        <v>1.5</v>
      </c>
      <c r="W42" s="53" t="n">
        <f aca="false">W41</f>
        <v>1.41666666666667</v>
      </c>
      <c r="X42" s="53" t="n">
        <f aca="false">X41</f>
        <v>0.833333333333333</v>
      </c>
      <c r="Y42" s="53" t="n">
        <f aca="false">Y41</f>
        <v>0.416666666666667</v>
      </c>
      <c r="Z42" s="53" t="n">
        <f aca="false">Z41</f>
        <v>0.333333333333333</v>
      </c>
      <c r="AA42" s="53" t="n">
        <f aca="false">AA41</f>
        <v>0.5</v>
      </c>
      <c r="AB42" s="53" t="n">
        <f aca="false">AB41</f>
        <v>0.7</v>
      </c>
      <c r="AC42" s="53" t="n">
        <f aca="false">AC41</f>
        <v>0.583333333333333</v>
      </c>
      <c r="AD42" s="53" t="n">
        <f aca="false">AD41</f>
        <v>1.05</v>
      </c>
      <c r="AE42" s="53" t="n">
        <f aca="false">AE41</f>
        <v>1.16666666666667</v>
      </c>
      <c r="AF42" s="53" t="n">
        <f aca="false">AF41</f>
        <v>1.63333333333333</v>
      </c>
      <c r="AG42" s="53" t="n">
        <f aca="false">AG41</f>
        <v>1.86666666666667</v>
      </c>
      <c r="AH42" s="53" t="n">
        <f aca="false">AH41</f>
        <v>2.1</v>
      </c>
      <c r="AI42" s="53" t="n">
        <f aca="false">AI41</f>
        <v>1.98333333333333</v>
      </c>
      <c r="AJ42" s="53" t="n">
        <f aca="false">AJ41</f>
        <v>1.16666666666667</v>
      </c>
      <c r="AK42" s="53" t="n">
        <f aca="false">AK41</f>
        <v>0.583333333333333</v>
      </c>
      <c r="AL42" s="53" t="n">
        <f aca="false">AL41</f>
        <v>0.466666666666667</v>
      </c>
      <c r="AM42" s="53" t="n">
        <f aca="false">AM41</f>
        <v>0.7</v>
      </c>
    </row>
    <row r="43" customFormat="false" ht="15" hidden="false" customHeight="true" outlineLevel="0" collapsed="false">
      <c r="A43" s="5" t="s">
        <v>808</v>
      </c>
      <c r="B43" s="10" t="s">
        <v>100</v>
      </c>
      <c r="C43" s="57" t="n">
        <f aca="false">AM43</f>
        <v>28</v>
      </c>
      <c r="D43" s="53" t="n">
        <f aca="false">0+D42</f>
        <v>0.2</v>
      </c>
      <c r="E43" s="53" t="n">
        <f aca="false">D43+E42</f>
        <v>0.366666666666667</v>
      </c>
      <c r="F43" s="53" t="n">
        <f aca="false">E43+F42</f>
        <v>0.666666666666667</v>
      </c>
      <c r="G43" s="53" t="n">
        <f aca="false">F43+G42</f>
        <v>1</v>
      </c>
      <c r="H43" s="53" t="n">
        <f aca="false">G43+H42</f>
        <v>1.46666666666667</v>
      </c>
      <c r="I43" s="53" t="n">
        <f aca="false">H43+I42</f>
        <v>2</v>
      </c>
      <c r="J43" s="53" t="n">
        <f aca="false">I43+J42</f>
        <v>2.6</v>
      </c>
      <c r="K43" s="53" t="n">
        <f aca="false">J43+K42</f>
        <v>3.16666666666667</v>
      </c>
      <c r="L43" s="53" t="n">
        <f aca="false">K43+L42</f>
        <v>3.5</v>
      </c>
      <c r="M43" s="53" t="n">
        <f aca="false">L43+M42</f>
        <v>3.66666666666667</v>
      </c>
      <c r="N43" s="53" t="n">
        <f aca="false">M43+N42</f>
        <v>3.8</v>
      </c>
      <c r="O43" s="53" t="n">
        <f aca="false">N43+O42</f>
        <v>4</v>
      </c>
      <c r="P43" s="53" t="n">
        <f aca="false">O43+P42</f>
        <v>4.5</v>
      </c>
      <c r="Q43" s="53" t="n">
        <f aca="false">P43+Q42</f>
        <v>4.91666666666667</v>
      </c>
      <c r="R43" s="53" t="n">
        <f aca="false">Q43+R42</f>
        <v>5.66666666666667</v>
      </c>
      <c r="S43" s="53" t="n">
        <f aca="false">R43+S42</f>
        <v>6.5</v>
      </c>
      <c r="T43" s="53" t="n">
        <f aca="false">S43+T42</f>
        <v>7.66666666666667</v>
      </c>
      <c r="U43" s="53" t="n">
        <f aca="false">T43+U42</f>
        <v>9</v>
      </c>
      <c r="V43" s="53" t="n">
        <f aca="false">U43+V42</f>
        <v>10.5</v>
      </c>
      <c r="W43" s="53" t="n">
        <f aca="false">V43+W42</f>
        <v>11.9166666666667</v>
      </c>
      <c r="X43" s="53" t="n">
        <f aca="false">W43+X42</f>
        <v>12.75</v>
      </c>
      <c r="Y43" s="53" t="n">
        <f aca="false">X43+Y42</f>
        <v>13.1666666666667</v>
      </c>
      <c r="Z43" s="53" t="n">
        <f aca="false">Y43+Z42</f>
        <v>13.5</v>
      </c>
      <c r="AA43" s="53" t="n">
        <f aca="false">Z43+AA42</f>
        <v>14</v>
      </c>
      <c r="AB43" s="53" t="n">
        <f aca="false">AA43+AB42</f>
        <v>14.7</v>
      </c>
      <c r="AC43" s="53" t="n">
        <f aca="false">AB43+AC42</f>
        <v>15.2833333333333</v>
      </c>
      <c r="AD43" s="53" t="n">
        <f aca="false">AC43+AD42</f>
        <v>16.3333333333333</v>
      </c>
      <c r="AE43" s="53" t="n">
        <f aca="false">AD43+AE42</f>
        <v>17.5</v>
      </c>
      <c r="AF43" s="53" t="n">
        <f aca="false">AE43+AF42</f>
        <v>19.1333333333333</v>
      </c>
      <c r="AG43" s="53" t="n">
        <f aca="false">AF43+AG42</f>
        <v>21</v>
      </c>
      <c r="AH43" s="53" t="n">
        <f aca="false">AG43+AH42</f>
        <v>23.1</v>
      </c>
      <c r="AI43" s="53" t="n">
        <f aca="false">AH43+AI42</f>
        <v>25.0833333333333</v>
      </c>
      <c r="AJ43" s="53" t="n">
        <f aca="false">AI43+AJ42</f>
        <v>26.25</v>
      </c>
      <c r="AK43" s="53" t="n">
        <f aca="false">AJ43+AK42</f>
        <v>26.8333333333333</v>
      </c>
      <c r="AL43" s="53" t="n">
        <f aca="false">AK43+AL42</f>
        <v>27.3</v>
      </c>
      <c r="AM43" s="53" t="n">
        <f aca="false">AL43+AM42</f>
        <v>28</v>
      </c>
    </row>
    <row r="44" customFormat="false" ht="15" hidden="false" customHeight="true" outlineLevel="0" collapsed="false">
      <c r="A44" s="5" t="s">
        <v>809</v>
      </c>
      <c r="B44" s="10" t="s">
        <v>100</v>
      </c>
      <c r="C44" s="57" t="n">
        <f aca="false">SUM(D44:AM44)</f>
        <v>26.8333333333333</v>
      </c>
      <c r="D44" s="53" t="n">
        <f aca="false">IF(D$3-(Assumptions!$D$207)&lt;1,0,INDEX($D$42:$AM$42,1,D$3-(Assumptions!$D$207)))</f>
        <v>0</v>
      </c>
      <c r="E44" s="53" t="n">
        <f aca="false">IF(E$3-(Assumptions!$D$207)&lt;1,0,INDEX($D$42:$AM$42,1,E$3-(Assumptions!$D$207)))</f>
        <v>0</v>
      </c>
      <c r="F44" s="53" t="n">
        <f aca="false">IF(F$3-(Assumptions!$D$207)&lt;1,0,INDEX($D$42:$AM$42,1,F$3-(Assumptions!$D$207)))</f>
        <v>0.2</v>
      </c>
      <c r="G44" s="53" t="n">
        <f aca="false">IF(G$3-(Assumptions!$D$207)&lt;1,0,INDEX($D$42:$AM$42,1,G$3-(Assumptions!$D$207)))</f>
        <v>0.166666666666667</v>
      </c>
      <c r="H44" s="53" t="n">
        <f aca="false">IF(H$3-(Assumptions!$D$207)&lt;1,0,INDEX($D$42:$AM$42,1,H$3-(Assumptions!$D$207)))</f>
        <v>0.3</v>
      </c>
      <c r="I44" s="53" t="n">
        <f aca="false">IF(I$3-(Assumptions!$D$207)&lt;1,0,INDEX($D$42:$AM$42,1,I$3-(Assumptions!$D$207)))</f>
        <v>0.333333333333333</v>
      </c>
      <c r="J44" s="53" t="n">
        <f aca="false">IF(J$3-(Assumptions!$D$207)&lt;1,0,INDEX($D$42:$AM$42,1,J$3-(Assumptions!$D$207)))</f>
        <v>0.466666666666667</v>
      </c>
      <c r="K44" s="53" t="n">
        <f aca="false">IF(K$3-(Assumptions!$D$207)&lt;1,0,INDEX($D$42:$AM$42,1,K$3-(Assumptions!$D$207)))</f>
        <v>0.533333333333333</v>
      </c>
      <c r="L44" s="53" t="n">
        <f aca="false">IF(L$3-(Assumptions!$D$207)&lt;1,0,INDEX($D$42:$AM$42,1,L$3-(Assumptions!$D$207)))</f>
        <v>0.6</v>
      </c>
      <c r="M44" s="53" t="n">
        <f aca="false">IF(M$3-(Assumptions!$D$207)&lt;1,0,INDEX($D$42:$AM$42,1,M$3-(Assumptions!$D$207)))</f>
        <v>0.566666666666667</v>
      </c>
      <c r="N44" s="53" t="n">
        <f aca="false">IF(N$3-(Assumptions!$D$207)&lt;1,0,INDEX($D$42:$AM$42,1,N$3-(Assumptions!$D$207)))</f>
        <v>0.333333333333333</v>
      </c>
      <c r="O44" s="53" t="n">
        <f aca="false">IF(O$3-(Assumptions!$D$207)&lt;1,0,INDEX($D$42:$AM$42,1,O$3-(Assumptions!$D$207)))</f>
        <v>0.166666666666667</v>
      </c>
      <c r="P44" s="53" t="n">
        <f aca="false">IF(P$3-(Assumptions!$D$207)&lt;1,0,INDEX($D$42:$AM$42,1,P$3-(Assumptions!$D$207)))</f>
        <v>0.133333333333333</v>
      </c>
      <c r="Q44" s="53" t="n">
        <f aca="false">IF(Q$3-(Assumptions!$D$207)&lt;1,0,INDEX($D$42:$AM$42,1,Q$3-(Assumptions!$D$207)))</f>
        <v>0.2</v>
      </c>
      <c r="R44" s="53" t="n">
        <f aca="false">IF(R$3-(Assumptions!$D$207)&lt;1,0,INDEX($D$42:$AM$42,1,R$3-(Assumptions!$D$207)))</f>
        <v>0.5</v>
      </c>
      <c r="S44" s="53" t="n">
        <f aca="false">IF(S$3-(Assumptions!$D$207)&lt;1,0,INDEX($D$42:$AM$42,1,S$3-(Assumptions!$D$207)))</f>
        <v>0.416666666666667</v>
      </c>
      <c r="T44" s="53" t="n">
        <f aca="false">IF(T$3-(Assumptions!$D$207)&lt;1,0,INDEX($D$42:$AM$42,1,T$3-(Assumptions!$D$207)))</f>
        <v>0.75</v>
      </c>
      <c r="U44" s="53" t="n">
        <f aca="false">IF(U$3-(Assumptions!$D$207)&lt;1,0,INDEX($D$42:$AM$42,1,U$3-(Assumptions!$D$207)))</f>
        <v>0.833333333333333</v>
      </c>
      <c r="V44" s="53" t="n">
        <f aca="false">IF(V$3-(Assumptions!$D$207)&lt;1,0,INDEX($D$42:$AM$42,1,V$3-(Assumptions!$D$207)))</f>
        <v>1.16666666666667</v>
      </c>
      <c r="W44" s="53" t="n">
        <f aca="false">IF(W$3-(Assumptions!$D$207)&lt;1,0,INDEX($D$42:$AM$42,1,W$3-(Assumptions!$D$207)))</f>
        <v>1.33333333333333</v>
      </c>
      <c r="X44" s="53" t="n">
        <f aca="false">IF(X$3-(Assumptions!$D$207)&lt;1,0,INDEX($D$42:$AM$42,1,X$3-(Assumptions!$D$207)))</f>
        <v>1.5</v>
      </c>
      <c r="Y44" s="53" t="n">
        <f aca="false">IF(Y$3-(Assumptions!$D$207)&lt;1,0,INDEX($D$42:$AM$42,1,Y$3-(Assumptions!$D$207)))</f>
        <v>1.41666666666667</v>
      </c>
      <c r="Z44" s="53" t="n">
        <f aca="false">IF(Z$3-(Assumptions!$D$207)&lt;1,0,INDEX($D$42:$AM$42,1,Z$3-(Assumptions!$D$207)))</f>
        <v>0.833333333333333</v>
      </c>
      <c r="AA44" s="53" t="n">
        <f aca="false">IF(AA$3-(Assumptions!$D$207)&lt;1,0,INDEX($D$42:$AM$42,1,AA$3-(Assumptions!$D$207)))</f>
        <v>0.416666666666667</v>
      </c>
      <c r="AB44" s="53" t="n">
        <f aca="false">IF(AB$3-(Assumptions!$D$207)&lt;1,0,INDEX($D$42:$AM$42,1,AB$3-(Assumptions!$D$207)))</f>
        <v>0.333333333333333</v>
      </c>
      <c r="AC44" s="53" t="n">
        <f aca="false">IF(AC$3-(Assumptions!$D$207)&lt;1,0,INDEX($D$42:$AM$42,1,AC$3-(Assumptions!$D$207)))</f>
        <v>0.5</v>
      </c>
      <c r="AD44" s="53" t="n">
        <f aca="false">IF(AD$3-(Assumptions!$D$207)&lt;1,0,INDEX($D$42:$AM$42,1,AD$3-(Assumptions!$D$207)))</f>
        <v>0.7</v>
      </c>
      <c r="AE44" s="53" t="n">
        <f aca="false">IF(AE$3-(Assumptions!$D$207)&lt;1,0,INDEX($D$42:$AM$42,1,AE$3-(Assumptions!$D$207)))</f>
        <v>0.583333333333333</v>
      </c>
      <c r="AF44" s="53" t="n">
        <f aca="false">IF(AF$3-(Assumptions!$D$207)&lt;1,0,INDEX($D$42:$AM$42,1,AF$3-(Assumptions!$D$207)))</f>
        <v>1.05</v>
      </c>
      <c r="AG44" s="53" t="n">
        <f aca="false">IF(AG$3-(Assumptions!$D$207)&lt;1,0,INDEX($D$42:$AM$42,1,AG$3-(Assumptions!$D$207)))</f>
        <v>1.16666666666667</v>
      </c>
      <c r="AH44" s="53" t="n">
        <f aca="false">IF(AH$3-(Assumptions!$D$207)&lt;1,0,INDEX($D$42:$AM$42,1,AH$3-(Assumptions!$D$207)))</f>
        <v>1.63333333333333</v>
      </c>
      <c r="AI44" s="53" t="n">
        <f aca="false">IF(AI$3-(Assumptions!$D$207)&lt;1,0,INDEX($D$42:$AM$42,1,AI$3-(Assumptions!$D$207)))</f>
        <v>1.86666666666667</v>
      </c>
      <c r="AJ44" s="53" t="n">
        <f aca="false">IF(AJ$3-(Assumptions!$D$207)&lt;1,0,INDEX($D$42:$AM$42,1,AJ$3-(Assumptions!$D$207)))</f>
        <v>2.1</v>
      </c>
      <c r="AK44" s="53" t="n">
        <f aca="false">IF(AK$3-(Assumptions!$D$207)&lt;1,0,INDEX($D$42:$AM$42,1,AK$3-(Assumptions!$D$207)))</f>
        <v>1.98333333333333</v>
      </c>
      <c r="AL44" s="53" t="n">
        <f aca="false">IF(AL$3-(Assumptions!$D$207)&lt;1,0,INDEX($D$42:$AM$42,1,AL$3-(Assumptions!$D$207)))</f>
        <v>1.16666666666667</v>
      </c>
      <c r="AM44" s="53" t="n">
        <f aca="false">IF(AM$3-(Assumptions!$D$207)&lt;1,0,INDEX($D$42:$AM$42,1,AM$3-(Assumptions!$D$207)))</f>
        <v>0.583333333333333</v>
      </c>
    </row>
    <row r="45" customFormat="false" ht="15" hidden="false" customHeight="true" outlineLevel="0" collapsed="false">
      <c r="A45" s="5" t="s">
        <v>810</v>
      </c>
      <c r="B45" s="10" t="s">
        <v>100</v>
      </c>
      <c r="C45" s="57" t="n">
        <f aca="false">AM45</f>
        <v>26.8333333333333</v>
      </c>
      <c r="D45" s="53" t="n">
        <f aca="false">0+D44</f>
        <v>0</v>
      </c>
      <c r="E45" s="53" t="n">
        <f aca="false">D45+E44</f>
        <v>0</v>
      </c>
      <c r="F45" s="53" t="n">
        <f aca="false">E45+F44</f>
        <v>0.2</v>
      </c>
      <c r="G45" s="53" t="n">
        <f aca="false">F45+G44</f>
        <v>0.366666666666667</v>
      </c>
      <c r="H45" s="53" t="n">
        <f aca="false">G45+H44</f>
        <v>0.666666666666667</v>
      </c>
      <c r="I45" s="53" t="n">
        <f aca="false">H45+I44</f>
        <v>1</v>
      </c>
      <c r="J45" s="53" t="n">
        <f aca="false">I45+J44</f>
        <v>1.46666666666667</v>
      </c>
      <c r="K45" s="53" t="n">
        <f aca="false">J45+K44</f>
        <v>2</v>
      </c>
      <c r="L45" s="53" t="n">
        <f aca="false">K45+L44</f>
        <v>2.6</v>
      </c>
      <c r="M45" s="53" t="n">
        <f aca="false">L45+M44</f>
        <v>3.16666666666667</v>
      </c>
      <c r="N45" s="53" t="n">
        <f aca="false">M45+N44</f>
        <v>3.5</v>
      </c>
      <c r="O45" s="53" t="n">
        <f aca="false">N45+O44</f>
        <v>3.66666666666667</v>
      </c>
      <c r="P45" s="53" t="n">
        <f aca="false">O45+P44</f>
        <v>3.8</v>
      </c>
      <c r="Q45" s="53" t="n">
        <f aca="false">P45+Q44</f>
        <v>4</v>
      </c>
      <c r="R45" s="53" t="n">
        <f aca="false">Q45+R44</f>
        <v>4.5</v>
      </c>
      <c r="S45" s="53" t="n">
        <f aca="false">R45+S44</f>
        <v>4.91666666666667</v>
      </c>
      <c r="T45" s="53" t="n">
        <f aca="false">S45+T44</f>
        <v>5.66666666666667</v>
      </c>
      <c r="U45" s="53" t="n">
        <f aca="false">T45+U44</f>
        <v>6.5</v>
      </c>
      <c r="V45" s="53" t="n">
        <f aca="false">U45+V44</f>
        <v>7.66666666666667</v>
      </c>
      <c r="W45" s="53" t="n">
        <f aca="false">V45+W44</f>
        <v>9</v>
      </c>
      <c r="X45" s="53" t="n">
        <f aca="false">W45+X44</f>
        <v>10.5</v>
      </c>
      <c r="Y45" s="53" t="n">
        <f aca="false">X45+Y44</f>
        <v>11.9166666666667</v>
      </c>
      <c r="Z45" s="53" t="n">
        <f aca="false">Y45+Z44</f>
        <v>12.75</v>
      </c>
      <c r="AA45" s="53" t="n">
        <f aca="false">Z45+AA44</f>
        <v>13.1666666666667</v>
      </c>
      <c r="AB45" s="53" t="n">
        <f aca="false">AA45+AB44</f>
        <v>13.5</v>
      </c>
      <c r="AC45" s="53" t="n">
        <f aca="false">AB45+AC44</f>
        <v>14</v>
      </c>
      <c r="AD45" s="53" t="n">
        <f aca="false">AC45+AD44</f>
        <v>14.7</v>
      </c>
      <c r="AE45" s="53" t="n">
        <f aca="false">AD45+AE44</f>
        <v>15.2833333333333</v>
      </c>
      <c r="AF45" s="53" t="n">
        <f aca="false">AE45+AF44</f>
        <v>16.3333333333333</v>
      </c>
      <c r="AG45" s="53" t="n">
        <f aca="false">AF45+AG44</f>
        <v>17.5</v>
      </c>
      <c r="AH45" s="53" t="n">
        <f aca="false">AG45+AH44</f>
        <v>19.1333333333333</v>
      </c>
      <c r="AI45" s="53" t="n">
        <f aca="false">AH45+AI44</f>
        <v>21</v>
      </c>
      <c r="AJ45" s="53" t="n">
        <f aca="false">AI45+AJ44</f>
        <v>23.1</v>
      </c>
      <c r="AK45" s="53" t="n">
        <f aca="false">AJ45+AK44</f>
        <v>25.0833333333333</v>
      </c>
      <c r="AL45" s="53" t="n">
        <f aca="false">AK45+AL44</f>
        <v>26.25</v>
      </c>
      <c r="AM45" s="53" t="n">
        <f aca="false">AL45+AM44</f>
        <v>26.8333333333333</v>
      </c>
    </row>
    <row r="46" customFormat="false" ht="15" hidden="false" customHeight="true" outlineLevel="0" collapsed="false">
      <c r="A46" s="5" t="s">
        <v>811</v>
      </c>
      <c r="B46" s="10" t="s">
        <v>100</v>
      </c>
      <c r="C46" s="57"/>
      <c r="D46" s="53" t="n">
        <f aca="false">0-IF(D$3-(1+Assumptions!$D$207)&lt;1,0,INDEX($D$43:$AM$43,1,D$3-(1+Assumptions!$D$207)))</f>
        <v>0</v>
      </c>
      <c r="E46" s="53" t="n">
        <f aca="false">D43-IF(E$3-(1+Assumptions!$D$207)&lt;1,0,INDEX($D$43:$AM$43,1,E$3-(1+Assumptions!$D$207)))</f>
        <v>0.2</v>
      </c>
      <c r="F46" s="53" t="n">
        <f aca="false">E43-IF(F$3-(1+Assumptions!$D$207)&lt;1,0,INDEX($D$43:$AM$43,1,F$3-(1+Assumptions!$D$207)))</f>
        <v>0.366666666666667</v>
      </c>
      <c r="G46" s="53" t="n">
        <f aca="false">F43-IF(G$3-(1+Assumptions!$D$207)&lt;1,0,INDEX($D$43:$AM$43,1,G$3-(1+Assumptions!$D$207)))</f>
        <v>0.466666666666667</v>
      </c>
      <c r="H46" s="53" t="n">
        <f aca="false">G43-IF(H$3-(1+Assumptions!$D$207)&lt;1,0,INDEX($D$43:$AM$43,1,H$3-(1+Assumptions!$D$207)))</f>
        <v>0.633333333333333</v>
      </c>
      <c r="I46" s="53" t="n">
        <f aca="false">H43-IF(I$3-(1+Assumptions!$D$207)&lt;1,0,INDEX($D$43:$AM$43,1,I$3-(1+Assumptions!$D$207)))</f>
        <v>0.8</v>
      </c>
      <c r="J46" s="53" t="n">
        <f aca="false">I43-IF(J$3-(1+Assumptions!$D$207)&lt;1,0,INDEX($D$43:$AM$43,1,J$3-(1+Assumptions!$D$207)))</f>
        <v>1</v>
      </c>
      <c r="K46" s="53" t="n">
        <f aca="false">J43-IF(K$3-(1+Assumptions!$D$207)&lt;1,0,INDEX($D$43:$AM$43,1,K$3-(1+Assumptions!$D$207)))</f>
        <v>1.13333333333333</v>
      </c>
      <c r="L46" s="53" t="n">
        <f aca="false">K43-IF(L$3-(1+Assumptions!$D$207)&lt;1,0,INDEX($D$43:$AM$43,1,L$3-(1+Assumptions!$D$207)))</f>
        <v>1.16666666666667</v>
      </c>
      <c r="M46" s="53" t="n">
        <f aca="false">L43-IF(M$3-(1+Assumptions!$D$207)&lt;1,0,INDEX($D$43:$AM$43,1,M$3-(1+Assumptions!$D$207)))</f>
        <v>0.9</v>
      </c>
      <c r="N46" s="53" t="n">
        <f aca="false">M43-IF(N$3-(1+Assumptions!$D$207)&lt;1,0,INDEX($D$43:$AM$43,1,N$3-(1+Assumptions!$D$207)))</f>
        <v>0.5</v>
      </c>
      <c r="O46" s="53" t="n">
        <f aca="false">N43-IF(O$3-(1+Assumptions!$D$207)&lt;1,0,INDEX($D$43:$AM$43,1,O$3-(1+Assumptions!$D$207)))</f>
        <v>0.3</v>
      </c>
      <c r="P46" s="53" t="n">
        <f aca="false">O43-IF(P$3-(1+Assumptions!$D$207)&lt;1,0,INDEX($D$43:$AM$43,1,P$3-(1+Assumptions!$D$207)))</f>
        <v>0.333333333333333</v>
      </c>
      <c r="Q46" s="53" t="n">
        <f aca="false">P43-IF(Q$3-(1+Assumptions!$D$207)&lt;1,0,INDEX($D$43:$AM$43,1,Q$3-(1+Assumptions!$D$207)))</f>
        <v>0.7</v>
      </c>
      <c r="R46" s="53" t="n">
        <f aca="false">Q43-IF(R$3-(1+Assumptions!$D$207)&lt;1,0,INDEX($D$43:$AM$43,1,R$3-(1+Assumptions!$D$207)))</f>
        <v>0.916666666666667</v>
      </c>
      <c r="S46" s="53" t="n">
        <f aca="false">R43-IF(S$3-(1+Assumptions!$D$207)&lt;1,0,INDEX($D$43:$AM$43,1,S$3-(1+Assumptions!$D$207)))</f>
        <v>1.16666666666667</v>
      </c>
      <c r="T46" s="53" t="n">
        <f aca="false">S43-IF(T$3-(1+Assumptions!$D$207)&lt;1,0,INDEX($D$43:$AM$43,1,T$3-(1+Assumptions!$D$207)))</f>
        <v>1.58333333333333</v>
      </c>
      <c r="U46" s="53" t="n">
        <f aca="false">T43-IF(U$3-(1+Assumptions!$D$207)&lt;1,0,INDEX($D$43:$AM$43,1,U$3-(1+Assumptions!$D$207)))</f>
        <v>2</v>
      </c>
      <c r="V46" s="53" t="n">
        <f aca="false">U43-IF(V$3-(1+Assumptions!$D$207)&lt;1,0,INDEX($D$43:$AM$43,1,V$3-(1+Assumptions!$D$207)))</f>
        <v>2.5</v>
      </c>
      <c r="W46" s="53" t="n">
        <f aca="false">V43-IF(W$3-(1+Assumptions!$D$207)&lt;1,0,INDEX($D$43:$AM$43,1,W$3-(1+Assumptions!$D$207)))</f>
        <v>2.83333333333333</v>
      </c>
      <c r="X46" s="53" t="n">
        <f aca="false">W43-IF(X$3-(1+Assumptions!$D$207)&lt;1,0,INDEX($D$43:$AM$43,1,X$3-(1+Assumptions!$D$207)))</f>
        <v>2.91666666666667</v>
      </c>
      <c r="Y46" s="53" t="n">
        <f aca="false">X43-IF(Y$3-(1+Assumptions!$D$207)&lt;1,0,INDEX($D$43:$AM$43,1,Y$3-(1+Assumptions!$D$207)))</f>
        <v>2.25</v>
      </c>
      <c r="Z46" s="53" t="n">
        <f aca="false">Y43-IF(Z$3-(1+Assumptions!$D$207)&lt;1,0,INDEX($D$43:$AM$43,1,Z$3-(1+Assumptions!$D$207)))</f>
        <v>1.25</v>
      </c>
      <c r="AA46" s="53" t="n">
        <f aca="false">Z43-IF(AA$3-(1+Assumptions!$D$207)&lt;1,0,INDEX($D$43:$AM$43,1,AA$3-(1+Assumptions!$D$207)))</f>
        <v>0.75</v>
      </c>
      <c r="AB46" s="53" t="n">
        <f aca="false">AA43-IF(AB$3-(1+Assumptions!$D$207)&lt;1,0,INDEX($D$43:$AM$43,1,AB$3-(1+Assumptions!$D$207)))</f>
        <v>0.833333333333334</v>
      </c>
      <c r="AC46" s="53" t="n">
        <f aca="false">AB43-IF(AC$3-(1+Assumptions!$D$207)&lt;1,0,INDEX($D$43:$AM$43,1,AC$3-(1+Assumptions!$D$207)))</f>
        <v>1.2</v>
      </c>
      <c r="AD46" s="53" t="n">
        <f aca="false">AC43-IF(AD$3-(1+Assumptions!$D$207)&lt;1,0,INDEX($D$43:$AM$43,1,AD$3-(1+Assumptions!$D$207)))</f>
        <v>1.28333333333333</v>
      </c>
      <c r="AE46" s="53" t="n">
        <f aca="false">AD43-IF(AE$3-(1+Assumptions!$D$207)&lt;1,0,INDEX($D$43:$AM$43,1,AE$3-(1+Assumptions!$D$207)))</f>
        <v>1.63333333333333</v>
      </c>
      <c r="AF46" s="53" t="n">
        <f aca="false">AE43-IF(AF$3-(1+Assumptions!$D$207)&lt;1,0,INDEX($D$43:$AM$43,1,AF$3-(1+Assumptions!$D$207)))</f>
        <v>2.21666666666667</v>
      </c>
      <c r="AG46" s="53" t="n">
        <f aca="false">AF43-IF(AG$3-(1+Assumptions!$D$207)&lt;1,0,INDEX($D$43:$AM$43,1,AG$3-(1+Assumptions!$D$207)))</f>
        <v>2.8</v>
      </c>
      <c r="AH46" s="53" t="n">
        <f aca="false">AG43-IF(AH$3-(1+Assumptions!$D$207)&lt;1,0,INDEX($D$43:$AM$43,1,AH$3-(1+Assumptions!$D$207)))</f>
        <v>3.5</v>
      </c>
      <c r="AI46" s="53" t="n">
        <f aca="false">AH43-IF(AI$3-(1+Assumptions!$D$207)&lt;1,0,INDEX($D$43:$AM$43,1,AI$3-(1+Assumptions!$D$207)))</f>
        <v>3.96666666666667</v>
      </c>
      <c r="AJ46" s="53" t="n">
        <f aca="false">AI43-IF(AJ$3-(1+Assumptions!$D$207)&lt;1,0,INDEX($D$43:$AM$43,1,AJ$3-(1+Assumptions!$D$207)))</f>
        <v>4.08333333333334</v>
      </c>
      <c r="AK46" s="53" t="n">
        <f aca="false">AJ43-IF(AK$3-(1+Assumptions!$D$207)&lt;1,0,INDEX($D$43:$AM$43,1,AK$3-(1+Assumptions!$D$207)))</f>
        <v>3.15</v>
      </c>
      <c r="AL46" s="53" t="n">
        <f aca="false">AK43-IF(AL$3-(1+Assumptions!$D$207)&lt;1,0,INDEX($D$43:$AM$43,1,AL$3-(1+Assumptions!$D$207)))</f>
        <v>1.75</v>
      </c>
      <c r="AM46" s="53" t="n">
        <f aca="false">AL43-IF(AM$3-(1+Assumptions!$D$207)&lt;1,0,INDEX($D$43:$AM$43,1,AM$3-(1+Assumptions!$D$207)))</f>
        <v>1.05</v>
      </c>
    </row>
    <row r="47" customFormat="false" ht="15" hidden="false" customHeight="true" outlineLevel="0" collapsed="false">
      <c r="A47" s="5" t="s">
        <v>812</v>
      </c>
      <c r="B47" s="10" t="s">
        <v>100</v>
      </c>
      <c r="C47" s="57" t="n">
        <f aca="false">SUM(D47:AM47)</f>
        <v>27</v>
      </c>
      <c r="D47" s="53" t="n">
        <f aca="false">(INDEX(Assumptions!$D$42:$F$42,1,D$5)*D40/12*Scenario_Control!$M$10)*IF(OR(Scenario_Control!$M$25=0,D$3&gt;=Assumptions!$D$232+Scenario_Control!$M$26),1,0)</f>
        <v>0.05</v>
      </c>
      <c r="E47" s="53" t="n">
        <f aca="false">(INDEX(Assumptions!$D$42:$F$42,1,E$5)*E40/12*Scenario_Control!$M$10)*IF(OR(Scenario_Control!$M$25=0,E$3&gt;=Assumptions!$D$232+Scenario_Control!$M$26),1,0)</f>
        <v>0.0416666666666667</v>
      </c>
      <c r="F47" s="53" t="n">
        <f aca="false">(INDEX(Assumptions!$D$42:$F$42,1,F$5)*F40/12*Scenario_Control!$M$10)*IF(OR(Scenario_Control!$M$25=0,F$3&gt;=Assumptions!$D$232+Scenario_Control!$M$26),1,0)</f>
        <v>0.075</v>
      </c>
      <c r="G47" s="53" t="n">
        <f aca="false">(INDEX(Assumptions!$D$42:$F$42,1,G$5)*G40/12*Scenario_Control!$M$10)*IF(OR(Scenario_Control!$M$25=0,G$3&gt;=Assumptions!$D$232+Scenario_Control!$M$26),1,0)</f>
        <v>0.0833333333333333</v>
      </c>
      <c r="H47" s="53" t="n">
        <f aca="false">(INDEX(Assumptions!$D$42:$F$42,1,H$5)*H40/12*Scenario_Control!$M$10)*IF(OR(Scenario_Control!$M$25=0,H$3&gt;=Assumptions!$D$232+Scenario_Control!$M$26),1,0)</f>
        <v>0.116666666666667</v>
      </c>
      <c r="I47" s="53" t="n">
        <f aca="false">(INDEX(Assumptions!$D$42:$F$42,1,I$5)*I40/12*Scenario_Control!$M$10)*IF(OR(Scenario_Control!$M$25=0,I$3&gt;=Assumptions!$D$232+Scenario_Control!$M$26),1,0)</f>
        <v>0.133333333333333</v>
      </c>
      <c r="J47" s="53" t="n">
        <f aca="false">(INDEX(Assumptions!$D$42:$F$42,1,J$5)*J40/12*Scenario_Control!$M$10)*IF(OR(Scenario_Control!$M$25=0,J$3&gt;=Assumptions!$D$232+Scenario_Control!$M$26),1,0)</f>
        <v>0.15</v>
      </c>
      <c r="K47" s="53" t="n">
        <f aca="false">(INDEX(Assumptions!$D$42:$F$42,1,K$5)*K40/12*Scenario_Control!$M$10)*IF(OR(Scenario_Control!$M$25=0,K$3&gt;=Assumptions!$D$232+Scenario_Control!$M$26),1,0)</f>
        <v>0.141666666666667</v>
      </c>
      <c r="L47" s="53" t="n">
        <f aca="false">(INDEX(Assumptions!$D$42:$F$42,1,L$5)*L40/12*Scenario_Control!$M$10)*IF(OR(Scenario_Control!$M$25=0,L$3&gt;=Assumptions!$D$232+Scenario_Control!$M$26),1,0)</f>
        <v>0.0833333333333333</v>
      </c>
      <c r="M47" s="53" t="n">
        <f aca="false">(INDEX(Assumptions!$D$42:$F$42,1,M$5)*M40/12*Scenario_Control!$M$10)*IF(OR(Scenario_Control!$M$25=0,M$3&gt;=Assumptions!$D$232+Scenario_Control!$M$26),1,0)</f>
        <v>0.0416666666666667</v>
      </c>
      <c r="N47" s="53" t="n">
        <f aca="false">(INDEX(Assumptions!$D$42:$F$42,1,N$5)*N40/12*Scenario_Control!$M$10)*IF(OR(Scenario_Control!$M$25=0,N$3&gt;=Assumptions!$D$232+Scenario_Control!$M$26),1,0)</f>
        <v>0.0333333333333333</v>
      </c>
      <c r="O47" s="53" t="n">
        <f aca="false">(INDEX(Assumptions!$D$42:$F$42,1,O$5)*O40/12*Scenario_Control!$M$10)*IF(OR(Scenario_Control!$M$25=0,O$3&gt;=Assumptions!$D$232+Scenario_Control!$M$26),1,0)</f>
        <v>0.05</v>
      </c>
      <c r="P47" s="53" t="n">
        <f aca="false">(INDEX(Assumptions!$D$42:$F$42,1,P$5)*P40/12*Scenario_Control!$M$10)*IF(OR(Scenario_Control!$M$25=0,P$3&gt;=Assumptions!$D$232+Scenario_Control!$M$26),1,0)</f>
        <v>0.4</v>
      </c>
      <c r="Q47" s="53" t="n">
        <f aca="false">(INDEX(Assumptions!$D$42:$F$42,1,Q$5)*Q40/12*Scenario_Control!$M$10)*IF(OR(Scenario_Control!$M$25=0,Q$3&gt;=Assumptions!$D$232+Scenario_Control!$M$26),1,0)</f>
        <v>0.333333333333333</v>
      </c>
      <c r="R47" s="53" t="n">
        <f aca="false">(INDEX(Assumptions!$D$42:$F$42,1,R$5)*R40/12*Scenario_Control!$M$10)*IF(OR(Scenario_Control!$M$25=0,R$3&gt;=Assumptions!$D$232+Scenario_Control!$M$26),1,0)</f>
        <v>0.6</v>
      </c>
      <c r="S47" s="53" t="n">
        <f aca="false">(INDEX(Assumptions!$D$42:$F$42,1,S$5)*S40/12*Scenario_Control!$M$10)*IF(OR(Scenario_Control!$M$25=0,S$3&gt;=Assumptions!$D$232+Scenario_Control!$M$26),1,0)</f>
        <v>0.666666666666667</v>
      </c>
      <c r="T47" s="53" t="n">
        <f aca="false">(INDEX(Assumptions!$D$42:$F$42,1,T$5)*T40/12*Scenario_Control!$M$10)*IF(OR(Scenario_Control!$M$25=0,T$3&gt;=Assumptions!$D$232+Scenario_Control!$M$26),1,0)</f>
        <v>0.933333333333333</v>
      </c>
      <c r="U47" s="53" t="n">
        <f aca="false">(INDEX(Assumptions!$D$42:$F$42,1,U$5)*U40/12*Scenario_Control!$M$10)*IF(OR(Scenario_Control!$M$25=0,U$3&gt;=Assumptions!$D$232+Scenario_Control!$M$26),1,0)</f>
        <v>1.06666666666667</v>
      </c>
      <c r="V47" s="53" t="n">
        <f aca="false">(INDEX(Assumptions!$D$42:$F$42,1,V$5)*V40/12*Scenario_Control!$M$10)*IF(OR(Scenario_Control!$M$25=0,V$3&gt;=Assumptions!$D$232+Scenario_Control!$M$26),1,0)</f>
        <v>1.2</v>
      </c>
      <c r="W47" s="53" t="n">
        <f aca="false">(INDEX(Assumptions!$D$42:$F$42,1,W$5)*W40/12*Scenario_Control!$M$10)*IF(OR(Scenario_Control!$M$25=0,W$3&gt;=Assumptions!$D$232+Scenario_Control!$M$26),1,0)</f>
        <v>1.13333333333333</v>
      </c>
      <c r="X47" s="53" t="n">
        <f aca="false">(INDEX(Assumptions!$D$42:$F$42,1,X$5)*X40/12*Scenario_Control!$M$10)*IF(OR(Scenario_Control!$M$25=0,X$3&gt;=Assumptions!$D$232+Scenario_Control!$M$26),1,0)</f>
        <v>0.666666666666667</v>
      </c>
      <c r="Y47" s="53" t="n">
        <f aca="false">(INDEX(Assumptions!$D$42:$F$42,1,Y$5)*Y40/12*Scenario_Control!$M$10)*IF(OR(Scenario_Control!$M$25=0,Y$3&gt;=Assumptions!$D$232+Scenario_Control!$M$26),1,0)</f>
        <v>0.333333333333333</v>
      </c>
      <c r="Z47" s="53" t="n">
        <f aca="false">(INDEX(Assumptions!$D$42:$F$42,1,Z$5)*Z40/12*Scenario_Control!$M$10)*IF(OR(Scenario_Control!$M$25=0,Z$3&gt;=Assumptions!$D$232+Scenario_Control!$M$26),1,0)</f>
        <v>0.266666666666667</v>
      </c>
      <c r="AA47" s="53" t="n">
        <f aca="false">(INDEX(Assumptions!$D$42:$F$42,1,AA$5)*AA40/12*Scenario_Control!$M$10)*IF(OR(Scenario_Control!$M$25=0,AA$3&gt;=Assumptions!$D$232+Scenario_Control!$M$26),1,0)</f>
        <v>0.4</v>
      </c>
      <c r="AB47" s="53" t="n">
        <f aca="false">(INDEX(Assumptions!$D$42:$F$42,1,AB$5)*AB40/12*Scenario_Control!$M$10)*IF(OR(Scenario_Control!$M$25=0,AB$3&gt;=Assumptions!$D$232+Scenario_Control!$M$26),1,0)</f>
        <v>0.9</v>
      </c>
      <c r="AC47" s="53" t="n">
        <f aca="false">(INDEX(Assumptions!$D$42:$F$42,1,AC$5)*AC40/12*Scenario_Control!$M$10)*IF(OR(Scenario_Control!$M$25=0,AC$3&gt;=Assumptions!$D$232+Scenario_Control!$M$26),1,0)</f>
        <v>0.75</v>
      </c>
      <c r="AD47" s="53" t="n">
        <f aca="false">(INDEX(Assumptions!$D$42:$F$42,1,AD$5)*AD40/12*Scenario_Control!$M$10)*IF(OR(Scenario_Control!$M$25=0,AD$3&gt;=Assumptions!$D$232+Scenario_Control!$M$26),1,0)</f>
        <v>1.35</v>
      </c>
      <c r="AE47" s="53" t="n">
        <f aca="false">(INDEX(Assumptions!$D$42:$F$42,1,AE$5)*AE40/12*Scenario_Control!$M$10)*IF(OR(Scenario_Control!$M$25=0,AE$3&gt;=Assumptions!$D$232+Scenario_Control!$M$26),1,0)</f>
        <v>1.5</v>
      </c>
      <c r="AF47" s="53" t="n">
        <f aca="false">(INDEX(Assumptions!$D$42:$F$42,1,AF$5)*AF40/12*Scenario_Control!$M$10)*IF(OR(Scenario_Control!$M$25=0,AF$3&gt;=Assumptions!$D$232+Scenario_Control!$M$26),1,0)</f>
        <v>2.1</v>
      </c>
      <c r="AG47" s="53" t="n">
        <f aca="false">(INDEX(Assumptions!$D$42:$F$42,1,AG$5)*AG40/12*Scenario_Control!$M$10)*IF(OR(Scenario_Control!$M$25=0,AG$3&gt;=Assumptions!$D$232+Scenario_Control!$M$26),1,0)</f>
        <v>2.4</v>
      </c>
      <c r="AH47" s="53" t="n">
        <f aca="false">(INDEX(Assumptions!$D$42:$F$42,1,AH$5)*AH40/12*Scenario_Control!$M$10)*IF(OR(Scenario_Control!$M$25=0,AH$3&gt;=Assumptions!$D$232+Scenario_Control!$M$26),1,0)</f>
        <v>2.7</v>
      </c>
      <c r="AI47" s="53" t="n">
        <f aca="false">(INDEX(Assumptions!$D$42:$F$42,1,AI$5)*AI40/12*Scenario_Control!$M$10)*IF(OR(Scenario_Control!$M$25=0,AI$3&gt;=Assumptions!$D$232+Scenario_Control!$M$26),1,0)</f>
        <v>2.55</v>
      </c>
      <c r="AJ47" s="53" t="n">
        <f aca="false">(INDEX(Assumptions!$D$42:$F$42,1,AJ$5)*AJ40/12*Scenario_Control!$M$10)*IF(OR(Scenario_Control!$M$25=0,AJ$3&gt;=Assumptions!$D$232+Scenario_Control!$M$26),1,0)</f>
        <v>1.5</v>
      </c>
      <c r="AK47" s="53" t="n">
        <f aca="false">(INDEX(Assumptions!$D$42:$F$42,1,AK$5)*AK40/12*Scenario_Control!$M$10)*IF(OR(Scenario_Control!$M$25=0,AK$3&gt;=Assumptions!$D$232+Scenario_Control!$M$26),1,0)</f>
        <v>0.75</v>
      </c>
      <c r="AL47" s="53" t="n">
        <f aca="false">(INDEX(Assumptions!$D$42:$F$42,1,AL$5)*AL40/12*Scenario_Control!$M$10)*IF(OR(Scenario_Control!$M$25=0,AL$3&gt;=Assumptions!$D$232+Scenario_Control!$M$26),1,0)</f>
        <v>0.6</v>
      </c>
      <c r="AM47" s="53" t="n">
        <f aca="false">(INDEX(Assumptions!$D$42:$F$42,1,AM$5)*AM40/12*Scenario_Control!$M$10)*IF(OR(Scenario_Control!$M$25=0,AM$3&gt;=Assumptions!$D$232+Scenario_Control!$M$26),1,0)</f>
        <v>0.9</v>
      </c>
    </row>
    <row r="48" customFormat="false" ht="15" hidden="false" customHeight="true" outlineLevel="0" collapsed="false">
      <c r="A48" s="5" t="s">
        <v>813</v>
      </c>
      <c r="B48" s="10" t="s">
        <v>100</v>
      </c>
      <c r="C48" s="57" t="n">
        <f aca="false">SUM(D48:AM48)</f>
        <v>27</v>
      </c>
      <c r="D48" s="53" t="n">
        <f aca="false">IF(D$3-(Scenario_Control!$M$12)&lt;1,0,INDEX($D$47:$AM$47,1,D$3-(Scenario_Control!$M$12)))</f>
        <v>0.05</v>
      </c>
      <c r="E48" s="53" t="n">
        <f aca="false">IF(E$3-(Scenario_Control!$M$12)&lt;1,0,INDEX($D$47:$AM$47,1,E$3-(Scenario_Control!$M$12)))</f>
        <v>0.0416666666666667</v>
      </c>
      <c r="F48" s="53" t="n">
        <f aca="false">IF(F$3-(Scenario_Control!$M$12)&lt;1,0,INDEX($D$47:$AM$47,1,F$3-(Scenario_Control!$M$12)))</f>
        <v>0.075</v>
      </c>
      <c r="G48" s="53" t="n">
        <f aca="false">IF(G$3-(Scenario_Control!$M$12)&lt;1,0,INDEX($D$47:$AM$47,1,G$3-(Scenario_Control!$M$12)))</f>
        <v>0.0833333333333333</v>
      </c>
      <c r="H48" s="53" t="n">
        <f aca="false">IF(H$3-(Scenario_Control!$M$12)&lt;1,0,INDEX($D$47:$AM$47,1,H$3-(Scenario_Control!$M$12)))</f>
        <v>0.116666666666667</v>
      </c>
      <c r="I48" s="53" t="n">
        <f aca="false">IF(I$3-(Scenario_Control!$M$12)&lt;1,0,INDEX($D$47:$AM$47,1,I$3-(Scenario_Control!$M$12)))</f>
        <v>0.133333333333333</v>
      </c>
      <c r="J48" s="53" t="n">
        <f aca="false">IF(J$3-(Scenario_Control!$M$12)&lt;1,0,INDEX($D$47:$AM$47,1,J$3-(Scenario_Control!$M$12)))</f>
        <v>0.15</v>
      </c>
      <c r="K48" s="53" t="n">
        <f aca="false">IF(K$3-(Scenario_Control!$M$12)&lt;1,0,INDEX($D$47:$AM$47,1,K$3-(Scenario_Control!$M$12)))</f>
        <v>0.141666666666667</v>
      </c>
      <c r="L48" s="53" t="n">
        <f aca="false">IF(L$3-(Scenario_Control!$M$12)&lt;1,0,INDEX($D$47:$AM$47,1,L$3-(Scenario_Control!$M$12)))</f>
        <v>0.0833333333333333</v>
      </c>
      <c r="M48" s="53" t="n">
        <f aca="false">IF(M$3-(Scenario_Control!$M$12)&lt;1,0,INDEX($D$47:$AM$47,1,M$3-(Scenario_Control!$M$12)))</f>
        <v>0.0416666666666667</v>
      </c>
      <c r="N48" s="53" t="n">
        <f aca="false">IF(N$3-(Scenario_Control!$M$12)&lt;1,0,INDEX($D$47:$AM$47,1,N$3-(Scenario_Control!$M$12)))</f>
        <v>0.0333333333333333</v>
      </c>
      <c r="O48" s="53" t="n">
        <f aca="false">IF(O$3-(Scenario_Control!$M$12)&lt;1,0,INDEX($D$47:$AM$47,1,O$3-(Scenario_Control!$M$12)))</f>
        <v>0.05</v>
      </c>
      <c r="P48" s="53" t="n">
        <f aca="false">IF(P$3-(Scenario_Control!$M$12)&lt;1,0,INDEX($D$47:$AM$47,1,P$3-(Scenario_Control!$M$12)))</f>
        <v>0.4</v>
      </c>
      <c r="Q48" s="53" t="n">
        <f aca="false">IF(Q$3-(Scenario_Control!$M$12)&lt;1,0,INDEX($D$47:$AM$47,1,Q$3-(Scenario_Control!$M$12)))</f>
        <v>0.333333333333333</v>
      </c>
      <c r="R48" s="53" t="n">
        <f aca="false">IF(R$3-(Scenario_Control!$M$12)&lt;1,0,INDEX($D$47:$AM$47,1,R$3-(Scenario_Control!$M$12)))</f>
        <v>0.6</v>
      </c>
      <c r="S48" s="53" t="n">
        <f aca="false">IF(S$3-(Scenario_Control!$M$12)&lt;1,0,INDEX($D$47:$AM$47,1,S$3-(Scenario_Control!$M$12)))</f>
        <v>0.666666666666667</v>
      </c>
      <c r="T48" s="53" t="n">
        <f aca="false">IF(T$3-(Scenario_Control!$M$12)&lt;1,0,INDEX($D$47:$AM$47,1,T$3-(Scenario_Control!$M$12)))</f>
        <v>0.933333333333333</v>
      </c>
      <c r="U48" s="53" t="n">
        <f aca="false">IF(U$3-(Scenario_Control!$M$12)&lt;1,0,INDEX($D$47:$AM$47,1,U$3-(Scenario_Control!$M$12)))</f>
        <v>1.06666666666667</v>
      </c>
      <c r="V48" s="53" t="n">
        <f aca="false">IF(V$3-(Scenario_Control!$M$12)&lt;1,0,INDEX($D$47:$AM$47,1,V$3-(Scenario_Control!$M$12)))</f>
        <v>1.2</v>
      </c>
      <c r="W48" s="53" t="n">
        <f aca="false">IF(W$3-(Scenario_Control!$M$12)&lt;1,0,INDEX($D$47:$AM$47,1,W$3-(Scenario_Control!$M$12)))</f>
        <v>1.13333333333333</v>
      </c>
      <c r="X48" s="53" t="n">
        <f aca="false">IF(X$3-(Scenario_Control!$M$12)&lt;1,0,INDEX($D$47:$AM$47,1,X$3-(Scenario_Control!$M$12)))</f>
        <v>0.666666666666667</v>
      </c>
      <c r="Y48" s="53" t="n">
        <f aca="false">IF(Y$3-(Scenario_Control!$M$12)&lt;1,0,INDEX($D$47:$AM$47,1,Y$3-(Scenario_Control!$M$12)))</f>
        <v>0.333333333333333</v>
      </c>
      <c r="Z48" s="53" t="n">
        <f aca="false">IF(Z$3-(Scenario_Control!$M$12)&lt;1,0,INDEX($D$47:$AM$47,1,Z$3-(Scenario_Control!$M$12)))</f>
        <v>0.266666666666667</v>
      </c>
      <c r="AA48" s="53" t="n">
        <f aca="false">IF(AA$3-(Scenario_Control!$M$12)&lt;1,0,INDEX($D$47:$AM$47,1,AA$3-(Scenario_Control!$M$12)))</f>
        <v>0.4</v>
      </c>
      <c r="AB48" s="53" t="n">
        <f aca="false">IF(AB$3-(Scenario_Control!$M$12)&lt;1,0,INDEX($D$47:$AM$47,1,AB$3-(Scenario_Control!$M$12)))</f>
        <v>0.9</v>
      </c>
      <c r="AC48" s="53" t="n">
        <f aca="false">IF(AC$3-(Scenario_Control!$M$12)&lt;1,0,INDEX($D$47:$AM$47,1,AC$3-(Scenario_Control!$M$12)))</f>
        <v>0.75</v>
      </c>
      <c r="AD48" s="53" t="n">
        <f aca="false">IF(AD$3-(Scenario_Control!$M$12)&lt;1,0,INDEX($D$47:$AM$47,1,AD$3-(Scenario_Control!$M$12)))</f>
        <v>1.35</v>
      </c>
      <c r="AE48" s="53" t="n">
        <f aca="false">IF(AE$3-(Scenario_Control!$M$12)&lt;1,0,INDEX($D$47:$AM$47,1,AE$3-(Scenario_Control!$M$12)))</f>
        <v>1.5</v>
      </c>
      <c r="AF48" s="53" t="n">
        <f aca="false">IF(AF$3-(Scenario_Control!$M$12)&lt;1,0,INDEX($D$47:$AM$47,1,AF$3-(Scenario_Control!$M$12)))</f>
        <v>2.1</v>
      </c>
      <c r="AG48" s="53" t="n">
        <f aca="false">IF(AG$3-(Scenario_Control!$M$12)&lt;1,0,INDEX($D$47:$AM$47,1,AG$3-(Scenario_Control!$M$12)))</f>
        <v>2.4</v>
      </c>
      <c r="AH48" s="53" t="n">
        <f aca="false">IF(AH$3-(Scenario_Control!$M$12)&lt;1,0,INDEX($D$47:$AM$47,1,AH$3-(Scenario_Control!$M$12)))</f>
        <v>2.7</v>
      </c>
      <c r="AI48" s="53" t="n">
        <f aca="false">IF(AI$3-(Scenario_Control!$M$12)&lt;1,0,INDEX($D$47:$AM$47,1,AI$3-(Scenario_Control!$M$12)))</f>
        <v>2.55</v>
      </c>
      <c r="AJ48" s="53" t="n">
        <f aca="false">IF(AJ$3-(Scenario_Control!$M$12)&lt;1,0,INDEX($D$47:$AM$47,1,AJ$3-(Scenario_Control!$M$12)))</f>
        <v>1.5</v>
      </c>
      <c r="AK48" s="53" t="n">
        <f aca="false">IF(AK$3-(Scenario_Control!$M$12)&lt;1,0,INDEX($D$47:$AM$47,1,AK$3-(Scenario_Control!$M$12)))</f>
        <v>0.75</v>
      </c>
      <c r="AL48" s="53" t="n">
        <f aca="false">IF(AL$3-(Scenario_Control!$M$12)&lt;1,0,INDEX($D$47:$AM$47,1,AL$3-(Scenario_Control!$M$12)))</f>
        <v>0.6</v>
      </c>
      <c r="AM48" s="53" t="n">
        <f aca="false">IF(AM$3-(Scenario_Control!$M$12)&lt;1,0,INDEX($D$47:$AM$47,1,AM$3-(Scenario_Control!$M$12)))</f>
        <v>0.9</v>
      </c>
    </row>
    <row r="49" customFormat="false" ht="15" hidden="false" customHeight="true" outlineLevel="0" collapsed="false">
      <c r="A49" s="5" t="s">
        <v>814</v>
      </c>
      <c r="B49" s="10" t="s">
        <v>100</v>
      </c>
      <c r="C49" s="57" t="n">
        <f aca="false">AM49</f>
        <v>27</v>
      </c>
      <c r="D49" s="53" t="n">
        <f aca="false">0+D48</f>
        <v>0.05</v>
      </c>
      <c r="E49" s="53" t="n">
        <f aca="false">D49+E48</f>
        <v>0.0916666666666667</v>
      </c>
      <c r="F49" s="53" t="n">
        <f aca="false">E49+F48</f>
        <v>0.166666666666667</v>
      </c>
      <c r="G49" s="53" t="n">
        <f aca="false">F49+G48</f>
        <v>0.25</v>
      </c>
      <c r="H49" s="53" t="n">
        <f aca="false">G49+H48</f>
        <v>0.366666666666667</v>
      </c>
      <c r="I49" s="53" t="n">
        <f aca="false">H49+I48</f>
        <v>0.5</v>
      </c>
      <c r="J49" s="53" t="n">
        <f aca="false">I49+J48</f>
        <v>0.65</v>
      </c>
      <c r="K49" s="53" t="n">
        <f aca="false">J49+K48</f>
        <v>0.791666666666667</v>
      </c>
      <c r="L49" s="53" t="n">
        <f aca="false">K49+L48</f>
        <v>0.875</v>
      </c>
      <c r="M49" s="53" t="n">
        <f aca="false">L49+M48</f>
        <v>0.916666666666667</v>
      </c>
      <c r="N49" s="53" t="n">
        <f aca="false">M49+N48</f>
        <v>0.95</v>
      </c>
      <c r="O49" s="53" t="n">
        <f aca="false">N49+O48</f>
        <v>1</v>
      </c>
      <c r="P49" s="53" t="n">
        <f aca="false">O49+P48</f>
        <v>1.4</v>
      </c>
      <c r="Q49" s="53" t="n">
        <f aca="false">P49+Q48</f>
        <v>1.73333333333333</v>
      </c>
      <c r="R49" s="53" t="n">
        <f aca="false">Q49+R48</f>
        <v>2.33333333333333</v>
      </c>
      <c r="S49" s="53" t="n">
        <f aca="false">R49+S48</f>
        <v>3</v>
      </c>
      <c r="T49" s="53" t="n">
        <f aca="false">S49+T48</f>
        <v>3.93333333333333</v>
      </c>
      <c r="U49" s="53" t="n">
        <f aca="false">T49+U48</f>
        <v>5</v>
      </c>
      <c r="V49" s="53" t="n">
        <f aca="false">U49+V48</f>
        <v>6.2</v>
      </c>
      <c r="W49" s="53" t="n">
        <f aca="false">V49+W48</f>
        <v>7.33333333333333</v>
      </c>
      <c r="X49" s="53" t="n">
        <f aca="false">W49+X48</f>
        <v>8</v>
      </c>
      <c r="Y49" s="53" t="n">
        <f aca="false">X49+Y48</f>
        <v>8.33333333333333</v>
      </c>
      <c r="Z49" s="53" t="n">
        <f aca="false">Y49+Z48</f>
        <v>8.6</v>
      </c>
      <c r="AA49" s="53" t="n">
        <f aca="false">Z49+AA48</f>
        <v>9</v>
      </c>
      <c r="AB49" s="53" t="n">
        <f aca="false">AA49+AB48</f>
        <v>9.9</v>
      </c>
      <c r="AC49" s="53" t="n">
        <f aca="false">AB49+AC48</f>
        <v>10.65</v>
      </c>
      <c r="AD49" s="53" t="n">
        <f aca="false">AC49+AD48</f>
        <v>12</v>
      </c>
      <c r="AE49" s="53" t="n">
        <f aca="false">AD49+AE48</f>
        <v>13.5</v>
      </c>
      <c r="AF49" s="53" t="n">
        <f aca="false">AE49+AF48</f>
        <v>15.6</v>
      </c>
      <c r="AG49" s="53" t="n">
        <f aca="false">AF49+AG48</f>
        <v>18</v>
      </c>
      <c r="AH49" s="53" t="n">
        <f aca="false">AG49+AH48</f>
        <v>20.7</v>
      </c>
      <c r="AI49" s="53" t="n">
        <f aca="false">AH49+AI48</f>
        <v>23.25</v>
      </c>
      <c r="AJ49" s="53" t="n">
        <f aca="false">AI49+AJ48</f>
        <v>24.75</v>
      </c>
      <c r="AK49" s="53" t="n">
        <f aca="false">AJ49+AK48</f>
        <v>25.5</v>
      </c>
      <c r="AL49" s="53" t="n">
        <f aca="false">AK49+AL48</f>
        <v>26.1</v>
      </c>
      <c r="AM49" s="53" t="n">
        <f aca="false">AL49+AM48</f>
        <v>27</v>
      </c>
    </row>
    <row r="50" customFormat="false" ht="15" hidden="false" customHeight="true" outlineLevel="0" collapsed="false">
      <c r="A50" s="5" t="s">
        <v>815</v>
      </c>
      <c r="B50" s="10" t="s">
        <v>100</v>
      </c>
      <c r="C50" s="57" t="n">
        <f aca="false">SUM(D50:AM50)</f>
        <v>23.25</v>
      </c>
      <c r="D50" s="53" t="n">
        <f aca="false">IF(D$3-(Assumptions!$D$208)&lt;1,0,INDEX($D$48:$AM$48,1,D$3-(Assumptions!$D$208)))</f>
        <v>0</v>
      </c>
      <c r="E50" s="53" t="n">
        <f aca="false">IF(E$3-(Assumptions!$D$208)&lt;1,0,INDEX($D$48:$AM$48,1,E$3-(Assumptions!$D$208)))</f>
        <v>0</v>
      </c>
      <c r="F50" s="53" t="n">
        <f aca="false">IF(F$3-(Assumptions!$D$208)&lt;1,0,INDEX($D$48:$AM$48,1,F$3-(Assumptions!$D$208)))</f>
        <v>0</v>
      </c>
      <c r="G50" s="53" t="n">
        <f aca="false">IF(G$3-(Assumptions!$D$208)&lt;1,0,INDEX($D$48:$AM$48,1,G$3-(Assumptions!$D$208)))</f>
        <v>0</v>
      </c>
      <c r="H50" s="53" t="n">
        <f aca="false">IF(H$3-(Assumptions!$D$208)&lt;1,0,INDEX($D$48:$AM$48,1,H$3-(Assumptions!$D$208)))</f>
        <v>0.05</v>
      </c>
      <c r="I50" s="53" t="n">
        <f aca="false">IF(I$3-(Assumptions!$D$208)&lt;1,0,INDEX($D$48:$AM$48,1,I$3-(Assumptions!$D$208)))</f>
        <v>0.0416666666666667</v>
      </c>
      <c r="J50" s="53" t="n">
        <f aca="false">IF(J$3-(Assumptions!$D$208)&lt;1,0,INDEX($D$48:$AM$48,1,J$3-(Assumptions!$D$208)))</f>
        <v>0.075</v>
      </c>
      <c r="K50" s="53" t="n">
        <f aca="false">IF(K$3-(Assumptions!$D$208)&lt;1,0,INDEX($D$48:$AM$48,1,K$3-(Assumptions!$D$208)))</f>
        <v>0.0833333333333333</v>
      </c>
      <c r="L50" s="53" t="n">
        <f aca="false">IF(L$3-(Assumptions!$D$208)&lt;1,0,INDEX($D$48:$AM$48,1,L$3-(Assumptions!$D$208)))</f>
        <v>0.116666666666667</v>
      </c>
      <c r="M50" s="53" t="n">
        <f aca="false">IF(M$3-(Assumptions!$D$208)&lt;1,0,INDEX($D$48:$AM$48,1,M$3-(Assumptions!$D$208)))</f>
        <v>0.133333333333333</v>
      </c>
      <c r="N50" s="53" t="n">
        <f aca="false">IF(N$3-(Assumptions!$D$208)&lt;1,0,INDEX($D$48:$AM$48,1,N$3-(Assumptions!$D$208)))</f>
        <v>0.15</v>
      </c>
      <c r="O50" s="53" t="n">
        <f aca="false">IF(O$3-(Assumptions!$D$208)&lt;1,0,INDEX($D$48:$AM$48,1,O$3-(Assumptions!$D$208)))</f>
        <v>0.141666666666667</v>
      </c>
      <c r="P50" s="53" t="n">
        <f aca="false">IF(P$3-(Assumptions!$D$208)&lt;1,0,INDEX($D$48:$AM$48,1,P$3-(Assumptions!$D$208)))</f>
        <v>0.0833333333333333</v>
      </c>
      <c r="Q50" s="53" t="n">
        <f aca="false">IF(Q$3-(Assumptions!$D$208)&lt;1,0,INDEX($D$48:$AM$48,1,Q$3-(Assumptions!$D$208)))</f>
        <v>0.0416666666666667</v>
      </c>
      <c r="R50" s="53" t="n">
        <f aca="false">IF(R$3-(Assumptions!$D$208)&lt;1,0,INDEX($D$48:$AM$48,1,R$3-(Assumptions!$D$208)))</f>
        <v>0.0333333333333333</v>
      </c>
      <c r="S50" s="53" t="n">
        <f aca="false">IF(S$3-(Assumptions!$D$208)&lt;1,0,INDEX($D$48:$AM$48,1,S$3-(Assumptions!$D$208)))</f>
        <v>0.05</v>
      </c>
      <c r="T50" s="53" t="n">
        <f aca="false">IF(T$3-(Assumptions!$D$208)&lt;1,0,INDEX($D$48:$AM$48,1,T$3-(Assumptions!$D$208)))</f>
        <v>0.4</v>
      </c>
      <c r="U50" s="53" t="n">
        <f aca="false">IF(U$3-(Assumptions!$D$208)&lt;1,0,INDEX($D$48:$AM$48,1,U$3-(Assumptions!$D$208)))</f>
        <v>0.333333333333333</v>
      </c>
      <c r="V50" s="53" t="n">
        <f aca="false">IF(V$3-(Assumptions!$D$208)&lt;1,0,INDEX($D$48:$AM$48,1,V$3-(Assumptions!$D$208)))</f>
        <v>0.6</v>
      </c>
      <c r="W50" s="53" t="n">
        <f aca="false">IF(W$3-(Assumptions!$D$208)&lt;1,0,INDEX($D$48:$AM$48,1,W$3-(Assumptions!$D$208)))</f>
        <v>0.666666666666667</v>
      </c>
      <c r="X50" s="53" t="n">
        <f aca="false">IF(X$3-(Assumptions!$D$208)&lt;1,0,INDEX($D$48:$AM$48,1,X$3-(Assumptions!$D$208)))</f>
        <v>0.933333333333333</v>
      </c>
      <c r="Y50" s="53" t="n">
        <f aca="false">IF(Y$3-(Assumptions!$D$208)&lt;1,0,INDEX($D$48:$AM$48,1,Y$3-(Assumptions!$D$208)))</f>
        <v>1.06666666666667</v>
      </c>
      <c r="Z50" s="53" t="n">
        <f aca="false">IF(Z$3-(Assumptions!$D$208)&lt;1,0,INDEX($D$48:$AM$48,1,Z$3-(Assumptions!$D$208)))</f>
        <v>1.2</v>
      </c>
      <c r="AA50" s="53" t="n">
        <f aca="false">IF(AA$3-(Assumptions!$D$208)&lt;1,0,INDEX($D$48:$AM$48,1,AA$3-(Assumptions!$D$208)))</f>
        <v>1.13333333333333</v>
      </c>
      <c r="AB50" s="53" t="n">
        <f aca="false">IF(AB$3-(Assumptions!$D$208)&lt;1,0,INDEX($D$48:$AM$48,1,AB$3-(Assumptions!$D$208)))</f>
        <v>0.666666666666667</v>
      </c>
      <c r="AC50" s="53" t="n">
        <f aca="false">IF(AC$3-(Assumptions!$D$208)&lt;1,0,INDEX($D$48:$AM$48,1,AC$3-(Assumptions!$D$208)))</f>
        <v>0.333333333333333</v>
      </c>
      <c r="AD50" s="53" t="n">
        <f aca="false">IF(AD$3-(Assumptions!$D$208)&lt;1,0,INDEX($D$48:$AM$48,1,AD$3-(Assumptions!$D$208)))</f>
        <v>0.266666666666667</v>
      </c>
      <c r="AE50" s="53" t="n">
        <f aca="false">IF(AE$3-(Assumptions!$D$208)&lt;1,0,INDEX($D$48:$AM$48,1,AE$3-(Assumptions!$D$208)))</f>
        <v>0.4</v>
      </c>
      <c r="AF50" s="53" t="n">
        <f aca="false">IF(AF$3-(Assumptions!$D$208)&lt;1,0,INDEX($D$48:$AM$48,1,AF$3-(Assumptions!$D$208)))</f>
        <v>0.9</v>
      </c>
      <c r="AG50" s="53" t="n">
        <f aca="false">IF(AG$3-(Assumptions!$D$208)&lt;1,0,INDEX($D$48:$AM$48,1,AG$3-(Assumptions!$D$208)))</f>
        <v>0.75</v>
      </c>
      <c r="AH50" s="53" t="n">
        <f aca="false">IF(AH$3-(Assumptions!$D$208)&lt;1,0,INDEX($D$48:$AM$48,1,AH$3-(Assumptions!$D$208)))</f>
        <v>1.35</v>
      </c>
      <c r="AI50" s="53" t="n">
        <f aca="false">IF(AI$3-(Assumptions!$D$208)&lt;1,0,INDEX($D$48:$AM$48,1,AI$3-(Assumptions!$D$208)))</f>
        <v>1.5</v>
      </c>
      <c r="AJ50" s="53" t="n">
        <f aca="false">IF(AJ$3-(Assumptions!$D$208)&lt;1,0,INDEX($D$48:$AM$48,1,AJ$3-(Assumptions!$D$208)))</f>
        <v>2.1</v>
      </c>
      <c r="AK50" s="53" t="n">
        <f aca="false">IF(AK$3-(Assumptions!$D$208)&lt;1,0,INDEX($D$48:$AM$48,1,AK$3-(Assumptions!$D$208)))</f>
        <v>2.4</v>
      </c>
      <c r="AL50" s="53" t="n">
        <f aca="false">IF(AL$3-(Assumptions!$D$208)&lt;1,0,INDEX($D$48:$AM$48,1,AL$3-(Assumptions!$D$208)))</f>
        <v>2.7</v>
      </c>
      <c r="AM50" s="53" t="n">
        <f aca="false">IF(AM$3-(Assumptions!$D$208)&lt;1,0,INDEX($D$48:$AM$48,1,AM$3-(Assumptions!$D$208)))</f>
        <v>2.55</v>
      </c>
    </row>
    <row r="51" customFormat="false" ht="15" hidden="false" customHeight="true" outlineLevel="0" collapsed="false">
      <c r="A51" s="5" t="s">
        <v>816</v>
      </c>
      <c r="B51" s="10" t="s">
        <v>100</v>
      </c>
      <c r="C51" s="57" t="n">
        <f aca="false">AM51</f>
        <v>23.25</v>
      </c>
      <c r="D51" s="53" t="n">
        <f aca="false">0+D50</f>
        <v>0</v>
      </c>
      <c r="E51" s="53" t="n">
        <f aca="false">D51+E50</f>
        <v>0</v>
      </c>
      <c r="F51" s="53" t="n">
        <f aca="false">E51+F50</f>
        <v>0</v>
      </c>
      <c r="G51" s="53" t="n">
        <f aca="false">F51+G50</f>
        <v>0</v>
      </c>
      <c r="H51" s="53" t="n">
        <f aca="false">G51+H50</f>
        <v>0.05</v>
      </c>
      <c r="I51" s="53" t="n">
        <f aca="false">H51+I50</f>
        <v>0.0916666666666667</v>
      </c>
      <c r="J51" s="53" t="n">
        <f aca="false">I51+J50</f>
        <v>0.166666666666667</v>
      </c>
      <c r="K51" s="53" t="n">
        <f aca="false">J51+K50</f>
        <v>0.25</v>
      </c>
      <c r="L51" s="53" t="n">
        <f aca="false">K51+L50</f>
        <v>0.366666666666667</v>
      </c>
      <c r="M51" s="53" t="n">
        <f aca="false">L51+M50</f>
        <v>0.5</v>
      </c>
      <c r="N51" s="53" t="n">
        <f aca="false">M51+N50</f>
        <v>0.65</v>
      </c>
      <c r="O51" s="53" t="n">
        <f aca="false">N51+O50</f>
        <v>0.791666666666667</v>
      </c>
      <c r="P51" s="53" t="n">
        <f aca="false">O51+P50</f>
        <v>0.875</v>
      </c>
      <c r="Q51" s="53" t="n">
        <f aca="false">P51+Q50</f>
        <v>0.916666666666667</v>
      </c>
      <c r="R51" s="53" t="n">
        <f aca="false">Q51+R50</f>
        <v>0.95</v>
      </c>
      <c r="S51" s="53" t="n">
        <f aca="false">R51+S50</f>
        <v>1</v>
      </c>
      <c r="T51" s="53" t="n">
        <f aca="false">S51+T50</f>
        <v>1.4</v>
      </c>
      <c r="U51" s="53" t="n">
        <f aca="false">T51+U50</f>
        <v>1.73333333333333</v>
      </c>
      <c r="V51" s="53" t="n">
        <f aca="false">U51+V50</f>
        <v>2.33333333333333</v>
      </c>
      <c r="W51" s="53" t="n">
        <f aca="false">V51+W50</f>
        <v>3</v>
      </c>
      <c r="X51" s="53" t="n">
        <f aca="false">W51+X50</f>
        <v>3.93333333333333</v>
      </c>
      <c r="Y51" s="53" t="n">
        <f aca="false">X51+Y50</f>
        <v>5</v>
      </c>
      <c r="Z51" s="53" t="n">
        <f aca="false">Y51+Z50</f>
        <v>6.2</v>
      </c>
      <c r="AA51" s="53" t="n">
        <f aca="false">Z51+AA50</f>
        <v>7.33333333333333</v>
      </c>
      <c r="AB51" s="53" t="n">
        <f aca="false">AA51+AB50</f>
        <v>8</v>
      </c>
      <c r="AC51" s="53" t="n">
        <f aca="false">AB51+AC50</f>
        <v>8.33333333333333</v>
      </c>
      <c r="AD51" s="53" t="n">
        <f aca="false">AC51+AD50</f>
        <v>8.6</v>
      </c>
      <c r="AE51" s="53" t="n">
        <f aca="false">AD51+AE50</f>
        <v>9</v>
      </c>
      <c r="AF51" s="53" t="n">
        <f aca="false">AE51+AF50</f>
        <v>9.9</v>
      </c>
      <c r="AG51" s="53" t="n">
        <f aca="false">AF51+AG50</f>
        <v>10.65</v>
      </c>
      <c r="AH51" s="53" t="n">
        <f aca="false">AG51+AH50</f>
        <v>12</v>
      </c>
      <c r="AI51" s="53" t="n">
        <f aca="false">AH51+AI50</f>
        <v>13.5</v>
      </c>
      <c r="AJ51" s="53" t="n">
        <f aca="false">AI51+AJ50</f>
        <v>15.6</v>
      </c>
      <c r="AK51" s="53" t="n">
        <f aca="false">AJ51+AK50</f>
        <v>18</v>
      </c>
      <c r="AL51" s="53" t="n">
        <f aca="false">AK51+AL50</f>
        <v>20.7</v>
      </c>
      <c r="AM51" s="53" t="n">
        <f aca="false">AL51+AM50</f>
        <v>23.25</v>
      </c>
    </row>
    <row r="52" customFormat="false" ht="15" hidden="false" customHeight="true" outlineLevel="0" collapsed="false">
      <c r="A52" s="5" t="s">
        <v>817</v>
      </c>
      <c r="B52" s="10" t="s">
        <v>100</v>
      </c>
      <c r="C52" s="57"/>
      <c r="D52" s="53" t="n">
        <f aca="false">0-IF(D$3-(1+Assumptions!$D$208)&lt;1,0,INDEX($D$49:$AM$49,1,D$3-(1+Assumptions!$D$208)))</f>
        <v>0</v>
      </c>
      <c r="E52" s="53" t="n">
        <f aca="false">D49-IF(E$3-(1+Assumptions!$D$208)&lt;1,0,INDEX($D$49:$AM$49,1,E$3-(1+Assumptions!$D$208)))</f>
        <v>0.05</v>
      </c>
      <c r="F52" s="53" t="n">
        <f aca="false">E49-IF(F$3-(1+Assumptions!$D$208)&lt;1,0,INDEX($D$49:$AM$49,1,F$3-(1+Assumptions!$D$208)))</f>
        <v>0.0916666666666667</v>
      </c>
      <c r="G52" s="53" t="n">
        <f aca="false">F49-IF(G$3-(1+Assumptions!$D$208)&lt;1,0,INDEX($D$49:$AM$49,1,G$3-(1+Assumptions!$D$208)))</f>
        <v>0.166666666666667</v>
      </c>
      <c r="H52" s="53" t="n">
        <f aca="false">G49-IF(H$3-(1+Assumptions!$D$208)&lt;1,0,INDEX($D$49:$AM$49,1,H$3-(1+Assumptions!$D$208)))</f>
        <v>0.25</v>
      </c>
      <c r="I52" s="53" t="n">
        <f aca="false">H49-IF(I$3-(1+Assumptions!$D$208)&lt;1,0,INDEX($D$49:$AM$49,1,I$3-(1+Assumptions!$D$208)))</f>
        <v>0.316666666666667</v>
      </c>
      <c r="J52" s="53" t="n">
        <f aca="false">I49-IF(J$3-(1+Assumptions!$D$208)&lt;1,0,INDEX($D$49:$AM$49,1,J$3-(1+Assumptions!$D$208)))</f>
        <v>0.408333333333333</v>
      </c>
      <c r="K52" s="53" t="n">
        <f aca="false">J49-IF(K$3-(1+Assumptions!$D$208)&lt;1,0,INDEX($D$49:$AM$49,1,K$3-(1+Assumptions!$D$208)))</f>
        <v>0.483333333333333</v>
      </c>
      <c r="L52" s="53" t="n">
        <f aca="false">K49-IF(L$3-(1+Assumptions!$D$208)&lt;1,0,INDEX($D$49:$AM$49,1,L$3-(1+Assumptions!$D$208)))</f>
        <v>0.541666666666667</v>
      </c>
      <c r="M52" s="53" t="n">
        <f aca="false">L49-IF(M$3-(1+Assumptions!$D$208)&lt;1,0,INDEX($D$49:$AM$49,1,M$3-(1+Assumptions!$D$208)))</f>
        <v>0.508333333333334</v>
      </c>
      <c r="N52" s="53" t="n">
        <f aca="false">M49-IF(N$3-(1+Assumptions!$D$208)&lt;1,0,INDEX($D$49:$AM$49,1,N$3-(1+Assumptions!$D$208)))</f>
        <v>0.416666666666667</v>
      </c>
      <c r="O52" s="53" t="n">
        <f aca="false">N49-IF(O$3-(1+Assumptions!$D$208)&lt;1,0,INDEX($D$49:$AM$49,1,O$3-(1+Assumptions!$D$208)))</f>
        <v>0.3</v>
      </c>
      <c r="P52" s="53" t="n">
        <f aca="false">O49-IF(P$3-(1+Assumptions!$D$208)&lt;1,0,INDEX($D$49:$AM$49,1,P$3-(1+Assumptions!$D$208)))</f>
        <v>0.208333333333333</v>
      </c>
      <c r="Q52" s="53" t="n">
        <f aca="false">P49-IF(Q$3-(1+Assumptions!$D$208)&lt;1,0,INDEX($D$49:$AM$49,1,Q$3-(1+Assumptions!$D$208)))</f>
        <v>0.525</v>
      </c>
      <c r="R52" s="53" t="n">
        <f aca="false">Q49-IF(R$3-(1+Assumptions!$D$208)&lt;1,0,INDEX($D$49:$AM$49,1,R$3-(1+Assumptions!$D$208)))</f>
        <v>0.816666666666666</v>
      </c>
      <c r="S52" s="53" t="n">
        <f aca="false">R49-IF(S$3-(1+Assumptions!$D$208)&lt;1,0,INDEX($D$49:$AM$49,1,S$3-(1+Assumptions!$D$208)))</f>
        <v>1.38333333333333</v>
      </c>
      <c r="T52" s="53" t="n">
        <f aca="false">S49-IF(T$3-(1+Assumptions!$D$208)&lt;1,0,INDEX($D$49:$AM$49,1,T$3-(1+Assumptions!$D$208)))</f>
        <v>2</v>
      </c>
      <c r="U52" s="53" t="n">
        <f aca="false">T49-IF(U$3-(1+Assumptions!$D$208)&lt;1,0,INDEX($D$49:$AM$49,1,U$3-(1+Assumptions!$D$208)))</f>
        <v>2.53333333333333</v>
      </c>
      <c r="V52" s="53" t="n">
        <f aca="false">U49-IF(V$3-(1+Assumptions!$D$208)&lt;1,0,INDEX($D$49:$AM$49,1,V$3-(1+Assumptions!$D$208)))</f>
        <v>3.26666666666667</v>
      </c>
      <c r="W52" s="53" t="n">
        <f aca="false">V49-IF(W$3-(1+Assumptions!$D$208)&lt;1,0,INDEX($D$49:$AM$49,1,W$3-(1+Assumptions!$D$208)))</f>
        <v>3.86666666666667</v>
      </c>
      <c r="X52" s="53" t="n">
        <f aca="false">W49-IF(X$3-(1+Assumptions!$D$208)&lt;1,0,INDEX($D$49:$AM$49,1,X$3-(1+Assumptions!$D$208)))</f>
        <v>4.33333333333333</v>
      </c>
      <c r="Y52" s="53" t="n">
        <f aca="false">X49-IF(Y$3-(1+Assumptions!$D$208)&lt;1,0,INDEX($D$49:$AM$49,1,Y$3-(1+Assumptions!$D$208)))</f>
        <v>4.06666666666667</v>
      </c>
      <c r="Z52" s="53" t="n">
        <f aca="false">Y49-IF(Z$3-(1+Assumptions!$D$208)&lt;1,0,INDEX($D$49:$AM$49,1,Z$3-(1+Assumptions!$D$208)))</f>
        <v>3.33333333333333</v>
      </c>
      <c r="AA52" s="53" t="n">
        <f aca="false">Z49-IF(AA$3-(1+Assumptions!$D$208)&lt;1,0,INDEX($D$49:$AM$49,1,AA$3-(1+Assumptions!$D$208)))</f>
        <v>2.4</v>
      </c>
      <c r="AB52" s="53" t="n">
        <f aca="false">AA49-IF(AB$3-(1+Assumptions!$D$208)&lt;1,0,INDEX($D$49:$AM$49,1,AB$3-(1+Assumptions!$D$208)))</f>
        <v>1.66666666666667</v>
      </c>
      <c r="AC52" s="53" t="n">
        <f aca="false">AB49-IF(AC$3-(1+Assumptions!$D$208)&lt;1,0,INDEX($D$49:$AM$49,1,AC$3-(1+Assumptions!$D$208)))</f>
        <v>1.9</v>
      </c>
      <c r="AD52" s="53" t="n">
        <f aca="false">AC49-IF(AD$3-(1+Assumptions!$D$208)&lt;1,0,INDEX($D$49:$AM$49,1,AD$3-(1+Assumptions!$D$208)))</f>
        <v>2.31666666666667</v>
      </c>
      <c r="AE52" s="53" t="n">
        <f aca="false">AD49-IF(AE$3-(1+Assumptions!$D$208)&lt;1,0,INDEX($D$49:$AM$49,1,AE$3-(1+Assumptions!$D$208)))</f>
        <v>3.4</v>
      </c>
      <c r="AF52" s="53" t="n">
        <f aca="false">AE49-IF(AF$3-(1+Assumptions!$D$208)&lt;1,0,INDEX($D$49:$AM$49,1,AF$3-(1+Assumptions!$D$208)))</f>
        <v>4.5</v>
      </c>
      <c r="AG52" s="53" t="n">
        <f aca="false">AF49-IF(AG$3-(1+Assumptions!$D$208)&lt;1,0,INDEX($D$49:$AM$49,1,AG$3-(1+Assumptions!$D$208)))</f>
        <v>5.7</v>
      </c>
      <c r="AH52" s="53" t="n">
        <f aca="false">AG49-IF(AH$3-(1+Assumptions!$D$208)&lt;1,0,INDEX($D$49:$AM$49,1,AH$3-(1+Assumptions!$D$208)))</f>
        <v>7.35</v>
      </c>
      <c r="AI52" s="53" t="n">
        <f aca="false">AH49-IF(AI$3-(1+Assumptions!$D$208)&lt;1,0,INDEX($D$49:$AM$49,1,AI$3-(1+Assumptions!$D$208)))</f>
        <v>8.7</v>
      </c>
      <c r="AJ52" s="53" t="n">
        <f aca="false">AI49-IF(AJ$3-(1+Assumptions!$D$208)&lt;1,0,INDEX($D$49:$AM$49,1,AJ$3-(1+Assumptions!$D$208)))</f>
        <v>9.75</v>
      </c>
      <c r="AK52" s="53" t="n">
        <f aca="false">AJ49-IF(AK$3-(1+Assumptions!$D$208)&lt;1,0,INDEX($D$49:$AM$49,1,AK$3-(1+Assumptions!$D$208)))</f>
        <v>9.15</v>
      </c>
      <c r="AL52" s="53" t="n">
        <f aca="false">AK49-IF(AL$3-(1+Assumptions!$D$208)&lt;1,0,INDEX($D$49:$AM$49,1,AL$3-(1+Assumptions!$D$208)))</f>
        <v>7.5</v>
      </c>
      <c r="AM52" s="53" t="n">
        <f aca="false">AL49-IF(AM$3-(1+Assumptions!$D$208)&lt;1,0,INDEX($D$49:$AM$49,1,AM$3-(1+Assumptions!$D$208)))</f>
        <v>5.4</v>
      </c>
    </row>
    <row r="53" customFormat="false" ht="15" hidden="false" customHeight="true" outlineLevel="0" collapsed="false">
      <c r="A53" s="5" t="s">
        <v>818</v>
      </c>
      <c r="B53" s="10" t="s">
        <v>100</v>
      </c>
      <c r="C53" s="57" t="n">
        <f aca="false">SUM(D53:AM53)</f>
        <v>12</v>
      </c>
      <c r="D53" s="53" t="n">
        <f aca="false">(INDEX(Assumptions!$D$52:$F$52,1,D$5)*D40/12*Scenario_Control!$M$10)*IF(OR(Scenario_Control!$M$25=0,D$3&gt;=Assumptions!$D$233+Scenario_Control!$M$26),1,0)</f>
        <v>0</v>
      </c>
      <c r="E53" s="53" t="n">
        <f aca="false">(INDEX(Assumptions!$D$52:$F$52,1,E$5)*E40/12*Scenario_Control!$M$10)*IF(OR(Scenario_Control!$M$25=0,E$3&gt;=Assumptions!$D$233+Scenario_Control!$M$26),1,0)</f>
        <v>0</v>
      </c>
      <c r="F53" s="53" t="n">
        <f aca="false">(INDEX(Assumptions!$D$52:$F$52,1,F$5)*F40/12*Scenario_Control!$M$10)*IF(OR(Scenario_Control!$M$25=0,F$3&gt;=Assumptions!$D$233+Scenario_Control!$M$26),1,0)</f>
        <v>0</v>
      </c>
      <c r="G53" s="53" t="n">
        <f aca="false">(INDEX(Assumptions!$D$52:$F$52,1,G$5)*G40/12*Scenario_Control!$M$10)*IF(OR(Scenario_Control!$M$25=0,G$3&gt;=Assumptions!$D$233+Scenario_Control!$M$26),1,0)</f>
        <v>0</v>
      </c>
      <c r="H53" s="53" t="n">
        <f aca="false">(INDEX(Assumptions!$D$52:$F$52,1,H$5)*H40/12*Scenario_Control!$M$10)*IF(OR(Scenario_Control!$M$25=0,H$3&gt;=Assumptions!$D$233+Scenario_Control!$M$26),1,0)</f>
        <v>0</v>
      </c>
      <c r="I53" s="53" t="n">
        <f aca="false">(INDEX(Assumptions!$D$52:$F$52,1,I$5)*I40/12*Scenario_Control!$M$10)*IF(OR(Scenario_Control!$M$25=0,I$3&gt;=Assumptions!$D$233+Scenario_Control!$M$26),1,0)</f>
        <v>0</v>
      </c>
      <c r="J53" s="53" t="n">
        <f aca="false">(INDEX(Assumptions!$D$52:$F$52,1,J$5)*J40/12*Scenario_Control!$M$10)*IF(OR(Scenario_Control!$M$25=0,J$3&gt;=Assumptions!$D$233+Scenario_Control!$M$26),1,0)</f>
        <v>0</v>
      </c>
      <c r="K53" s="53" t="n">
        <f aca="false">(INDEX(Assumptions!$D$52:$F$52,1,K$5)*K40/12*Scenario_Control!$M$10)*IF(OR(Scenario_Control!$M$25=0,K$3&gt;=Assumptions!$D$233+Scenario_Control!$M$26),1,0)</f>
        <v>0</v>
      </c>
      <c r="L53" s="53" t="n">
        <f aca="false">(INDEX(Assumptions!$D$52:$F$52,1,L$5)*L40/12*Scenario_Control!$M$10)*IF(OR(Scenario_Control!$M$25=0,L$3&gt;=Assumptions!$D$233+Scenario_Control!$M$26),1,0)</f>
        <v>0</v>
      </c>
      <c r="M53" s="53" t="n">
        <f aca="false">(INDEX(Assumptions!$D$52:$F$52,1,M$5)*M40/12*Scenario_Control!$M$10)*IF(OR(Scenario_Control!$M$25=0,M$3&gt;=Assumptions!$D$233+Scenario_Control!$M$26),1,0)</f>
        <v>0</v>
      </c>
      <c r="N53" s="53" t="n">
        <f aca="false">(INDEX(Assumptions!$D$52:$F$52,1,N$5)*N40/12*Scenario_Control!$M$10)*IF(OR(Scenario_Control!$M$25=0,N$3&gt;=Assumptions!$D$233+Scenario_Control!$M$26),1,0)</f>
        <v>0</v>
      </c>
      <c r="O53" s="53" t="n">
        <f aca="false">(INDEX(Assumptions!$D$52:$F$52,1,O$5)*O40/12*Scenario_Control!$M$10)*IF(OR(Scenario_Control!$M$25=0,O$3&gt;=Assumptions!$D$233+Scenario_Control!$M$26),1,0)</f>
        <v>0</v>
      </c>
      <c r="P53" s="53" t="n">
        <f aca="false">(INDEX(Assumptions!$D$52:$F$52,1,P$5)*P40/12*Scenario_Control!$M$10)*IF(OR(Scenario_Control!$M$25=0,P$3&gt;=Assumptions!$D$233+Scenario_Control!$M$26),1,0)</f>
        <v>0.15</v>
      </c>
      <c r="Q53" s="53" t="n">
        <f aca="false">(INDEX(Assumptions!$D$52:$F$52,1,Q$5)*Q40/12*Scenario_Control!$M$10)*IF(OR(Scenario_Control!$M$25=0,Q$3&gt;=Assumptions!$D$233+Scenario_Control!$M$26),1,0)</f>
        <v>0.125</v>
      </c>
      <c r="R53" s="53" t="n">
        <f aca="false">(INDEX(Assumptions!$D$52:$F$52,1,R$5)*R40/12*Scenario_Control!$M$10)*IF(OR(Scenario_Control!$M$25=0,R$3&gt;=Assumptions!$D$233+Scenario_Control!$M$26),1,0)</f>
        <v>0.225</v>
      </c>
      <c r="S53" s="53" t="n">
        <f aca="false">(INDEX(Assumptions!$D$52:$F$52,1,S$5)*S40/12*Scenario_Control!$M$10)*IF(OR(Scenario_Control!$M$25=0,S$3&gt;=Assumptions!$D$233+Scenario_Control!$M$26),1,0)</f>
        <v>0.25</v>
      </c>
      <c r="T53" s="53" t="n">
        <f aca="false">(INDEX(Assumptions!$D$52:$F$52,1,T$5)*T40/12*Scenario_Control!$M$10)*IF(OR(Scenario_Control!$M$25=0,T$3&gt;=Assumptions!$D$233+Scenario_Control!$M$26),1,0)</f>
        <v>0.35</v>
      </c>
      <c r="U53" s="53" t="n">
        <f aca="false">(INDEX(Assumptions!$D$52:$F$52,1,U$5)*U40/12*Scenario_Control!$M$10)*IF(OR(Scenario_Control!$M$25=0,U$3&gt;=Assumptions!$D$233+Scenario_Control!$M$26),1,0)</f>
        <v>0.4</v>
      </c>
      <c r="V53" s="53" t="n">
        <f aca="false">(INDEX(Assumptions!$D$52:$F$52,1,V$5)*V40/12*Scenario_Control!$M$10)*IF(OR(Scenario_Control!$M$25=0,V$3&gt;=Assumptions!$D$233+Scenario_Control!$M$26),1,0)</f>
        <v>0.45</v>
      </c>
      <c r="W53" s="53" t="n">
        <f aca="false">(INDEX(Assumptions!$D$52:$F$52,1,W$5)*W40/12*Scenario_Control!$M$10)*IF(OR(Scenario_Control!$M$25=0,W$3&gt;=Assumptions!$D$233+Scenario_Control!$M$26),1,0)</f>
        <v>0.425</v>
      </c>
      <c r="X53" s="53" t="n">
        <f aca="false">(INDEX(Assumptions!$D$52:$F$52,1,X$5)*X40/12*Scenario_Control!$M$10)*IF(OR(Scenario_Control!$M$25=0,X$3&gt;=Assumptions!$D$233+Scenario_Control!$M$26),1,0)</f>
        <v>0.25</v>
      </c>
      <c r="Y53" s="53" t="n">
        <f aca="false">(INDEX(Assumptions!$D$52:$F$52,1,Y$5)*Y40/12*Scenario_Control!$M$10)*IF(OR(Scenario_Control!$M$25=0,Y$3&gt;=Assumptions!$D$233+Scenario_Control!$M$26),1,0)</f>
        <v>0.125</v>
      </c>
      <c r="Z53" s="53" t="n">
        <f aca="false">(INDEX(Assumptions!$D$52:$F$52,1,Z$5)*Z40/12*Scenario_Control!$M$10)*IF(OR(Scenario_Control!$M$25=0,Z$3&gt;=Assumptions!$D$233+Scenario_Control!$M$26),1,0)</f>
        <v>0.1</v>
      </c>
      <c r="AA53" s="53" t="n">
        <f aca="false">(INDEX(Assumptions!$D$52:$F$52,1,AA$5)*AA40/12*Scenario_Control!$M$10)*IF(OR(Scenario_Control!$M$25=0,AA$3&gt;=Assumptions!$D$233+Scenario_Control!$M$26),1,0)</f>
        <v>0.15</v>
      </c>
      <c r="AB53" s="53" t="n">
        <f aca="false">(INDEX(Assumptions!$D$52:$F$52,1,AB$5)*AB40/12*Scenario_Control!$M$10)*IF(OR(Scenario_Control!$M$25=0,AB$3&gt;=Assumptions!$D$233+Scenario_Control!$M$26),1,0)</f>
        <v>0.45</v>
      </c>
      <c r="AC53" s="53" t="n">
        <f aca="false">(INDEX(Assumptions!$D$52:$F$52,1,AC$5)*AC40/12*Scenario_Control!$M$10)*IF(OR(Scenario_Control!$M$25=0,AC$3&gt;=Assumptions!$D$233+Scenario_Control!$M$26),1,0)</f>
        <v>0.375</v>
      </c>
      <c r="AD53" s="53" t="n">
        <f aca="false">(INDEX(Assumptions!$D$52:$F$52,1,AD$5)*AD40/12*Scenario_Control!$M$10)*IF(OR(Scenario_Control!$M$25=0,AD$3&gt;=Assumptions!$D$233+Scenario_Control!$M$26),1,0)</f>
        <v>0.675</v>
      </c>
      <c r="AE53" s="53" t="n">
        <f aca="false">(INDEX(Assumptions!$D$52:$F$52,1,AE$5)*AE40/12*Scenario_Control!$M$10)*IF(OR(Scenario_Control!$M$25=0,AE$3&gt;=Assumptions!$D$233+Scenario_Control!$M$26),1,0)</f>
        <v>0.75</v>
      </c>
      <c r="AF53" s="53" t="n">
        <f aca="false">(INDEX(Assumptions!$D$52:$F$52,1,AF$5)*AF40/12*Scenario_Control!$M$10)*IF(OR(Scenario_Control!$M$25=0,AF$3&gt;=Assumptions!$D$233+Scenario_Control!$M$26),1,0)</f>
        <v>1.05</v>
      </c>
      <c r="AG53" s="53" t="n">
        <f aca="false">(INDEX(Assumptions!$D$52:$F$52,1,AG$5)*AG40/12*Scenario_Control!$M$10)*IF(OR(Scenario_Control!$M$25=0,AG$3&gt;=Assumptions!$D$233+Scenario_Control!$M$26),1,0)</f>
        <v>1.2</v>
      </c>
      <c r="AH53" s="53" t="n">
        <f aca="false">(INDEX(Assumptions!$D$52:$F$52,1,AH$5)*AH40/12*Scenario_Control!$M$10)*IF(OR(Scenario_Control!$M$25=0,AH$3&gt;=Assumptions!$D$233+Scenario_Control!$M$26),1,0)</f>
        <v>1.35</v>
      </c>
      <c r="AI53" s="53" t="n">
        <f aca="false">(INDEX(Assumptions!$D$52:$F$52,1,AI$5)*AI40/12*Scenario_Control!$M$10)*IF(OR(Scenario_Control!$M$25=0,AI$3&gt;=Assumptions!$D$233+Scenario_Control!$M$26),1,0)</f>
        <v>1.275</v>
      </c>
      <c r="AJ53" s="53" t="n">
        <f aca="false">(INDEX(Assumptions!$D$52:$F$52,1,AJ$5)*AJ40/12*Scenario_Control!$M$10)*IF(OR(Scenario_Control!$M$25=0,AJ$3&gt;=Assumptions!$D$233+Scenario_Control!$M$26),1,0)</f>
        <v>0.75</v>
      </c>
      <c r="AK53" s="53" t="n">
        <f aca="false">(INDEX(Assumptions!$D$52:$F$52,1,AK$5)*AK40/12*Scenario_Control!$M$10)*IF(OR(Scenario_Control!$M$25=0,AK$3&gt;=Assumptions!$D$233+Scenario_Control!$M$26),1,0)</f>
        <v>0.375</v>
      </c>
      <c r="AL53" s="53" t="n">
        <f aca="false">(INDEX(Assumptions!$D$52:$F$52,1,AL$5)*AL40/12*Scenario_Control!$M$10)*IF(OR(Scenario_Control!$M$25=0,AL$3&gt;=Assumptions!$D$233+Scenario_Control!$M$26),1,0)</f>
        <v>0.3</v>
      </c>
      <c r="AM53" s="53" t="n">
        <f aca="false">(INDEX(Assumptions!$D$52:$F$52,1,AM$5)*AM40/12*Scenario_Control!$M$10)*IF(OR(Scenario_Control!$M$25=0,AM$3&gt;=Assumptions!$D$233+Scenario_Control!$M$26),1,0)</f>
        <v>0.45</v>
      </c>
    </row>
    <row r="54" customFormat="false" ht="15" hidden="false" customHeight="true" outlineLevel="0" collapsed="false">
      <c r="A54" s="5" t="s">
        <v>819</v>
      </c>
      <c r="B54" s="10" t="s">
        <v>100</v>
      </c>
      <c r="C54" s="57" t="n">
        <f aca="false">SUM(D54:AM54)</f>
        <v>12</v>
      </c>
      <c r="D54" s="53" t="n">
        <f aca="false">IF(D$3-(Scenario_Control!$M$12)&lt;1,0,INDEX($D$53:$AM$53,1,D$3-(Scenario_Control!$M$12)))</f>
        <v>0</v>
      </c>
      <c r="E54" s="53" t="n">
        <f aca="false">IF(E$3-(Scenario_Control!$M$12)&lt;1,0,INDEX($D$53:$AM$53,1,E$3-(Scenario_Control!$M$12)))</f>
        <v>0</v>
      </c>
      <c r="F54" s="53" t="n">
        <f aca="false">IF(F$3-(Scenario_Control!$M$12)&lt;1,0,INDEX($D$53:$AM$53,1,F$3-(Scenario_Control!$M$12)))</f>
        <v>0</v>
      </c>
      <c r="G54" s="53" t="n">
        <f aca="false">IF(G$3-(Scenario_Control!$M$12)&lt;1,0,INDEX($D$53:$AM$53,1,G$3-(Scenario_Control!$M$12)))</f>
        <v>0</v>
      </c>
      <c r="H54" s="53" t="n">
        <f aca="false">IF(H$3-(Scenario_Control!$M$12)&lt;1,0,INDEX($D$53:$AM$53,1,H$3-(Scenario_Control!$M$12)))</f>
        <v>0</v>
      </c>
      <c r="I54" s="53" t="n">
        <f aca="false">IF(I$3-(Scenario_Control!$M$12)&lt;1,0,INDEX($D$53:$AM$53,1,I$3-(Scenario_Control!$M$12)))</f>
        <v>0</v>
      </c>
      <c r="J54" s="53" t="n">
        <f aca="false">IF(J$3-(Scenario_Control!$M$12)&lt;1,0,INDEX($D$53:$AM$53,1,J$3-(Scenario_Control!$M$12)))</f>
        <v>0</v>
      </c>
      <c r="K54" s="53" t="n">
        <f aca="false">IF(K$3-(Scenario_Control!$M$12)&lt;1,0,INDEX($D$53:$AM$53,1,K$3-(Scenario_Control!$M$12)))</f>
        <v>0</v>
      </c>
      <c r="L54" s="53" t="n">
        <f aca="false">IF(L$3-(Scenario_Control!$M$12)&lt;1,0,INDEX($D$53:$AM$53,1,L$3-(Scenario_Control!$M$12)))</f>
        <v>0</v>
      </c>
      <c r="M54" s="53" t="n">
        <f aca="false">IF(M$3-(Scenario_Control!$M$12)&lt;1,0,INDEX($D$53:$AM$53,1,M$3-(Scenario_Control!$M$12)))</f>
        <v>0</v>
      </c>
      <c r="N54" s="53" t="n">
        <f aca="false">IF(N$3-(Scenario_Control!$M$12)&lt;1,0,INDEX($D$53:$AM$53,1,N$3-(Scenario_Control!$M$12)))</f>
        <v>0</v>
      </c>
      <c r="O54" s="53" t="n">
        <f aca="false">IF(O$3-(Scenario_Control!$M$12)&lt;1,0,INDEX($D$53:$AM$53,1,O$3-(Scenario_Control!$M$12)))</f>
        <v>0</v>
      </c>
      <c r="P54" s="53" t="n">
        <f aca="false">IF(P$3-(Scenario_Control!$M$12)&lt;1,0,INDEX($D$53:$AM$53,1,P$3-(Scenario_Control!$M$12)))</f>
        <v>0.15</v>
      </c>
      <c r="Q54" s="53" t="n">
        <f aca="false">IF(Q$3-(Scenario_Control!$M$12)&lt;1,0,INDEX($D$53:$AM$53,1,Q$3-(Scenario_Control!$M$12)))</f>
        <v>0.125</v>
      </c>
      <c r="R54" s="53" t="n">
        <f aca="false">IF(R$3-(Scenario_Control!$M$12)&lt;1,0,INDEX($D$53:$AM$53,1,R$3-(Scenario_Control!$M$12)))</f>
        <v>0.225</v>
      </c>
      <c r="S54" s="53" t="n">
        <f aca="false">IF(S$3-(Scenario_Control!$M$12)&lt;1,0,INDEX($D$53:$AM$53,1,S$3-(Scenario_Control!$M$12)))</f>
        <v>0.25</v>
      </c>
      <c r="T54" s="53" t="n">
        <f aca="false">IF(T$3-(Scenario_Control!$M$12)&lt;1,0,INDEX($D$53:$AM$53,1,T$3-(Scenario_Control!$M$12)))</f>
        <v>0.35</v>
      </c>
      <c r="U54" s="53" t="n">
        <f aca="false">IF(U$3-(Scenario_Control!$M$12)&lt;1,0,INDEX($D$53:$AM$53,1,U$3-(Scenario_Control!$M$12)))</f>
        <v>0.4</v>
      </c>
      <c r="V54" s="53" t="n">
        <f aca="false">IF(V$3-(Scenario_Control!$M$12)&lt;1,0,INDEX($D$53:$AM$53,1,V$3-(Scenario_Control!$M$12)))</f>
        <v>0.45</v>
      </c>
      <c r="W54" s="53" t="n">
        <f aca="false">IF(W$3-(Scenario_Control!$M$12)&lt;1,0,INDEX($D$53:$AM$53,1,W$3-(Scenario_Control!$M$12)))</f>
        <v>0.425</v>
      </c>
      <c r="X54" s="53" t="n">
        <f aca="false">IF(X$3-(Scenario_Control!$M$12)&lt;1,0,INDEX($D$53:$AM$53,1,X$3-(Scenario_Control!$M$12)))</f>
        <v>0.25</v>
      </c>
      <c r="Y54" s="53" t="n">
        <f aca="false">IF(Y$3-(Scenario_Control!$M$12)&lt;1,0,INDEX($D$53:$AM$53,1,Y$3-(Scenario_Control!$M$12)))</f>
        <v>0.125</v>
      </c>
      <c r="Z54" s="53" t="n">
        <f aca="false">IF(Z$3-(Scenario_Control!$M$12)&lt;1,0,INDEX($D$53:$AM$53,1,Z$3-(Scenario_Control!$M$12)))</f>
        <v>0.1</v>
      </c>
      <c r="AA54" s="53" t="n">
        <f aca="false">IF(AA$3-(Scenario_Control!$M$12)&lt;1,0,INDEX($D$53:$AM$53,1,AA$3-(Scenario_Control!$M$12)))</f>
        <v>0.15</v>
      </c>
      <c r="AB54" s="53" t="n">
        <f aca="false">IF(AB$3-(Scenario_Control!$M$12)&lt;1,0,INDEX($D$53:$AM$53,1,AB$3-(Scenario_Control!$M$12)))</f>
        <v>0.45</v>
      </c>
      <c r="AC54" s="53" t="n">
        <f aca="false">IF(AC$3-(Scenario_Control!$M$12)&lt;1,0,INDEX($D$53:$AM$53,1,AC$3-(Scenario_Control!$M$12)))</f>
        <v>0.375</v>
      </c>
      <c r="AD54" s="53" t="n">
        <f aca="false">IF(AD$3-(Scenario_Control!$M$12)&lt;1,0,INDEX($D$53:$AM$53,1,AD$3-(Scenario_Control!$M$12)))</f>
        <v>0.675</v>
      </c>
      <c r="AE54" s="53" t="n">
        <f aca="false">IF(AE$3-(Scenario_Control!$M$12)&lt;1,0,INDEX($D$53:$AM$53,1,AE$3-(Scenario_Control!$M$12)))</f>
        <v>0.75</v>
      </c>
      <c r="AF54" s="53" t="n">
        <f aca="false">IF(AF$3-(Scenario_Control!$M$12)&lt;1,0,INDEX($D$53:$AM$53,1,AF$3-(Scenario_Control!$M$12)))</f>
        <v>1.05</v>
      </c>
      <c r="AG54" s="53" t="n">
        <f aca="false">IF(AG$3-(Scenario_Control!$M$12)&lt;1,0,INDEX($D$53:$AM$53,1,AG$3-(Scenario_Control!$M$12)))</f>
        <v>1.2</v>
      </c>
      <c r="AH54" s="53" t="n">
        <f aca="false">IF(AH$3-(Scenario_Control!$M$12)&lt;1,0,INDEX($D$53:$AM$53,1,AH$3-(Scenario_Control!$M$12)))</f>
        <v>1.35</v>
      </c>
      <c r="AI54" s="53" t="n">
        <f aca="false">IF(AI$3-(Scenario_Control!$M$12)&lt;1,0,INDEX($D$53:$AM$53,1,AI$3-(Scenario_Control!$M$12)))</f>
        <v>1.275</v>
      </c>
      <c r="AJ54" s="53" t="n">
        <f aca="false">IF(AJ$3-(Scenario_Control!$M$12)&lt;1,0,INDEX($D$53:$AM$53,1,AJ$3-(Scenario_Control!$M$12)))</f>
        <v>0.75</v>
      </c>
      <c r="AK54" s="53" t="n">
        <f aca="false">IF(AK$3-(Scenario_Control!$M$12)&lt;1,0,INDEX($D$53:$AM$53,1,AK$3-(Scenario_Control!$M$12)))</f>
        <v>0.375</v>
      </c>
      <c r="AL54" s="53" t="n">
        <f aca="false">IF(AL$3-(Scenario_Control!$M$12)&lt;1,0,INDEX($D$53:$AM$53,1,AL$3-(Scenario_Control!$M$12)))</f>
        <v>0.3</v>
      </c>
      <c r="AM54" s="53" t="n">
        <f aca="false">IF(AM$3-(Scenario_Control!$M$12)&lt;1,0,INDEX($D$53:$AM$53,1,AM$3-(Scenario_Control!$M$12)))</f>
        <v>0.45</v>
      </c>
    </row>
    <row r="55" customFormat="false" ht="15" hidden="false" customHeight="true" outlineLevel="0" collapsed="false">
      <c r="A55" s="5" t="s">
        <v>820</v>
      </c>
      <c r="B55" s="10" t="s">
        <v>100</v>
      </c>
      <c r="C55" s="57" t="n">
        <f aca="false">AM55</f>
        <v>12</v>
      </c>
      <c r="D55" s="53" t="n">
        <f aca="false">0+D54</f>
        <v>0</v>
      </c>
      <c r="E55" s="53" t="n">
        <f aca="false">D55+E54</f>
        <v>0</v>
      </c>
      <c r="F55" s="53" t="n">
        <f aca="false">E55+F54</f>
        <v>0</v>
      </c>
      <c r="G55" s="53" t="n">
        <f aca="false">F55+G54</f>
        <v>0</v>
      </c>
      <c r="H55" s="53" t="n">
        <f aca="false">G55+H54</f>
        <v>0</v>
      </c>
      <c r="I55" s="53" t="n">
        <f aca="false">H55+I54</f>
        <v>0</v>
      </c>
      <c r="J55" s="53" t="n">
        <f aca="false">I55+J54</f>
        <v>0</v>
      </c>
      <c r="K55" s="53" t="n">
        <f aca="false">J55+K54</f>
        <v>0</v>
      </c>
      <c r="L55" s="53" t="n">
        <f aca="false">K55+L54</f>
        <v>0</v>
      </c>
      <c r="M55" s="53" t="n">
        <f aca="false">L55+M54</f>
        <v>0</v>
      </c>
      <c r="N55" s="53" t="n">
        <f aca="false">M55+N54</f>
        <v>0</v>
      </c>
      <c r="O55" s="53" t="n">
        <f aca="false">N55+O54</f>
        <v>0</v>
      </c>
      <c r="P55" s="53" t="n">
        <f aca="false">O55+P54</f>
        <v>0.15</v>
      </c>
      <c r="Q55" s="53" t="n">
        <f aca="false">P55+Q54</f>
        <v>0.275</v>
      </c>
      <c r="R55" s="53" t="n">
        <f aca="false">Q55+R54</f>
        <v>0.5</v>
      </c>
      <c r="S55" s="53" t="n">
        <f aca="false">R55+S54</f>
        <v>0.75</v>
      </c>
      <c r="T55" s="53" t="n">
        <f aca="false">S55+T54</f>
        <v>1.1</v>
      </c>
      <c r="U55" s="53" t="n">
        <f aca="false">T55+U54</f>
        <v>1.5</v>
      </c>
      <c r="V55" s="53" t="n">
        <f aca="false">U55+V54</f>
        <v>1.95</v>
      </c>
      <c r="W55" s="53" t="n">
        <f aca="false">V55+W54</f>
        <v>2.375</v>
      </c>
      <c r="X55" s="53" t="n">
        <f aca="false">W55+X54</f>
        <v>2.625</v>
      </c>
      <c r="Y55" s="53" t="n">
        <f aca="false">X55+Y54</f>
        <v>2.75</v>
      </c>
      <c r="Z55" s="53" t="n">
        <f aca="false">Y55+Z54</f>
        <v>2.85</v>
      </c>
      <c r="AA55" s="53" t="n">
        <f aca="false">Z55+AA54</f>
        <v>3</v>
      </c>
      <c r="AB55" s="53" t="n">
        <f aca="false">AA55+AB54</f>
        <v>3.45</v>
      </c>
      <c r="AC55" s="53" t="n">
        <f aca="false">AB55+AC54</f>
        <v>3.825</v>
      </c>
      <c r="AD55" s="53" t="n">
        <f aca="false">AC55+AD54</f>
        <v>4.5</v>
      </c>
      <c r="AE55" s="53" t="n">
        <f aca="false">AD55+AE54</f>
        <v>5.25</v>
      </c>
      <c r="AF55" s="53" t="n">
        <f aca="false">AE55+AF54</f>
        <v>6.3</v>
      </c>
      <c r="AG55" s="53" t="n">
        <f aca="false">AF55+AG54</f>
        <v>7.5</v>
      </c>
      <c r="AH55" s="53" t="n">
        <f aca="false">AG55+AH54</f>
        <v>8.85</v>
      </c>
      <c r="AI55" s="53" t="n">
        <f aca="false">AH55+AI54</f>
        <v>10.125</v>
      </c>
      <c r="AJ55" s="53" t="n">
        <f aca="false">AI55+AJ54</f>
        <v>10.875</v>
      </c>
      <c r="AK55" s="53" t="n">
        <f aca="false">AJ55+AK54</f>
        <v>11.25</v>
      </c>
      <c r="AL55" s="53" t="n">
        <f aca="false">AK55+AL54</f>
        <v>11.55</v>
      </c>
      <c r="AM55" s="53" t="n">
        <f aca="false">AL55+AM54</f>
        <v>12</v>
      </c>
    </row>
    <row r="56" customFormat="false" ht="15" hidden="false" customHeight="true" outlineLevel="0" collapsed="false">
      <c r="A56" s="5" t="s">
        <v>821</v>
      </c>
      <c r="B56" s="10" t="s">
        <v>100</v>
      </c>
      <c r="C56" s="57" t="n">
        <f aca="false">SUM(D56:AM56)</f>
        <v>7.5</v>
      </c>
      <c r="D56" s="53" t="n">
        <f aca="false">IF(D$3-(Assumptions!$D$209)&lt;1,0,INDEX($D$54:$AM$54,1,D$3-(Assumptions!$D$209)))</f>
        <v>0</v>
      </c>
      <c r="E56" s="53" t="n">
        <f aca="false">IF(E$3-(Assumptions!$D$209)&lt;1,0,INDEX($D$54:$AM$54,1,E$3-(Assumptions!$D$209)))</f>
        <v>0</v>
      </c>
      <c r="F56" s="53" t="n">
        <f aca="false">IF(F$3-(Assumptions!$D$209)&lt;1,0,INDEX($D$54:$AM$54,1,F$3-(Assumptions!$D$209)))</f>
        <v>0</v>
      </c>
      <c r="G56" s="53" t="n">
        <f aca="false">IF(G$3-(Assumptions!$D$209)&lt;1,0,INDEX($D$54:$AM$54,1,G$3-(Assumptions!$D$209)))</f>
        <v>0</v>
      </c>
      <c r="H56" s="53" t="n">
        <f aca="false">IF(H$3-(Assumptions!$D$209)&lt;1,0,INDEX($D$54:$AM$54,1,H$3-(Assumptions!$D$209)))</f>
        <v>0</v>
      </c>
      <c r="I56" s="53" t="n">
        <f aca="false">IF(I$3-(Assumptions!$D$209)&lt;1,0,INDEX($D$54:$AM$54,1,I$3-(Assumptions!$D$209)))</f>
        <v>0</v>
      </c>
      <c r="J56" s="53" t="n">
        <f aca="false">IF(J$3-(Assumptions!$D$209)&lt;1,0,INDEX($D$54:$AM$54,1,J$3-(Assumptions!$D$209)))</f>
        <v>0</v>
      </c>
      <c r="K56" s="53" t="n">
        <f aca="false">IF(K$3-(Assumptions!$D$209)&lt;1,0,INDEX($D$54:$AM$54,1,K$3-(Assumptions!$D$209)))</f>
        <v>0</v>
      </c>
      <c r="L56" s="53" t="n">
        <f aca="false">IF(L$3-(Assumptions!$D$209)&lt;1,0,INDEX($D$54:$AM$54,1,L$3-(Assumptions!$D$209)))</f>
        <v>0</v>
      </c>
      <c r="M56" s="53" t="n">
        <f aca="false">IF(M$3-(Assumptions!$D$209)&lt;1,0,INDEX($D$54:$AM$54,1,M$3-(Assumptions!$D$209)))</f>
        <v>0</v>
      </c>
      <c r="N56" s="53" t="n">
        <f aca="false">IF(N$3-(Assumptions!$D$209)&lt;1,0,INDEX($D$54:$AM$54,1,N$3-(Assumptions!$D$209)))</f>
        <v>0</v>
      </c>
      <c r="O56" s="53" t="n">
        <f aca="false">IF(O$3-(Assumptions!$D$209)&lt;1,0,INDEX($D$54:$AM$54,1,O$3-(Assumptions!$D$209)))</f>
        <v>0</v>
      </c>
      <c r="P56" s="53" t="n">
        <f aca="false">IF(P$3-(Assumptions!$D$209)&lt;1,0,INDEX($D$54:$AM$54,1,P$3-(Assumptions!$D$209)))</f>
        <v>0</v>
      </c>
      <c r="Q56" s="53" t="n">
        <f aca="false">IF(Q$3-(Assumptions!$D$209)&lt;1,0,INDEX($D$54:$AM$54,1,Q$3-(Assumptions!$D$209)))</f>
        <v>0</v>
      </c>
      <c r="R56" s="53" t="n">
        <f aca="false">IF(R$3-(Assumptions!$D$209)&lt;1,0,INDEX($D$54:$AM$54,1,R$3-(Assumptions!$D$209)))</f>
        <v>0</v>
      </c>
      <c r="S56" s="53" t="n">
        <f aca="false">IF(S$3-(Assumptions!$D$209)&lt;1,0,INDEX($D$54:$AM$54,1,S$3-(Assumptions!$D$209)))</f>
        <v>0</v>
      </c>
      <c r="T56" s="53" t="n">
        <f aca="false">IF(T$3-(Assumptions!$D$209)&lt;1,0,INDEX($D$54:$AM$54,1,T$3-(Assumptions!$D$209)))</f>
        <v>0</v>
      </c>
      <c r="U56" s="53" t="n">
        <f aca="false">IF(U$3-(Assumptions!$D$209)&lt;1,0,INDEX($D$54:$AM$54,1,U$3-(Assumptions!$D$209)))</f>
        <v>0</v>
      </c>
      <c r="V56" s="53" t="n">
        <f aca="false">IF(V$3-(Assumptions!$D$209)&lt;1,0,INDEX($D$54:$AM$54,1,V$3-(Assumptions!$D$209)))</f>
        <v>0.15</v>
      </c>
      <c r="W56" s="53" t="n">
        <f aca="false">IF(W$3-(Assumptions!$D$209)&lt;1,0,INDEX($D$54:$AM$54,1,W$3-(Assumptions!$D$209)))</f>
        <v>0.125</v>
      </c>
      <c r="X56" s="53" t="n">
        <f aca="false">IF(X$3-(Assumptions!$D$209)&lt;1,0,INDEX($D$54:$AM$54,1,X$3-(Assumptions!$D$209)))</f>
        <v>0.225</v>
      </c>
      <c r="Y56" s="53" t="n">
        <f aca="false">IF(Y$3-(Assumptions!$D$209)&lt;1,0,INDEX($D$54:$AM$54,1,Y$3-(Assumptions!$D$209)))</f>
        <v>0.25</v>
      </c>
      <c r="Z56" s="53" t="n">
        <f aca="false">IF(Z$3-(Assumptions!$D$209)&lt;1,0,INDEX($D$54:$AM$54,1,Z$3-(Assumptions!$D$209)))</f>
        <v>0.35</v>
      </c>
      <c r="AA56" s="53" t="n">
        <f aca="false">IF(AA$3-(Assumptions!$D$209)&lt;1,0,INDEX($D$54:$AM$54,1,AA$3-(Assumptions!$D$209)))</f>
        <v>0.4</v>
      </c>
      <c r="AB56" s="53" t="n">
        <f aca="false">IF(AB$3-(Assumptions!$D$209)&lt;1,0,INDEX($D$54:$AM$54,1,AB$3-(Assumptions!$D$209)))</f>
        <v>0.45</v>
      </c>
      <c r="AC56" s="53" t="n">
        <f aca="false">IF(AC$3-(Assumptions!$D$209)&lt;1,0,INDEX($D$54:$AM$54,1,AC$3-(Assumptions!$D$209)))</f>
        <v>0.425</v>
      </c>
      <c r="AD56" s="53" t="n">
        <f aca="false">IF(AD$3-(Assumptions!$D$209)&lt;1,0,INDEX($D$54:$AM$54,1,AD$3-(Assumptions!$D$209)))</f>
        <v>0.25</v>
      </c>
      <c r="AE56" s="53" t="n">
        <f aca="false">IF(AE$3-(Assumptions!$D$209)&lt;1,0,INDEX($D$54:$AM$54,1,AE$3-(Assumptions!$D$209)))</f>
        <v>0.125</v>
      </c>
      <c r="AF56" s="53" t="n">
        <f aca="false">IF(AF$3-(Assumptions!$D$209)&lt;1,0,INDEX($D$54:$AM$54,1,AF$3-(Assumptions!$D$209)))</f>
        <v>0.1</v>
      </c>
      <c r="AG56" s="53" t="n">
        <f aca="false">IF(AG$3-(Assumptions!$D$209)&lt;1,0,INDEX($D$54:$AM$54,1,AG$3-(Assumptions!$D$209)))</f>
        <v>0.15</v>
      </c>
      <c r="AH56" s="53" t="n">
        <f aca="false">IF(AH$3-(Assumptions!$D$209)&lt;1,0,INDEX($D$54:$AM$54,1,AH$3-(Assumptions!$D$209)))</f>
        <v>0.45</v>
      </c>
      <c r="AI56" s="53" t="n">
        <f aca="false">IF(AI$3-(Assumptions!$D$209)&lt;1,0,INDEX($D$54:$AM$54,1,AI$3-(Assumptions!$D$209)))</f>
        <v>0.375</v>
      </c>
      <c r="AJ56" s="53" t="n">
        <f aca="false">IF(AJ$3-(Assumptions!$D$209)&lt;1,0,INDEX($D$54:$AM$54,1,AJ$3-(Assumptions!$D$209)))</f>
        <v>0.675</v>
      </c>
      <c r="AK56" s="53" t="n">
        <f aca="false">IF(AK$3-(Assumptions!$D$209)&lt;1,0,INDEX($D$54:$AM$54,1,AK$3-(Assumptions!$D$209)))</f>
        <v>0.75</v>
      </c>
      <c r="AL56" s="53" t="n">
        <f aca="false">IF(AL$3-(Assumptions!$D$209)&lt;1,0,INDEX($D$54:$AM$54,1,AL$3-(Assumptions!$D$209)))</f>
        <v>1.05</v>
      </c>
      <c r="AM56" s="53" t="n">
        <f aca="false">IF(AM$3-(Assumptions!$D$209)&lt;1,0,INDEX($D$54:$AM$54,1,AM$3-(Assumptions!$D$209)))</f>
        <v>1.2</v>
      </c>
    </row>
    <row r="57" customFormat="false" ht="15" hidden="false" customHeight="true" outlineLevel="0" collapsed="false">
      <c r="A57" s="5" t="s">
        <v>822</v>
      </c>
      <c r="B57" s="10" t="s">
        <v>100</v>
      </c>
      <c r="C57" s="57" t="n">
        <f aca="false">AM57</f>
        <v>7.5</v>
      </c>
      <c r="D57" s="53" t="n">
        <f aca="false">0+D56</f>
        <v>0</v>
      </c>
      <c r="E57" s="53" t="n">
        <f aca="false">D57+E56</f>
        <v>0</v>
      </c>
      <c r="F57" s="53" t="n">
        <f aca="false">E57+F56</f>
        <v>0</v>
      </c>
      <c r="G57" s="53" t="n">
        <f aca="false">F57+G56</f>
        <v>0</v>
      </c>
      <c r="H57" s="53" t="n">
        <f aca="false">G57+H56</f>
        <v>0</v>
      </c>
      <c r="I57" s="53" t="n">
        <f aca="false">H57+I56</f>
        <v>0</v>
      </c>
      <c r="J57" s="53" t="n">
        <f aca="false">I57+J56</f>
        <v>0</v>
      </c>
      <c r="K57" s="53" t="n">
        <f aca="false">J57+K56</f>
        <v>0</v>
      </c>
      <c r="L57" s="53" t="n">
        <f aca="false">K57+L56</f>
        <v>0</v>
      </c>
      <c r="M57" s="53" t="n">
        <f aca="false">L57+M56</f>
        <v>0</v>
      </c>
      <c r="N57" s="53" t="n">
        <f aca="false">M57+N56</f>
        <v>0</v>
      </c>
      <c r="O57" s="53" t="n">
        <f aca="false">N57+O56</f>
        <v>0</v>
      </c>
      <c r="P57" s="53" t="n">
        <f aca="false">O57+P56</f>
        <v>0</v>
      </c>
      <c r="Q57" s="53" t="n">
        <f aca="false">P57+Q56</f>
        <v>0</v>
      </c>
      <c r="R57" s="53" t="n">
        <f aca="false">Q57+R56</f>
        <v>0</v>
      </c>
      <c r="S57" s="53" t="n">
        <f aca="false">R57+S56</f>
        <v>0</v>
      </c>
      <c r="T57" s="53" t="n">
        <f aca="false">S57+T56</f>
        <v>0</v>
      </c>
      <c r="U57" s="53" t="n">
        <f aca="false">T57+U56</f>
        <v>0</v>
      </c>
      <c r="V57" s="53" t="n">
        <f aca="false">U57+V56</f>
        <v>0.15</v>
      </c>
      <c r="W57" s="53" t="n">
        <f aca="false">V57+W56</f>
        <v>0.275</v>
      </c>
      <c r="X57" s="53" t="n">
        <f aca="false">W57+X56</f>
        <v>0.5</v>
      </c>
      <c r="Y57" s="53" t="n">
        <f aca="false">X57+Y56</f>
        <v>0.75</v>
      </c>
      <c r="Z57" s="53" t="n">
        <f aca="false">Y57+Z56</f>
        <v>1.1</v>
      </c>
      <c r="AA57" s="53" t="n">
        <f aca="false">Z57+AA56</f>
        <v>1.5</v>
      </c>
      <c r="AB57" s="53" t="n">
        <f aca="false">AA57+AB56</f>
        <v>1.95</v>
      </c>
      <c r="AC57" s="53" t="n">
        <f aca="false">AB57+AC56</f>
        <v>2.375</v>
      </c>
      <c r="AD57" s="53" t="n">
        <f aca="false">AC57+AD56</f>
        <v>2.625</v>
      </c>
      <c r="AE57" s="53" t="n">
        <f aca="false">AD57+AE56</f>
        <v>2.75</v>
      </c>
      <c r="AF57" s="53" t="n">
        <f aca="false">AE57+AF56</f>
        <v>2.85</v>
      </c>
      <c r="AG57" s="53" t="n">
        <f aca="false">AF57+AG56</f>
        <v>3</v>
      </c>
      <c r="AH57" s="53" t="n">
        <f aca="false">AG57+AH56</f>
        <v>3.45</v>
      </c>
      <c r="AI57" s="53" t="n">
        <f aca="false">AH57+AI56</f>
        <v>3.825</v>
      </c>
      <c r="AJ57" s="53" t="n">
        <f aca="false">AI57+AJ56</f>
        <v>4.5</v>
      </c>
      <c r="AK57" s="53" t="n">
        <f aca="false">AJ57+AK56</f>
        <v>5.25</v>
      </c>
      <c r="AL57" s="53" t="n">
        <f aca="false">AK57+AL56</f>
        <v>6.3</v>
      </c>
      <c r="AM57" s="53" t="n">
        <f aca="false">AL57+AM56</f>
        <v>7.5</v>
      </c>
    </row>
    <row r="58" customFormat="false" ht="15" hidden="false" customHeight="true" outlineLevel="0" collapsed="false">
      <c r="A58" s="5" t="s">
        <v>823</v>
      </c>
      <c r="B58" s="10" t="s">
        <v>100</v>
      </c>
      <c r="C58" s="57"/>
      <c r="D58" s="53" t="n">
        <f aca="false">0-IF(D$3-(1+Assumptions!$D$209)&lt;1,0,INDEX($D$55:$AM$55,1,D$3-(1+Assumptions!$D$209)))</f>
        <v>0</v>
      </c>
      <c r="E58" s="53" t="n">
        <f aca="false">D55-IF(E$3-(1+Assumptions!$D$209)&lt;1,0,INDEX($D$55:$AM$55,1,E$3-(1+Assumptions!$D$209)))</f>
        <v>0</v>
      </c>
      <c r="F58" s="53" t="n">
        <f aca="false">E55-IF(F$3-(1+Assumptions!$D$209)&lt;1,0,INDEX($D$55:$AM$55,1,F$3-(1+Assumptions!$D$209)))</f>
        <v>0</v>
      </c>
      <c r="G58" s="53" t="n">
        <f aca="false">F55-IF(G$3-(1+Assumptions!$D$209)&lt;1,0,INDEX($D$55:$AM$55,1,G$3-(1+Assumptions!$D$209)))</f>
        <v>0</v>
      </c>
      <c r="H58" s="53" t="n">
        <f aca="false">G55-IF(H$3-(1+Assumptions!$D$209)&lt;1,0,INDEX($D$55:$AM$55,1,H$3-(1+Assumptions!$D$209)))</f>
        <v>0</v>
      </c>
      <c r="I58" s="53" t="n">
        <f aca="false">H55-IF(I$3-(1+Assumptions!$D$209)&lt;1,0,INDEX($D$55:$AM$55,1,I$3-(1+Assumptions!$D$209)))</f>
        <v>0</v>
      </c>
      <c r="J58" s="53" t="n">
        <f aca="false">I55-IF(J$3-(1+Assumptions!$D$209)&lt;1,0,INDEX($D$55:$AM$55,1,J$3-(1+Assumptions!$D$209)))</f>
        <v>0</v>
      </c>
      <c r="K58" s="53" t="n">
        <f aca="false">J55-IF(K$3-(1+Assumptions!$D$209)&lt;1,0,INDEX($D$55:$AM$55,1,K$3-(1+Assumptions!$D$209)))</f>
        <v>0</v>
      </c>
      <c r="L58" s="53" t="n">
        <f aca="false">K55-IF(L$3-(1+Assumptions!$D$209)&lt;1,0,INDEX($D$55:$AM$55,1,L$3-(1+Assumptions!$D$209)))</f>
        <v>0</v>
      </c>
      <c r="M58" s="53" t="n">
        <f aca="false">L55-IF(M$3-(1+Assumptions!$D$209)&lt;1,0,INDEX($D$55:$AM$55,1,M$3-(1+Assumptions!$D$209)))</f>
        <v>0</v>
      </c>
      <c r="N58" s="53" t="n">
        <f aca="false">M55-IF(N$3-(1+Assumptions!$D$209)&lt;1,0,INDEX($D$55:$AM$55,1,N$3-(1+Assumptions!$D$209)))</f>
        <v>0</v>
      </c>
      <c r="O58" s="53" t="n">
        <f aca="false">N55-IF(O$3-(1+Assumptions!$D$209)&lt;1,0,INDEX($D$55:$AM$55,1,O$3-(1+Assumptions!$D$209)))</f>
        <v>0</v>
      </c>
      <c r="P58" s="53" t="n">
        <f aca="false">O55-IF(P$3-(1+Assumptions!$D$209)&lt;1,0,INDEX($D$55:$AM$55,1,P$3-(1+Assumptions!$D$209)))</f>
        <v>0</v>
      </c>
      <c r="Q58" s="53" t="n">
        <f aca="false">P55-IF(Q$3-(1+Assumptions!$D$209)&lt;1,0,INDEX($D$55:$AM$55,1,Q$3-(1+Assumptions!$D$209)))</f>
        <v>0.15</v>
      </c>
      <c r="R58" s="53" t="n">
        <f aca="false">Q55-IF(R$3-(1+Assumptions!$D$209)&lt;1,0,INDEX($D$55:$AM$55,1,R$3-(1+Assumptions!$D$209)))</f>
        <v>0.275</v>
      </c>
      <c r="S58" s="53" t="n">
        <f aca="false">R55-IF(S$3-(1+Assumptions!$D$209)&lt;1,0,INDEX($D$55:$AM$55,1,S$3-(1+Assumptions!$D$209)))</f>
        <v>0.5</v>
      </c>
      <c r="T58" s="53" t="n">
        <f aca="false">S55-IF(T$3-(1+Assumptions!$D$209)&lt;1,0,INDEX($D$55:$AM$55,1,T$3-(1+Assumptions!$D$209)))</f>
        <v>0.75</v>
      </c>
      <c r="U58" s="53" t="n">
        <f aca="false">T55-IF(U$3-(1+Assumptions!$D$209)&lt;1,0,INDEX($D$55:$AM$55,1,U$3-(1+Assumptions!$D$209)))</f>
        <v>1.1</v>
      </c>
      <c r="V58" s="53" t="n">
        <f aca="false">U55-IF(V$3-(1+Assumptions!$D$209)&lt;1,0,INDEX($D$55:$AM$55,1,V$3-(1+Assumptions!$D$209)))</f>
        <v>1.5</v>
      </c>
      <c r="W58" s="53" t="n">
        <f aca="false">V55-IF(W$3-(1+Assumptions!$D$209)&lt;1,0,INDEX($D$55:$AM$55,1,W$3-(1+Assumptions!$D$209)))</f>
        <v>1.8</v>
      </c>
      <c r="X58" s="53" t="n">
        <f aca="false">W55-IF(X$3-(1+Assumptions!$D$209)&lt;1,0,INDEX($D$55:$AM$55,1,X$3-(1+Assumptions!$D$209)))</f>
        <v>2.1</v>
      </c>
      <c r="Y58" s="53" t="n">
        <f aca="false">X55-IF(Y$3-(1+Assumptions!$D$209)&lt;1,0,INDEX($D$55:$AM$55,1,Y$3-(1+Assumptions!$D$209)))</f>
        <v>2.125</v>
      </c>
      <c r="Z58" s="53" t="n">
        <f aca="false">Y55-IF(Z$3-(1+Assumptions!$D$209)&lt;1,0,INDEX($D$55:$AM$55,1,Z$3-(1+Assumptions!$D$209)))</f>
        <v>2</v>
      </c>
      <c r="AA58" s="53" t="n">
        <f aca="false">Z55-IF(AA$3-(1+Assumptions!$D$209)&lt;1,0,INDEX($D$55:$AM$55,1,AA$3-(1+Assumptions!$D$209)))</f>
        <v>1.75</v>
      </c>
      <c r="AB58" s="53" t="n">
        <f aca="false">AA55-IF(AB$3-(1+Assumptions!$D$209)&lt;1,0,INDEX($D$55:$AM$55,1,AB$3-(1+Assumptions!$D$209)))</f>
        <v>1.5</v>
      </c>
      <c r="AC58" s="53" t="n">
        <f aca="false">AB55-IF(AC$3-(1+Assumptions!$D$209)&lt;1,0,INDEX($D$55:$AM$55,1,AC$3-(1+Assumptions!$D$209)))</f>
        <v>1.5</v>
      </c>
      <c r="AD58" s="53" t="n">
        <f aca="false">AC55-IF(AD$3-(1+Assumptions!$D$209)&lt;1,0,INDEX($D$55:$AM$55,1,AD$3-(1+Assumptions!$D$209)))</f>
        <v>1.45</v>
      </c>
      <c r="AE58" s="53" t="n">
        <f aca="false">AD55-IF(AE$3-(1+Assumptions!$D$209)&lt;1,0,INDEX($D$55:$AM$55,1,AE$3-(1+Assumptions!$D$209)))</f>
        <v>1.875</v>
      </c>
      <c r="AF58" s="53" t="n">
        <f aca="false">AE55-IF(AF$3-(1+Assumptions!$D$209)&lt;1,0,INDEX($D$55:$AM$55,1,AF$3-(1+Assumptions!$D$209)))</f>
        <v>2.5</v>
      </c>
      <c r="AG58" s="53" t="n">
        <f aca="false">AF55-IF(AG$3-(1+Assumptions!$D$209)&lt;1,0,INDEX($D$55:$AM$55,1,AG$3-(1+Assumptions!$D$209)))</f>
        <v>3.45</v>
      </c>
      <c r="AH58" s="53" t="n">
        <f aca="false">AG55-IF(AH$3-(1+Assumptions!$D$209)&lt;1,0,INDEX($D$55:$AM$55,1,AH$3-(1+Assumptions!$D$209)))</f>
        <v>4.5</v>
      </c>
      <c r="AI58" s="53" t="n">
        <f aca="false">AH55-IF(AI$3-(1+Assumptions!$D$209)&lt;1,0,INDEX($D$55:$AM$55,1,AI$3-(1+Assumptions!$D$209)))</f>
        <v>5.4</v>
      </c>
      <c r="AJ58" s="53" t="n">
        <f aca="false">AI55-IF(AJ$3-(1+Assumptions!$D$209)&lt;1,0,INDEX($D$55:$AM$55,1,AJ$3-(1+Assumptions!$D$209)))</f>
        <v>6.3</v>
      </c>
      <c r="AK58" s="53" t="n">
        <f aca="false">AJ55-IF(AK$3-(1+Assumptions!$D$209)&lt;1,0,INDEX($D$55:$AM$55,1,AK$3-(1+Assumptions!$D$209)))</f>
        <v>6.375</v>
      </c>
      <c r="AL58" s="53" t="n">
        <f aca="false">AK55-IF(AL$3-(1+Assumptions!$D$209)&lt;1,0,INDEX($D$55:$AM$55,1,AL$3-(1+Assumptions!$D$209)))</f>
        <v>6</v>
      </c>
      <c r="AM58" s="53" t="n">
        <f aca="false">AL55-IF(AM$3-(1+Assumptions!$D$209)&lt;1,0,INDEX($D$55:$AM$55,1,AM$3-(1+Assumptions!$D$209)))</f>
        <v>5.25</v>
      </c>
    </row>
    <row r="60" customFormat="false" ht="15" hidden="false" customHeight="true" outlineLevel="0" collapsed="false">
      <c r="A60" s="8" t="s">
        <v>824</v>
      </c>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row>
    <row r="61" customFormat="false" ht="15" hidden="false" customHeight="true" outlineLevel="0" collapsed="false">
      <c r="A61" s="5" t="s">
        <v>825</v>
      </c>
      <c r="B61" s="10" t="s">
        <v>100</v>
      </c>
      <c r="C61" s="57" t="n">
        <f aca="false">AM61</f>
        <v>9.33333333333333</v>
      </c>
      <c r="D61" s="53" t="n">
        <f aca="false">0+D44-0</f>
        <v>0</v>
      </c>
      <c r="E61" s="53" t="n">
        <f aca="false">D61+E44-0</f>
        <v>0</v>
      </c>
      <c r="F61" s="53" t="n">
        <f aca="false">E61+F44-0</f>
        <v>0.2</v>
      </c>
      <c r="G61" s="53" t="n">
        <f aca="false">F61+G44-0</f>
        <v>0.366666666666667</v>
      </c>
      <c r="H61" s="53" t="n">
        <f aca="false">G61+H44-0</f>
        <v>0.666666666666667</v>
      </c>
      <c r="I61" s="53" t="n">
        <f aca="false">H61+I44-0</f>
        <v>1</v>
      </c>
      <c r="J61" s="53" t="n">
        <f aca="false">I61+J44-D44</f>
        <v>1.46666666666667</v>
      </c>
      <c r="K61" s="53" t="n">
        <f aca="false">J61+K44-E44</f>
        <v>2</v>
      </c>
      <c r="L61" s="53" t="n">
        <f aca="false">K61+L44-F44</f>
        <v>2.4</v>
      </c>
      <c r="M61" s="53" t="n">
        <f aca="false">L61+M44-G44</f>
        <v>2.8</v>
      </c>
      <c r="N61" s="53" t="n">
        <f aca="false">M61+N44-H44</f>
        <v>2.83333333333333</v>
      </c>
      <c r="O61" s="53" t="n">
        <f aca="false">N61+O44-I44</f>
        <v>2.66666666666667</v>
      </c>
      <c r="P61" s="53" t="n">
        <f aca="false">O61+P44-J44</f>
        <v>2.33333333333333</v>
      </c>
      <c r="Q61" s="53" t="n">
        <f aca="false">P61+Q44-K44</f>
        <v>2</v>
      </c>
      <c r="R61" s="53" t="n">
        <f aca="false">Q61+R44-L44</f>
        <v>1.9</v>
      </c>
      <c r="S61" s="53" t="n">
        <f aca="false">R61+S44-M44</f>
        <v>1.75</v>
      </c>
      <c r="T61" s="53" t="n">
        <f aca="false">S61+T44-N44</f>
        <v>2.16666666666667</v>
      </c>
      <c r="U61" s="53" t="n">
        <f aca="false">T61+U44-O44</f>
        <v>2.83333333333333</v>
      </c>
      <c r="V61" s="53" t="n">
        <f aca="false">U61+V44-P44</f>
        <v>3.86666666666667</v>
      </c>
      <c r="W61" s="53" t="n">
        <f aca="false">V61+W44-Q44</f>
        <v>5</v>
      </c>
      <c r="X61" s="53" t="n">
        <f aca="false">W61+X44-R44</f>
        <v>6</v>
      </c>
      <c r="Y61" s="53" t="n">
        <f aca="false">X61+Y44-S44</f>
        <v>7</v>
      </c>
      <c r="Z61" s="53" t="n">
        <f aca="false">Y61+Z44-T44</f>
        <v>7.08333333333333</v>
      </c>
      <c r="AA61" s="53" t="n">
        <f aca="false">Z61+AA44-U44</f>
        <v>6.66666666666667</v>
      </c>
      <c r="AB61" s="53" t="n">
        <f aca="false">AA61+AB44-V44</f>
        <v>5.83333333333333</v>
      </c>
      <c r="AC61" s="53" t="n">
        <f aca="false">AB61+AC44-W44</f>
        <v>5</v>
      </c>
      <c r="AD61" s="53" t="n">
        <f aca="false">AC61+AD44-X44</f>
        <v>4.2</v>
      </c>
      <c r="AE61" s="53" t="n">
        <f aca="false">AD61+AE44-Y44</f>
        <v>3.36666666666667</v>
      </c>
      <c r="AF61" s="53" t="n">
        <f aca="false">AE61+AF44-Z44</f>
        <v>3.58333333333333</v>
      </c>
      <c r="AG61" s="53" t="n">
        <f aca="false">AF61+AG44-AA44</f>
        <v>4.33333333333333</v>
      </c>
      <c r="AH61" s="53" t="n">
        <f aca="false">AG61+AH44-AB44</f>
        <v>5.63333333333333</v>
      </c>
      <c r="AI61" s="53" t="n">
        <f aca="false">AH61+AI44-AC44</f>
        <v>7</v>
      </c>
      <c r="AJ61" s="53" t="n">
        <f aca="false">AI61+AJ44-AD44</f>
        <v>8.4</v>
      </c>
      <c r="AK61" s="53" t="n">
        <f aca="false">AJ61+AK44-AE44</f>
        <v>9.8</v>
      </c>
      <c r="AL61" s="53" t="n">
        <f aca="false">AK61+AL44-AF44</f>
        <v>9.91666666666666</v>
      </c>
      <c r="AM61" s="53" t="n">
        <f aca="false">AL61+AM44-AG44</f>
        <v>9.33333333333333</v>
      </c>
    </row>
    <row r="62" customFormat="false" ht="15" hidden="false" customHeight="true" outlineLevel="0" collapsed="false">
      <c r="A62" s="5" t="s">
        <v>826</v>
      </c>
      <c r="B62" s="10" t="s">
        <v>100</v>
      </c>
      <c r="C62" s="57" t="n">
        <f aca="false">SUM(D62:AM62)</f>
        <v>8.75</v>
      </c>
      <c r="D62" s="53" t="n">
        <f aca="false">0*Assumptions!$D$40</f>
        <v>0</v>
      </c>
      <c r="E62" s="53" t="n">
        <f aca="false">0*Assumptions!$D$40</f>
        <v>0</v>
      </c>
      <c r="F62" s="53" t="n">
        <f aca="false">0*Assumptions!$D$40</f>
        <v>0</v>
      </c>
      <c r="G62" s="53" t="n">
        <f aca="false">0*Assumptions!$D$40</f>
        <v>0</v>
      </c>
      <c r="H62" s="53" t="n">
        <f aca="false">0*Assumptions!$D$40</f>
        <v>0</v>
      </c>
      <c r="I62" s="53" t="n">
        <f aca="false">0*Assumptions!$D$40</f>
        <v>0</v>
      </c>
      <c r="J62" s="53" t="n">
        <f aca="false">D44*Assumptions!$D$40</f>
        <v>0</v>
      </c>
      <c r="K62" s="53" t="n">
        <f aca="false">E44*Assumptions!$D$40</f>
        <v>0</v>
      </c>
      <c r="L62" s="53" t="n">
        <f aca="false">F44*Assumptions!$D$40</f>
        <v>0.1</v>
      </c>
      <c r="M62" s="53" t="n">
        <f aca="false">G44*Assumptions!$D$40</f>
        <v>0.0833333333333333</v>
      </c>
      <c r="N62" s="53" t="n">
        <f aca="false">H44*Assumptions!$D$40</f>
        <v>0.15</v>
      </c>
      <c r="O62" s="53" t="n">
        <f aca="false">I44*Assumptions!$D$40</f>
        <v>0.166666666666667</v>
      </c>
      <c r="P62" s="53" t="n">
        <f aca="false">J44*Assumptions!$D$40</f>
        <v>0.233333333333333</v>
      </c>
      <c r="Q62" s="53" t="n">
        <f aca="false">K44*Assumptions!$D$40</f>
        <v>0.266666666666667</v>
      </c>
      <c r="R62" s="53" t="n">
        <f aca="false">L44*Assumptions!$D$40</f>
        <v>0.3</v>
      </c>
      <c r="S62" s="53" t="n">
        <f aca="false">M44*Assumptions!$D$40</f>
        <v>0.283333333333333</v>
      </c>
      <c r="T62" s="53" t="n">
        <f aca="false">N44*Assumptions!$D$40</f>
        <v>0.166666666666667</v>
      </c>
      <c r="U62" s="53" t="n">
        <f aca="false">O44*Assumptions!$D$40</f>
        <v>0.0833333333333333</v>
      </c>
      <c r="V62" s="53" t="n">
        <f aca="false">P44*Assumptions!$D$40</f>
        <v>0.0666666666666667</v>
      </c>
      <c r="W62" s="53" t="n">
        <f aca="false">Q44*Assumptions!$D$40</f>
        <v>0.1</v>
      </c>
      <c r="X62" s="53" t="n">
        <f aca="false">R44*Assumptions!$D$40</f>
        <v>0.25</v>
      </c>
      <c r="Y62" s="53" t="n">
        <f aca="false">S44*Assumptions!$D$40</f>
        <v>0.208333333333333</v>
      </c>
      <c r="Z62" s="53" t="n">
        <f aca="false">T44*Assumptions!$D$40</f>
        <v>0.375</v>
      </c>
      <c r="AA62" s="53" t="n">
        <f aca="false">U44*Assumptions!$D$40</f>
        <v>0.416666666666667</v>
      </c>
      <c r="AB62" s="53" t="n">
        <f aca="false">V44*Assumptions!$D$40</f>
        <v>0.583333333333333</v>
      </c>
      <c r="AC62" s="53" t="n">
        <f aca="false">W44*Assumptions!$D$40</f>
        <v>0.666666666666667</v>
      </c>
      <c r="AD62" s="53" t="n">
        <f aca="false">X44*Assumptions!$D$40</f>
        <v>0.75</v>
      </c>
      <c r="AE62" s="53" t="n">
        <f aca="false">Y44*Assumptions!$D$40</f>
        <v>0.708333333333333</v>
      </c>
      <c r="AF62" s="53" t="n">
        <f aca="false">Z44*Assumptions!$D$40</f>
        <v>0.416666666666667</v>
      </c>
      <c r="AG62" s="53" t="n">
        <f aca="false">AA44*Assumptions!$D$40</f>
        <v>0.208333333333333</v>
      </c>
      <c r="AH62" s="53" t="n">
        <f aca="false">AB44*Assumptions!$D$40</f>
        <v>0.166666666666667</v>
      </c>
      <c r="AI62" s="53" t="n">
        <f aca="false">AC44*Assumptions!$D$40</f>
        <v>0.25</v>
      </c>
      <c r="AJ62" s="53" t="n">
        <f aca="false">AD44*Assumptions!$D$40</f>
        <v>0.35</v>
      </c>
      <c r="AK62" s="53" t="n">
        <f aca="false">AE44*Assumptions!$D$40</f>
        <v>0.291666666666667</v>
      </c>
      <c r="AL62" s="53" t="n">
        <f aca="false">AF44*Assumptions!$D$40</f>
        <v>0.525</v>
      </c>
      <c r="AM62" s="53" t="n">
        <f aca="false">AG44*Assumptions!$D$40</f>
        <v>0.583333333333333</v>
      </c>
    </row>
    <row r="63" customFormat="false" ht="15" hidden="false" customHeight="true" outlineLevel="0" collapsed="false">
      <c r="A63" s="5" t="s">
        <v>827</v>
      </c>
      <c r="B63" s="10" t="s">
        <v>100</v>
      </c>
      <c r="C63" s="57" t="n">
        <f aca="false">SUM(D63:AM63)</f>
        <v>5.25</v>
      </c>
      <c r="D63" s="53" t="n">
        <f aca="false">D62*Assumptions!$D$41</f>
        <v>0</v>
      </c>
      <c r="E63" s="53" t="n">
        <f aca="false">E62*Assumptions!$D$41</f>
        <v>0</v>
      </c>
      <c r="F63" s="53" t="n">
        <f aca="false">F62*Assumptions!$D$41</f>
        <v>0</v>
      </c>
      <c r="G63" s="53" t="n">
        <f aca="false">G62*Assumptions!$D$41</f>
        <v>0</v>
      </c>
      <c r="H63" s="53" t="n">
        <f aca="false">H62*Assumptions!$D$41</f>
        <v>0</v>
      </c>
      <c r="I63" s="53" t="n">
        <f aca="false">I62*Assumptions!$D$41</f>
        <v>0</v>
      </c>
      <c r="J63" s="53" t="n">
        <f aca="false">J62*Assumptions!$D$41</f>
        <v>0</v>
      </c>
      <c r="K63" s="53" t="n">
        <f aca="false">K62*Assumptions!$D$41</f>
        <v>0</v>
      </c>
      <c r="L63" s="53" t="n">
        <f aca="false">L62*Assumptions!$D$41</f>
        <v>0.06</v>
      </c>
      <c r="M63" s="53" t="n">
        <f aca="false">M62*Assumptions!$D$41</f>
        <v>0.05</v>
      </c>
      <c r="N63" s="53" t="n">
        <f aca="false">N62*Assumptions!$D$41</f>
        <v>0.09</v>
      </c>
      <c r="O63" s="53" t="n">
        <f aca="false">O62*Assumptions!$D$41</f>
        <v>0.1</v>
      </c>
      <c r="P63" s="53" t="n">
        <f aca="false">P62*Assumptions!$D$41</f>
        <v>0.14</v>
      </c>
      <c r="Q63" s="53" t="n">
        <f aca="false">Q62*Assumptions!$D$41</f>
        <v>0.16</v>
      </c>
      <c r="R63" s="53" t="n">
        <f aca="false">R62*Assumptions!$D$41</f>
        <v>0.18</v>
      </c>
      <c r="S63" s="53" t="n">
        <f aca="false">S62*Assumptions!$D$41</f>
        <v>0.17</v>
      </c>
      <c r="T63" s="53" t="n">
        <f aca="false">T62*Assumptions!$D$41</f>
        <v>0.1</v>
      </c>
      <c r="U63" s="53" t="n">
        <f aca="false">U62*Assumptions!$D$41</f>
        <v>0.05</v>
      </c>
      <c r="V63" s="53" t="n">
        <f aca="false">V62*Assumptions!$D$41</f>
        <v>0.04</v>
      </c>
      <c r="W63" s="53" t="n">
        <f aca="false">W62*Assumptions!$D$41</f>
        <v>0.06</v>
      </c>
      <c r="X63" s="53" t="n">
        <f aca="false">X62*Assumptions!$D$41</f>
        <v>0.15</v>
      </c>
      <c r="Y63" s="53" t="n">
        <f aca="false">Y62*Assumptions!$D$41</f>
        <v>0.125</v>
      </c>
      <c r="Z63" s="53" t="n">
        <f aca="false">Z62*Assumptions!$D$41</f>
        <v>0.225</v>
      </c>
      <c r="AA63" s="53" t="n">
        <f aca="false">AA62*Assumptions!$D$41</f>
        <v>0.25</v>
      </c>
      <c r="AB63" s="53" t="n">
        <f aca="false">AB62*Assumptions!$D$41</f>
        <v>0.35</v>
      </c>
      <c r="AC63" s="53" t="n">
        <f aca="false">AC62*Assumptions!$D$41</f>
        <v>0.4</v>
      </c>
      <c r="AD63" s="53" t="n">
        <f aca="false">AD62*Assumptions!$D$41</f>
        <v>0.45</v>
      </c>
      <c r="AE63" s="53" t="n">
        <f aca="false">AE62*Assumptions!$D$41</f>
        <v>0.425</v>
      </c>
      <c r="AF63" s="53" t="n">
        <f aca="false">AF62*Assumptions!$D$41</f>
        <v>0.25</v>
      </c>
      <c r="AG63" s="53" t="n">
        <f aca="false">AG62*Assumptions!$D$41</f>
        <v>0.125</v>
      </c>
      <c r="AH63" s="53" t="n">
        <f aca="false">AH62*Assumptions!$D$41</f>
        <v>0.1</v>
      </c>
      <c r="AI63" s="53" t="n">
        <f aca="false">AI62*Assumptions!$D$41</f>
        <v>0.15</v>
      </c>
      <c r="AJ63" s="53" t="n">
        <f aca="false">AJ62*Assumptions!$D$41</f>
        <v>0.21</v>
      </c>
      <c r="AK63" s="53" t="n">
        <f aca="false">AK62*Assumptions!$D$41</f>
        <v>0.175</v>
      </c>
      <c r="AL63" s="53" t="n">
        <f aca="false">AL62*Assumptions!$D$41</f>
        <v>0.315</v>
      </c>
      <c r="AM63" s="53" t="n">
        <f aca="false">AM62*Assumptions!$D$41</f>
        <v>0.35</v>
      </c>
    </row>
    <row r="64" customFormat="false" ht="15" hidden="false" customHeight="true" outlineLevel="0" collapsed="false">
      <c r="A64" s="5" t="s">
        <v>828</v>
      </c>
      <c r="B64" s="10" t="s">
        <v>100</v>
      </c>
      <c r="C64" s="57" t="n">
        <f aca="false">SUM(D64:AM64)</f>
        <v>3.5</v>
      </c>
      <c r="D64" s="53" t="n">
        <f aca="false">D62-D63</f>
        <v>0</v>
      </c>
      <c r="E64" s="53" t="n">
        <f aca="false">E62-E63</f>
        <v>0</v>
      </c>
      <c r="F64" s="53" t="n">
        <f aca="false">F62-F63</f>
        <v>0</v>
      </c>
      <c r="G64" s="53" t="n">
        <f aca="false">G62-G63</f>
        <v>0</v>
      </c>
      <c r="H64" s="53" t="n">
        <f aca="false">H62-H63</f>
        <v>0</v>
      </c>
      <c r="I64" s="53" t="n">
        <f aca="false">I62-I63</f>
        <v>0</v>
      </c>
      <c r="J64" s="53" t="n">
        <f aca="false">J62-J63</f>
        <v>0</v>
      </c>
      <c r="K64" s="53" t="n">
        <f aca="false">K62-K63</f>
        <v>0</v>
      </c>
      <c r="L64" s="53" t="n">
        <f aca="false">L62-L63</f>
        <v>0.04</v>
      </c>
      <c r="M64" s="53" t="n">
        <f aca="false">M62-M63</f>
        <v>0.0333333333333333</v>
      </c>
      <c r="N64" s="53" t="n">
        <f aca="false">N62-N63</f>
        <v>0.06</v>
      </c>
      <c r="O64" s="53" t="n">
        <f aca="false">O62-O63</f>
        <v>0.0666666666666667</v>
      </c>
      <c r="P64" s="53" t="n">
        <f aca="false">P62-P63</f>
        <v>0.0933333333333333</v>
      </c>
      <c r="Q64" s="53" t="n">
        <f aca="false">Q62-Q63</f>
        <v>0.106666666666667</v>
      </c>
      <c r="R64" s="53" t="n">
        <f aca="false">R62-R63</f>
        <v>0.12</v>
      </c>
      <c r="S64" s="53" t="n">
        <f aca="false">S62-S63</f>
        <v>0.113333333333333</v>
      </c>
      <c r="T64" s="53" t="n">
        <f aca="false">T62-T63</f>
        <v>0.0666666666666667</v>
      </c>
      <c r="U64" s="53" t="n">
        <f aca="false">U62-U63</f>
        <v>0.0333333333333333</v>
      </c>
      <c r="V64" s="53" t="n">
        <f aca="false">V62-V63</f>
        <v>0.0266666666666667</v>
      </c>
      <c r="W64" s="53" t="n">
        <f aca="false">W62-W63</f>
        <v>0.04</v>
      </c>
      <c r="X64" s="53" t="n">
        <f aca="false">X62-X63</f>
        <v>0.1</v>
      </c>
      <c r="Y64" s="53" t="n">
        <f aca="false">Y62-Y63</f>
        <v>0.0833333333333333</v>
      </c>
      <c r="Z64" s="53" t="n">
        <f aca="false">Z62-Z63</f>
        <v>0.15</v>
      </c>
      <c r="AA64" s="53" t="n">
        <f aca="false">AA62-AA63</f>
        <v>0.166666666666667</v>
      </c>
      <c r="AB64" s="53" t="n">
        <f aca="false">AB62-AB63</f>
        <v>0.233333333333333</v>
      </c>
      <c r="AC64" s="53" t="n">
        <f aca="false">AC62-AC63</f>
        <v>0.266666666666667</v>
      </c>
      <c r="AD64" s="53" t="n">
        <f aca="false">AD62-AD63</f>
        <v>0.3</v>
      </c>
      <c r="AE64" s="53" t="n">
        <f aca="false">AE62-AE63</f>
        <v>0.283333333333333</v>
      </c>
      <c r="AF64" s="53" t="n">
        <f aca="false">AF62-AF63</f>
        <v>0.166666666666667</v>
      </c>
      <c r="AG64" s="53" t="n">
        <f aca="false">AG62-AG63</f>
        <v>0.0833333333333333</v>
      </c>
      <c r="AH64" s="53" t="n">
        <f aca="false">AH62-AH63</f>
        <v>0.0666666666666667</v>
      </c>
      <c r="AI64" s="53" t="n">
        <f aca="false">AI62-AI63</f>
        <v>0.1</v>
      </c>
      <c r="AJ64" s="53" t="n">
        <f aca="false">AJ62-AJ63</f>
        <v>0.14</v>
      </c>
      <c r="AK64" s="53" t="n">
        <f aca="false">AK62-AK63</f>
        <v>0.116666666666667</v>
      </c>
      <c r="AL64" s="53" t="n">
        <f aca="false">AL62-AL63</f>
        <v>0.21</v>
      </c>
      <c r="AM64" s="53" t="n">
        <f aca="false">AM62-AM63</f>
        <v>0.233333333333333</v>
      </c>
    </row>
    <row r="65" customFormat="false" ht="15" hidden="false" customHeight="true" outlineLevel="0" collapsed="false">
      <c r="A65" s="5" t="s">
        <v>829</v>
      </c>
      <c r="B65" s="10" t="s">
        <v>64</v>
      </c>
      <c r="C65" s="12" t="n">
        <f aca="false">SUM(D65:AM65)</f>
        <v>322000</v>
      </c>
      <c r="D65" s="11" t="n">
        <f aca="false">D44*Assumptions!$D$35</f>
        <v>0</v>
      </c>
      <c r="E65" s="11" t="n">
        <f aca="false">E44*Assumptions!$D$35</f>
        <v>0</v>
      </c>
      <c r="F65" s="11" t="n">
        <f aca="false">F44*Assumptions!$D$35</f>
        <v>2400</v>
      </c>
      <c r="G65" s="11" t="n">
        <f aca="false">G44*Assumptions!$D$35</f>
        <v>2000</v>
      </c>
      <c r="H65" s="11" t="n">
        <f aca="false">H44*Assumptions!$D$35</f>
        <v>3600</v>
      </c>
      <c r="I65" s="11" t="n">
        <f aca="false">I44*Assumptions!$D$35</f>
        <v>4000</v>
      </c>
      <c r="J65" s="11" t="n">
        <f aca="false">J44*Assumptions!$D$35</f>
        <v>5600</v>
      </c>
      <c r="K65" s="11" t="n">
        <f aca="false">K44*Assumptions!$D$35</f>
        <v>6400</v>
      </c>
      <c r="L65" s="11" t="n">
        <f aca="false">L44*Assumptions!$D$35</f>
        <v>7200</v>
      </c>
      <c r="M65" s="11" t="n">
        <f aca="false">M44*Assumptions!$D$35</f>
        <v>6800</v>
      </c>
      <c r="N65" s="11" t="n">
        <f aca="false">N44*Assumptions!$D$35</f>
        <v>4000</v>
      </c>
      <c r="O65" s="11" t="n">
        <f aca="false">O44*Assumptions!$D$35</f>
        <v>2000</v>
      </c>
      <c r="P65" s="11" t="n">
        <f aca="false">P44*Assumptions!$D$35</f>
        <v>1600</v>
      </c>
      <c r="Q65" s="11" t="n">
        <f aca="false">Q44*Assumptions!$D$35</f>
        <v>2400</v>
      </c>
      <c r="R65" s="11" t="n">
        <f aca="false">R44*Assumptions!$D$35</f>
        <v>6000</v>
      </c>
      <c r="S65" s="11" t="n">
        <f aca="false">S44*Assumptions!$D$35</f>
        <v>5000</v>
      </c>
      <c r="T65" s="11" t="n">
        <f aca="false">T44*Assumptions!$D$35</f>
        <v>9000</v>
      </c>
      <c r="U65" s="11" t="n">
        <f aca="false">U44*Assumptions!$D$35</f>
        <v>10000</v>
      </c>
      <c r="V65" s="11" t="n">
        <f aca="false">V44*Assumptions!$D$35</f>
        <v>14000</v>
      </c>
      <c r="W65" s="11" t="n">
        <f aca="false">W44*Assumptions!$D$35</f>
        <v>16000</v>
      </c>
      <c r="X65" s="11" t="n">
        <f aca="false">X44*Assumptions!$D$35</f>
        <v>18000</v>
      </c>
      <c r="Y65" s="11" t="n">
        <f aca="false">Y44*Assumptions!$D$35</f>
        <v>17000</v>
      </c>
      <c r="Z65" s="11" t="n">
        <f aca="false">Z44*Assumptions!$D$35</f>
        <v>10000</v>
      </c>
      <c r="AA65" s="11" t="n">
        <f aca="false">AA44*Assumptions!$D$35</f>
        <v>5000</v>
      </c>
      <c r="AB65" s="11" t="n">
        <f aca="false">AB44*Assumptions!$D$35</f>
        <v>4000</v>
      </c>
      <c r="AC65" s="11" t="n">
        <f aca="false">AC44*Assumptions!$D$35</f>
        <v>6000</v>
      </c>
      <c r="AD65" s="11" t="n">
        <f aca="false">AD44*Assumptions!$D$35</f>
        <v>8400</v>
      </c>
      <c r="AE65" s="11" t="n">
        <f aca="false">AE44*Assumptions!$D$35</f>
        <v>7000</v>
      </c>
      <c r="AF65" s="11" t="n">
        <f aca="false">AF44*Assumptions!$D$35</f>
        <v>12600</v>
      </c>
      <c r="AG65" s="11" t="n">
        <f aca="false">AG44*Assumptions!$D$35</f>
        <v>14000</v>
      </c>
      <c r="AH65" s="11" t="n">
        <f aca="false">AH44*Assumptions!$D$35</f>
        <v>19600</v>
      </c>
      <c r="AI65" s="11" t="n">
        <f aca="false">AI44*Assumptions!$D$35</f>
        <v>22400</v>
      </c>
      <c r="AJ65" s="11" t="n">
        <f aca="false">AJ44*Assumptions!$D$35</f>
        <v>25200</v>
      </c>
      <c r="AK65" s="11" t="n">
        <f aca="false">AK44*Assumptions!$D$35</f>
        <v>23800</v>
      </c>
      <c r="AL65" s="11" t="n">
        <f aca="false">AL44*Assumptions!$D$35</f>
        <v>14000</v>
      </c>
      <c r="AM65" s="11" t="n">
        <f aca="false">AM44*Assumptions!$D$35</f>
        <v>7000</v>
      </c>
    </row>
    <row r="66" customFormat="false" ht="15" hidden="false" customHeight="true" outlineLevel="0" collapsed="false">
      <c r="A66" s="5" t="s">
        <v>830</v>
      </c>
      <c r="B66" s="10" t="s">
        <v>64</v>
      </c>
      <c r="C66" s="12" t="n">
        <f aca="false">SUM(D66:AM66)</f>
        <v>282800</v>
      </c>
      <c r="D66" s="11" t="n">
        <f aca="false">D61*Assumptions!$D$35/6</f>
        <v>0</v>
      </c>
      <c r="E66" s="11" t="n">
        <f aca="false">E61*Assumptions!$D$35/6</f>
        <v>0</v>
      </c>
      <c r="F66" s="11" t="n">
        <f aca="false">F61*Assumptions!$D$35/6</f>
        <v>400</v>
      </c>
      <c r="G66" s="11" t="n">
        <f aca="false">G61*Assumptions!$D$35/6</f>
        <v>733.333333333333</v>
      </c>
      <c r="H66" s="11" t="n">
        <f aca="false">H61*Assumptions!$D$35/6</f>
        <v>1333.33333333333</v>
      </c>
      <c r="I66" s="11" t="n">
        <f aca="false">I61*Assumptions!$D$35/6</f>
        <v>2000</v>
      </c>
      <c r="J66" s="11" t="n">
        <f aca="false">J61*Assumptions!$D$35/6</f>
        <v>2933.33333333333</v>
      </c>
      <c r="K66" s="11" t="n">
        <f aca="false">K61*Assumptions!$D$35/6</f>
        <v>4000</v>
      </c>
      <c r="L66" s="11" t="n">
        <f aca="false">L61*Assumptions!$D$35/6</f>
        <v>4800</v>
      </c>
      <c r="M66" s="11" t="n">
        <f aca="false">M61*Assumptions!$D$35/6</f>
        <v>5600</v>
      </c>
      <c r="N66" s="11" t="n">
        <f aca="false">N61*Assumptions!$D$35/6</f>
        <v>5666.66666666667</v>
      </c>
      <c r="O66" s="11" t="n">
        <f aca="false">O61*Assumptions!$D$35/6</f>
        <v>5333.33333333333</v>
      </c>
      <c r="P66" s="11" t="n">
        <f aca="false">P61*Assumptions!$D$35/6</f>
        <v>4666.66666666667</v>
      </c>
      <c r="Q66" s="11" t="n">
        <f aca="false">Q61*Assumptions!$D$35/6</f>
        <v>4000</v>
      </c>
      <c r="R66" s="11" t="n">
        <f aca="false">R61*Assumptions!$D$35/6</f>
        <v>3800</v>
      </c>
      <c r="S66" s="11" t="n">
        <f aca="false">S61*Assumptions!$D$35/6</f>
        <v>3500</v>
      </c>
      <c r="T66" s="11" t="n">
        <f aca="false">T61*Assumptions!$D$35/6</f>
        <v>4333.33333333333</v>
      </c>
      <c r="U66" s="11" t="n">
        <f aca="false">U61*Assumptions!$D$35/6</f>
        <v>5666.66666666667</v>
      </c>
      <c r="V66" s="11" t="n">
        <f aca="false">V61*Assumptions!$D$35/6</f>
        <v>7733.33333333333</v>
      </c>
      <c r="W66" s="11" t="n">
        <f aca="false">W61*Assumptions!$D$35/6</f>
        <v>10000</v>
      </c>
      <c r="X66" s="11" t="n">
        <f aca="false">X61*Assumptions!$D$35/6</f>
        <v>12000</v>
      </c>
      <c r="Y66" s="11" t="n">
        <f aca="false">Y61*Assumptions!$D$35/6</f>
        <v>14000</v>
      </c>
      <c r="Z66" s="11" t="n">
        <f aca="false">Z61*Assumptions!$D$35/6</f>
        <v>14166.6666666667</v>
      </c>
      <c r="AA66" s="11" t="n">
        <f aca="false">AA61*Assumptions!$D$35/6</f>
        <v>13333.3333333333</v>
      </c>
      <c r="AB66" s="11" t="n">
        <f aca="false">AB61*Assumptions!$D$35/6</f>
        <v>11666.6666666667</v>
      </c>
      <c r="AC66" s="11" t="n">
        <f aca="false">AC61*Assumptions!$D$35/6</f>
        <v>10000</v>
      </c>
      <c r="AD66" s="11" t="n">
        <f aca="false">AD61*Assumptions!$D$35/6</f>
        <v>8400</v>
      </c>
      <c r="AE66" s="11" t="n">
        <f aca="false">AE61*Assumptions!$D$35/6</f>
        <v>6733.33333333333</v>
      </c>
      <c r="AF66" s="11" t="n">
        <f aca="false">AF61*Assumptions!$D$35/6</f>
        <v>7166.66666666667</v>
      </c>
      <c r="AG66" s="11" t="n">
        <f aca="false">AG61*Assumptions!$D$35/6</f>
        <v>8666.66666666666</v>
      </c>
      <c r="AH66" s="11" t="n">
        <f aca="false">AH61*Assumptions!$D$35/6</f>
        <v>11266.6666666667</v>
      </c>
      <c r="AI66" s="11" t="n">
        <f aca="false">AI61*Assumptions!$D$35/6</f>
        <v>14000</v>
      </c>
      <c r="AJ66" s="11" t="n">
        <f aca="false">AJ61*Assumptions!$D$35/6</f>
        <v>16800</v>
      </c>
      <c r="AK66" s="11" t="n">
        <f aca="false">AK61*Assumptions!$D$35/6</f>
        <v>19600</v>
      </c>
      <c r="AL66" s="11" t="n">
        <f aca="false">AL61*Assumptions!$D$35/6</f>
        <v>19833.3333333333</v>
      </c>
      <c r="AM66" s="11" t="n">
        <f aca="false">AM61*Assumptions!$D$35/6</f>
        <v>18666.6666666667</v>
      </c>
    </row>
    <row r="67" customFormat="false" ht="15" hidden="false" customHeight="true" outlineLevel="0" collapsed="false">
      <c r="A67" s="5" t="s">
        <v>831</v>
      </c>
      <c r="B67" s="10" t="s">
        <v>64</v>
      </c>
      <c r="C67" s="12" t="n">
        <f aca="false">AM67</f>
        <v>39200</v>
      </c>
      <c r="D67" s="11" t="n">
        <f aca="false">0+D65-D66</f>
        <v>0</v>
      </c>
      <c r="E67" s="11" t="n">
        <f aca="false">D67+E65-E66</f>
        <v>0</v>
      </c>
      <c r="F67" s="11" t="n">
        <f aca="false">E67+F65-F66</f>
        <v>2000</v>
      </c>
      <c r="G67" s="11" t="n">
        <f aca="false">F67+G65-G66</f>
        <v>3266.66666666667</v>
      </c>
      <c r="H67" s="11" t="n">
        <f aca="false">G67+H65-H66</f>
        <v>5533.33333333333</v>
      </c>
      <c r="I67" s="11" t="n">
        <f aca="false">H67+I65-I66</f>
        <v>7533.33333333333</v>
      </c>
      <c r="J67" s="11" t="n">
        <f aca="false">I67+J65-J66</f>
        <v>10200</v>
      </c>
      <c r="K67" s="11" t="n">
        <f aca="false">J67+K65-K66</f>
        <v>12600</v>
      </c>
      <c r="L67" s="11" t="n">
        <f aca="false">K67+L65-L66</f>
        <v>15000</v>
      </c>
      <c r="M67" s="11" t="n">
        <f aca="false">L67+M65-M66</f>
        <v>16200</v>
      </c>
      <c r="N67" s="11" t="n">
        <f aca="false">M67+N65-N66</f>
        <v>14533.3333333333</v>
      </c>
      <c r="O67" s="11" t="n">
        <f aca="false">N67+O65-O66</f>
        <v>11200</v>
      </c>
      <c r="P67" s="11" t="n">
        <f aca="false">O67+P65-P66</f>
        <v>8133.33333333333</v>
      </c>
      <c r="Q67" s="11" t="n">
        <f aca="false">P67+Q65-Q66</f>
        <v>6533.33333333333</v>
      </c>
      <c r="R67" s="11" t="n">
        <f aca="false">Q67+R65-R66</f>
        <v>8733.33333333333</v>
      </c>
      <c r="S67" s="11" t="n">
        <f aca="false">R67+S65-S66</f>
        <v>10233.3333333333</v>
      </c>
      <c r="T67" s="11" t="n">
        <f aca="false">S67+T65-T66</f>
        <v>14900</v>
      </c>
      <c r="U67" s="11" t="n">
        <f aca="false">T67+U65-U66</f>
        <v>19233.3333333333</v>
      </c>
      <c r="V67" s="11" t="n">
        <f aca="false">U67+V65-V66</f>
        <v>25500</v>
      </c>
      <c r="W67" s="11" t="n">
        <f aca="false">V67+W65-W66</f>
        <v>31500</v>
      </c>
      <c r="X67" s="11" t="n">
        <f aca="false">W67+X65-X66</f>
        <v>37500</v>
      </c>
      <c r="Y67" s="11" t="n">
        <f aca="false">X67+Y65-Y66</f>
        <v>40500</v>
      </c>
      <c r="Z67" s="11" t="n">
        <f aca="false">Y67+Z65-Z66</f>
        <v>36333.3333333333</v>
      </c>
      <c r="AA67" s="11" t="n">
        <f aca="false">Z67+AA65-AA66</f>
        <v>28000</v>
      </c>
      <c r="AB67" s="11" t="n">
        <f aca="false">AA67+AB65-AB66</f>
        <v>20333.3333333333</v>
      </c>
      <c r="AC67" s="11" t="n">
        <f aca="false">AB67+AC65-AC66</f>
        <v>16333.3333333333</v>
      </c>
      <c r="AD67" s="11" t="n">
        <f aca="false">AC67+AD65-AD66</f>
        <v>16333.3333333333</v>
      </c>
      <c r="AE67" s="11" t="n">
        <f aca="false">AD67+AE65-AE66</f>
        <v>16600</v>
      </c>
      <c r="AF67" s="11" t="n">
        <f aca="false">AE67+AF65-AF66</f>
        <v>22033.3333333333</v>
      </c>
      <c r="AG67" s="11" t="n">
        <f aca="false">AF67+AG65-AG66</f>
        <v>27366.6666666667</v>
      </c>
      <c r="AH67" s="11" t="n">
        <f aca="false">AG67+AH65-AH66</f>
        <v>35700</v>
      </c>
      <c r="AI67" s="11" t="n">
        <f aca="false">AH67+AI65-AI66</f>
        <v>44100</v>
      </c>
      <c r="AJ67" s="11" t="n">
        <f aca="false">AI67+AJ65-AJ66</f>
        <v>52500</v>
      </c>
      <c r="AK67" s="11" t="n">
        <f aca="false">AJ67+AK65-AK66</f>
        <v>56700</v>
      </c>
      <c r="AL67" s="11" t="n">
        <f aca="false">AK67+AL65-AL66</f>
        <v>50866.6666666667</v>
      </c>
      <c r="AM67" s="11" t="n">
        <f aca="false">AL67+AM65-AM66</f>
        <v>39200</v>
      </c>
    </row>
    <row r="69" customFormat="false" ht="15" hidden="false" customHeight="true" outlineLevel="0" collapsed="false">
      <c r="A69" s="8" t="s">
        <v>832</v>
      </c>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row>
    <row r="70" customFormat="false" ht="15" hidden="false" customHeight="true" outlineLevel="0" collapsed="false">
      <c r="A70" s="5" t="s">
        <v>833</v>
      </c>
      <c r="B70" s="10" t="s">
        <v>100</v>
      </c>
      <c r="C70" s="57" t="n">
        <f aca="false">SUM(D70:AM70)</f>
        <v>28.5</v>
      </c>
      <c r="D70" s="53" t="n">
        <f aca="false">D50+D63</f>
        <v>0</v>
      </c>
      <c r="E70" s="53" t="n">
        <f aca="false">E50+E63</f>
        <v>0</v>
      </c>
      <c r="F70" s="53" t="n">
        <f aca="false">F50+F63</f>
        <v>0</v>
      </c>
      <c r="G70" s="53" t="n">
        <f aca="false">G50+G63</f>
        <v>0</v>
      </c>
      <c r="H70" s="53" t="n">
        <f aca="false">H50+H63</f>
        <v>0.05</v>
      </c>
      <c r="I70" s="53" t="n">
        <f aca="false">I50+I63</f>
        <v>0.0416666666666667</v>
      </c>
      <c r="J70" s="53" t="n">
        <f aca="false">J50+J63</f>
        <v>0.075</v>
      </c>
      <c r="K70" s="53" t="n">
        <f aca="false">K50+K63</f>
        <v>0.0833333333333333</v>
      </c>
      <c r="L70" s="53" t="n">
        <f aca="false">L50+L63</f>
        <v>0.176666666666667</v>
      </c>
      <c r="M70" s="53" t="n">
        <f aca="false">M50+M63</f>
        <v>0.183333333333333</v>
      </c>
      <c r="N70" s="53" t="n">
        <f aca="false">N50+N63</f>
        <v>0.24</v>
      </c>
      <c r="O70" s="53" t="n">
        <f aca="false">O50+O63</f>
        <v>0.241666666666667</v>
      </c>
      <c r="P70" s="53" t="n">
        <f aca="false">P50+P63</f>
        <v>0.223333333333333</v>
      </c>
      <c r="Q70" s="53" t="n">
        <f aca="false">Q50+Q63</f>
        <v>0.201666666666667</v>
      </c>
      <c r="R70" s="53" t="n">
        <f aca="false">R50+R63</f>
        <v>0.213333333333333</v>
      </c>
      <c r="S70" s="53" t="n">
        <f aca="false">S50+S63</f>
        <v>0.22</v>
      </c>
      <c r="T70" s="53" t="n">
        <f aca="false">T50+T63</f>
        <v>0.5</v>
      </c>
      <c r="U70" s="53" t="n">
        <f aca="false">U50+U63</f>
        <v>0.383333333333333</v>
      </c>
      <c r="V70" s="53" t="n">
        <f aca="false">V50+V63</f>
        <v>0.64</v>
      </c>
      <c r="W70" s="53" t="n">
        <f aca="false">W50+W63</f>
        <v>0.726666666666667</v>
      </c>
      <c r="X70" s="53" t="n">
        <f aca="false">X50+X63</f>
        <v>1.08333333333333</v>
      </c>
      <c r="Y70" s="53" t="n">
        <f aca="false">Y50+Y63</f>
        <v>1.19166666666667</v>
      </c>
      <c r="Z70" s="53" t="n">
        <f aca="false">Z50+Z63</f>
        <v>1.425</v>
      </c>
      <c r="AA70" s="53" t="n">
        <f aca="false">AA50+AA63</f>
        <v>1.38333333333333</v>
      </c>
      <c r="AB70" s="53" t="n">
        <f aca="false">AB50+AB63</f>
        <v>1.01666666666667</v>
      </c>
      <c r="AC70" s="53" t="n">
        <f aca="false">AC50+AC63</f>
        <v>0.733333333333333</v>
      </c>
      <c r="AD70" s="53" t="n">
        <f aca="false">AD50+AD63</f>
        <v>0.716666666666667</v>
      </c>
      <c r="AE70" s="53" t="n">
        <f aca="false">AE50+AE63</f>
        <v>0.825</v>
      </c>
      <c r="AF70" s="53" t="n">
        <f aca="false">AF50+AF63</f>
        <v>1.15</v>
      </c>
      <c r="AG70" s="53" t="n">
        <f aca="false">AG50+AG63</f>
        <v>0.875</v>
      </c>
      <c r="AH70" s="53" t="n">
        <f aca="false">AH50+AH63</f>
        <v>1.45</v>
      </c>
      <c r="AI70" s="53" t="n">
        <f aca="false">AI50+AI63</f>
        <v>1.65</v>
      </c>
      <c r="AJ70" s="53" t="n">
        <f aca="false">AJ50+AJ63</f>
        <v>2.31</v>
      </c>
      <c r="AK70" s="53" t="n">
        <f aca="false">AK50+AK63</f>
        <v>2.575</v>
      </c>
      <c r="AL70" s="53" t="n">
        <f aca="false">AL50+AL63</f>
        <v>3.015</v>
      </c>
      <c r="AM70" s="53" t="n">
        <f aca="false">AM50+AM63</f>
        <v>2.9</v>
      </c>
    </row>
    <row r="71" customFormat="false" ht="15" hidden="false" customHeight="true" outlineLevel="0" collapsed="false">
      <c r="A71" s="5" t="s">
        <v>834</v>
      </c>
      <c r="B71" s="10" t="s">
        <v>64</v>
      </c>
      <c r="C71" s="12" t="n">
        <f aca="false">SUM(D71:AM71)</f>
        <v>1425000</v>
      </c>
      <c r="D71" s="11" t="n">
        <f aca="false">D70*Assumptions!$D$204</f>
        <v>0</v>
      </c>
      <c r="E71" s="11" t="n">
        <f aca="false">E70*Assumptions!$D$204</f>
        <v>0</v>
      </c>
      <c r="F71" s="11" t="n">
        <f aca="false">F70*Assumptions!$D$204</f>
        <v>0</v>
      </c>
      <c r="G71" s="11" t="n">
        <f aca="false">G70*Assumptions!$D$204</f>
        <v>0</v>
      </c>
      <c r="H71" s="11" t="n">
        <f aca="false">H70*Assumptions!$D$204</f>
        <v>2500</v>
      </c>
      <c r="I71" s="11" t="n">
        <f aca="false">I70*Assumptions!$D$204</f>
        <v>2083.33333333333</v>
      </c>
      <c r="J71" s="11" t="n">
        <f aca="false">J70*Assumptions!$D$204</f>
        <v>3750</v>
      </c>
      <c r="K71" s="11" t="n">
        <f aca="false">K70*Assumptions!$D$204</f>
        <v>4166.66666666667</v>
      </c>
      <c r="L71" s="11" t="n">
        <f aca="false">L70*Assumptions!$D$204</f>
        <v>8833.33333333333</v>
      </c>
      <c r="M71" s="11" t="n">
        <f aca="false">M70*Assumptions!$D$204</f>
        <v>9166.66666666667</v>
      </c>
      <c r="N71" s="11" t="n">
        <f aca="false">N70*Assumptions!$D$204</f>
        <v>12000</v>
      </c>
      <c r="O71" s="11" t="n">
        <f aca="false">O70*Assumptions!$D$204</f>
        <v>12083.3333333333</v>
      </c>
      <c r="P71" s="11" t="n">
        <f aca="false">P70*Assumptions!$D$204</f>
        <v>11166.6666666667</v>
      </c>
      <c r="Q71" s="11" t="n">
        <f aca="false">Q70*Assumptions!$D$204</f>
        <v>10083.3333333333</v>
      </c>
      <c r="R71" s="11" t="n">
        <f aca="false">R70*Assumptions!$D$204</f>
        <v>10666.6666666667</v>
      </c>
      <c r="S71" s="11" t="n">
        <f aca="false">S70*Assumptions!$D$204</f>
        <v>11000</v>
      </c>
      <c r="T71" s="11" t="n">
        <f aca="false">T70*Assumptions!$D$204</f>
        <v>25000</v>
      </c>
      <c r="U71" s="11" t="n">
        <f aca="false">U70*Assumptions!$D$204</f>
        <v>19166.6666666667</v>
      </c>
      <c r="V71" s="11" t="n">
        <f aca="false">V70*Assumptions!$D$204</f>
        <v>32000</v>
      </c>
      <c r="W71" s="11" t="n">
        <f aca="false">W70*Assumptions!$D$204</f>
        <v>36333.3333333333</v>
      </c>
      <c r="X71" s="11" t="n">
        <f aca="false">X70*Assumptions!$D$204</f>
        <v>54166.6666666667</v>
      </c>
      <c r="Y71" s="11" t="n">
        <f aca="false">Y70*Assumptions!$D$204</f>
        <v>59583.3333333333</v>
      </c>
      <c r="Z71" s="11" t="n">
        <f aca="false">Z70*Assumptions!$D$204</f>
        <v>71250</v>
      </c>
      <c r="AA71" s="11" t="n">
        <f aca="false">AA70*Assumptions!$D$204</f>
        <v>69166.6666666667</v>
      </c>
      <c r="AB71" s="11" t="n">
        <f aca="false">AB70*Assumptions!$D$204</f>
        <v>50833.3333333333</v>
      </c>
      <c r="AC71" s="11" t="n">
        <f aca="false">AC70*Assumptions!$D$204</f>
        <v>36666.6666666667</v>
      </c>
      <c r="AD71" s="11" t="n">
        <f aca="false">AD70*Assumptions!$D$204</f>
        <v>35833.3333333333</v>
      </c>
      <c r="AE71" s="11" t="n">
        <f aca="false">AE70*Assumptions!$D$204</f>
        <v>41250</v>
      </c>
      <c r="AF71" s="11" t="n">
        <f aca="false">AF70*Assumptions!$D$204</f>
        <v>57500</v>
      </c>
      <c r="AG71" s="11" t="n">
        <f aca="false">AG70*Assumptions!$D$204</f>
        <v>43750</v>
      </c>
      <c r="AH71" s="11" t="n">
        <f aca="false">AH70*Assumptions!$D$204</f>
        <v>72500</v>
      </c>
      <c r="AI71" s="11" t="n">
        <f aca="false">AI70*Assumptions!$D$204</f>
        <v>82500</v>
      </c>
      <c r="AJ71" s="11" t="n">
        <f aca="false">AJ70*Assumptions!$D$204</f>
        <v>115500</v>
      </c>
      <c r="AK71" s="11" t="n">
        <f aca="false">AK70*Assumptions!$D$204</f>
        <v>128750</v>
      </c>
      <c r="AL71" s="11" t="n">
        <f aca="false">AL70*Assumptions!$D$204</f>
        <v>150750</v>
      </c>
      <c r="AM71" s="11" t="n">
        <f aca="false">AM70*Assumptions!$D$204</f>
        <v>145000</v>
      </c>
    </row>
    <row r="72" customFormat="false" ht="15" hidden="false" customHeight="true" outlineLevel="0" collapsed="false">
      <c r="A72" s="5" t="s">
        <v>835</v>
      </c>
      <c r="B72" s="10" t="s">
        <v>64</v>
      </c>
      <c r="C72" s="12" t="n">
        <f aca="false">SUM(D72:AM72)</f>
        <v>-55700</v>
      </c>
      <c r="D72" s="11" t="n">
        <f aca="false">-0*Assumptions!$D$210</f>
        <v>-0</v>
      </c>
      <c r="E72" s="11" t="n">
        <f aca="false">-0*Assumptions!$D$210</f>
        <v>-0</v>
      </c>
      <c r="F72" s="11" t="n">
        <f aca="false">-0*Assumptions!$D$210</f>
        <v>-0</v>
      </c>
      <c r="G72" s="11" t="n">
        <f aca="false">-0*Assumptions!$D$210</f>
        <v>-0</v>
      </c>
      <c r="H72" s="11" t="n">
        <f aca="false">-0*Assumptions!$D$210</f>
        <v>-0</v>
      </c>
      <c r="I72" s="11" t="n">
        <f aca="false">-0*Assumptions!$D$210</f>
        <v>-0</v>
      </c>
      <c r="J72" s="11" t="n">
        <f aca="false">-0*Assumptions!$D$210</f>
        <v>-0</v>
      </c>
      <c r="K72" s="11" t="n">
        <f aca="false">-0*Assumptions!$D$210</f>
        <v>-0</v>
      </c>
      <c r="L72" s="11" t="n">
        <f aca="false">-0*Assumptions!$D$210</f>
        <v>-0</v>
      </c>
      <c r="M72" s="11" t="n">
        <f aca="false">-0*Assumptions!$D$210</f>
        <v>-0</v>
      </c>
      <c r="N72" s="11" t="n">
        <f aca="false">-0*Assumptions!$D$210</f>
        <v>-0</v>
      </c>
      <c r="O72" s="11" t="n">
        <f aca="false">-0*Assumptions!$D$210</f>
        <v>-0</v>
      </c>
      <c r="P72" s="11" t="n">
        <f aca="false">-D71*Assumptions!$D$210</f>
        <v>-0</v>
      </c>
      <c r="Q72" s="11" t="n">
        <f aca="false">-E71*Assumptions!$D$210</f>
        <v>-0</v>
      </c>
      <c r="R72" s="11" t="n">
        <f aca="false">-F71*Assumptions!$D$210</f>
        <v>-0</v>
      </c>
      <c r="S72" s="11" t="n">
        <f aca="false">-G71*Assumptions!$D$210</f>
        <v>-0</v>
      </c>
      <c r="T72" s="11" t="n">
        <f aca="false">-H71*Assumptions!$D$210</f>
        <v>-300</v>
      </c>
      <c r="U72" s="11" t="n">
        <f aca="false">-I71*Assumptions!$D$210</f>
        <v>-250</v>
      </c>
      <c r="V72" s="11" t="n">
        <f aca="false">-J71*Assumptions!$D$210</f>
        <v>-450</v>
      </c>
      <c r="W72" s="11" t="n">
        <f aca="false">-K71*Assumptions!$D$210</f>
        <v>-500</v>
      </c>
      <c r="X72" s="11" t="n">
        <f aca="false">-L71*Assumptions!$D$210</f>
        <v>-1060</v>
      </c>
      <c r="Y72" s="11" t="n">
        <f aca="false">-M71*Assumptions!$D$210</f>
        <v>-1100</v>
      </c>
      <c r="Z72" s="11" t="n">
        <f aca="false">-N71*Assumptions!$D$210</f>
        <v>-1440</v>
      </c>
      <c r="AA72" s="11" t="n">
        <f aca="false">-O71*Assumptions!$D$210</f>
        <v>-1450</v>
      </c>
      <c r="AB72" s="11" t="n">
        <f aca="false">-P71*Assumptions!$D$210</f>
        <v>-1340</v>
      </c>
      <c r="AC72" s="11" t="n">
        <f aca="false">-Q71*Assumptions!$D$210</f>
        <v>-1210</v>
      </c>
      <c r="AD72" s="11" t="n">
        <f aca="false">-R71*Assumptions!$D$210</f>
        <v>-1280</v>
      </c>
      <c r="AE72" s="11" t="n">
        <f aca="false">-S71*Assumptions!$D$210</f>
        <v>-1320</v>
      </c>
      <c r="AF72" s="11" t="n">
        <f aca="false">-T71*Assumptions!$D$210</f>
        <v>-3000</v>
      </c>
      <c r="AG72" s="11" t="n">
        <f aca="false">-U71*Assumptions!$D$210</f>
        <v>-2300</v>
      </c>
      <c r="AH72" s="11" t="n">
        <f aca="false">-V71*Assumptions!$D$210</f>
        <v>-3840</v>
      </c>
      <c r="AI72" s="11" t="n">
        <f aca="false">-W71*Assumptions!$D$210</f>
        <v>-4360</v>
      </c>
      <c r="AJ72" s="11" t="n">
        <f aca="false">-X71*Assumptions!$D$210</f>
        <v>-6500</v>
      </c>
      <c r="AK72" s="11" t="n">
        <f aca="false">-Y71*Assumptions!$D$210</f>
        <v>-7150</v>
      </c>
      <c r="AL72" s="11" t="n">
        <f aca="false">-Z71*Assumptions!$D$210</f>
        <v>-8550</v>
      </c>
      <c r="AM72" s="11" t="n">
        <f aca="false">-AA71*Assumptions!$D$210</f>
        <v>-8300</v>
      </c>
    </row>
    <row r="73" customFormat="false" ht="15" hidden="false" customHeight="true" outlineLevel="0" collapsed="false">
      <c r="A73" s="5" t="s">
        <v>836</v>
      </c>
      <c r="B73" s="10" t="s">
        <v>64</v>
      </c>
      <c r="C73" s="12" t="n">
        <f aca="false">SUM(D73:AM73)</f>
        <v>-6455.68</v>
      </c>
      <c r="D73" s="11" t="n">
        <f aca="false">-0*Assumptions!$D$213*Assumptions!$D$210</f>
        <v>-0</v>
      </c>
      <c r="E73" s="11" t="n">
        <f aca="false">-0*Assumptions!$D$213*Assumptions!$D$210</f>
        <v>-0</v>
      </c>
      <c r="F73" s="11" t="n">
        <f aca="false">-0*Assumptions!$D$213*Assumptions!$D$210</f>
        <v>-0</v>
      </c>
      <c r="G73" s="11" t="n">
        <f aca="false">-0*Assumptions!$D$213*Assumptions!$D$210</f>
        <v>-0</v>
      </c>
      <c r="H73" s="11" t="n">
        <f aca="false">-0*Assumptions!$D$213*Assumptions!$D$210</f>
        <v>-0</v>
      </c>
      <c r="I73" s="11" t="n">
        <f aca="false">-0*Assumptions!$D$213*Assumptions!$D$210</f>
        <v>-0</v>
      </c>
      <c r="J73" s="11" t="n">
        <f aca="false">-0*Assumptions!$D$213*Assumptions!$D$210</f>
        <v>-0</v>
      </c>
      <c r="K73" s="11" t="n">
        <f aca="false">-0*Assumptions!$D$213*Assumptions!$D$210</f>
        <v>-0</v>
      </c>
      <c r="L73" s="11" t="n">
        <f aca="false">-0*Assumptions!$D$213*Assumptions!$D$210</f>
        <v>-0</v>
      </c>
      <c r="M73" s="11" t="n">
        <f aca="false">-0*Assumptions!$D$213*Assumptions!$D$210</f>
        <v>-0</v>
      </c>
      <c r="N73" s="11" t="n">
        <f aca="false">-0*Assumptions!$D$213*Assumptions!$D$210</f>
        <v>-0</v>
      </c>
      <c r="O73" s="11" t="n">
        <f aca="false">-0*Assumptions!$D$213*Assumptions!$D$210</f>
        <v>-0</v>
      </c>
      <c r="P73" s="11" t="n">
        <f aca="false">-0*Assumptions!$D$213*Assumptions!$D$210</f>
        <v>-0</v>
      </c>
      <c r="Q73" s="11" t="n">
        <f aca="false">-0*Assumptions!$D$213*Assumptions!$D$210</f>
        <v>-0</v>
      </c>
      <c r="R73" s="11" t="n">
        <f aca="false">-0*Assumptions!$D$213*Assumptions!$D$210</f>
        <v>-0</v>
      </c>
      <c r="S73" s="11" t="n">
        <f aca="false">-0*Assumptions!$D$213*Assumptions!$D$210</f>
        <v>-0</v>
      </c>
      <c r="T73" s="11" t="n">
        <f aca="false">-0*Assumptions!$D$213*Assumptions!$D$210</f>
        <v>-0</v>
      </c>
      <c r="U73" s="11" t="n">
        <f aca="false">-0*Assumptions!$D$213*Assumptions!$D$210</f>
        <v>-0</v>
      </c>
      <c r="V73" s="11" t="n">
        <f aca="false">-0*Assumptions!$D$213*Assumptions!$D$210</f>
        <v>-0</v>
      </c>
      <c r="W73" s="11" t="n">
        <f aca="false">-0*Assumptions!$D$213*Assumptions!$D$210</f>
        <v>-0</v>
      </c>
      <c r="X73" s="11" t="n">
        <f aca="false">-0*Assumptions!$D$213*Assumptions!$D$210</f>
        <v>-0</v>
      </c>
      <c r="Y73" s="11" t="n">
        <f aca="false">-0*Assumptions!$D$213*Assumptions!$D$210</f>
        <v>-0</v>
      </c>
      <c r="Z73" s="11" t="n">
        <f aca="false">-0*Assumptions!$D$213*Assumptions!$D$210</f>
        <v>-0</v>
      </c>
      <c r="AA73" s="11" t="n">
        <f aca="false">-0*Assumptions!$D$213*Assumptions!$D$210</f>
        <v>-0</v>
      </c>
      <c r="AB73" s="11" t="n">
        <f aca="false">-D71*Assumptions!$D$213*Assumptions!$D$210</f>
        <v>-0</v>
      </c>
      <c r="AC73" s="11" t="n">
        <f aca="false">-E71*Assumptions!$D$213*Assumptions!$D$210</f>
        <v>-0</v>
      </c>
      <c r="AD73" s="11" t="n">
        <f aca="false">-F71*Assumptions!$D$213*Assumptions!$D$210</f>
        <v>-0</v>
      </c>
      <c r="AE73" s="11" t="n">
        <f aca="false">-G71*Assumptions!$D$213*Assumptions!$D$210</f>
        <v>-0</v>
      </c>
      <c r="AF73" s="11" t="n">
        <f aca="false">-H71*Assumptions!$D$213*Assumptions!$D$210</f>
        <v>-295.68</v>
      </c>
      <c r="AG73" s="11" t="n">
        <f aca="false">-I71*Assumptions!$D$213*Assumptions!$D$210</f>
        <v>-246.4</v>
      </c>
      <c r="AH73" s="11" t="n">
        <f aca="false">-J71*Assumptions!$D$213*Assumptions!$D$210</f>
        <v>-443.52</v>
      </c>
      <c r="AI73" s="11" t="n">
        <f aca="false">-K71*Assumptions!$D$213*Assumptions!$D$210</f>
        <v>-492.8</v>
      </c>
      <c r="AJ73" s="11" t="n">
        <f aca="false">-L71*Assumptions!$D$213*Assumptions!$D$210</f>
        <v>-1044.736</v>
      </c>
      <c r="AK73" s="11" t="n">
        <f aca="false">-M71*Assumptions!$D$213*Assumptions!$D$210</f>
        <v>-1084.16</v>
      </c>
      <c r="AL73" s="11" t="n">
        <f aca="false">-N71*Assumptions!$D$213*Assumptions!$D$210</f>
        <v>-1419.264</v>
      </c>
      <c r="AM73" s="11" t="n">
        <f aca="false">-O71*Assumptions!$D$213*Assumptions!$D$210</f>
        <v>-1429.12</v>
      </c>
    </row>
    <row r="74" customFormat="false" ht="15" hidden="false" customHeight="true" outlineLevel="0" collapsed="false">
      <c r="A74" s="5" t="s">
        <v>837</v>
      </c>
      <c r="B74" s="10" t="s">
        <v>64</v>
      </c>
      <c r="C74" s="12" t="n">
        <f aca="false">SUM(D74:AM74)</f>
        <v>49016</v>
      </c>
      <c r="D74" s="11" t="n">
        <f aca="false">0*(1-Assumptions!$D$210)*Assumptions!$D$211</f>
        <v>0</v>
      </c>
      <c r="E74" s="11" t="n">
        <f aca="false">0*(1-Assumptions!$D$210)*Assumptions!$D$211</f>
        <v>0</v>
      </c>
      <c r="F74" s="11" t="n">
        <f aca="false">0*(1-Assumptions!$D$210)*Assumptions!$D$211</f>
        <v>0</v>
      </c>
      <c r="G74" s="11" t="n">
        <f aca="false">0*(1-Assumptions!$D$210)*Assumptions!$D$211</f>
        <v>0</v>
      </c>
      <c r="H74" s="11" t="n">
        <f aca="false">0*(1-Assumptions!$D$210)*Assumptions!$D$211</f>
        <v>0</v>
      </c>
      <c r="I74" s="11" t="n">
        <f aca="false">0*(1-Assumptions!$D$210)*Assumptions!$D$211</f>
        <v>0</v>
      </c>
      <c r="J74" s="11" t="n">
        <f aca="false">0*(1-Assumptions!$D$210)*Assumptions!$D$211</f>
        <v>0</v>
      </c>
      <c r="K74" s="11" t="n">
        <f aca="false">0*(1-Assumptions!$D$210)*Assumptions!$D$211</f>
        <v>0</v>
      </c>
      <c r="L74" s="11" t="n">
        <f aca="false">0*(1-Assumptions!$D$210)*Assumptions!$D$211</f>
        <v>0</v>
      </c>
      <c r="M74" s="11" t="n">
        <f aca="false">0*(1-Assumptions!$D$210)*Assumptions!$D$211</f>
        <v>0</v>
      </c>
      <c r="N74" s="11" t="n">
        <f aca="false">0*(1-Assumptions!$D$210)*Assumptions!$D$211</f>
        <v>0</v>
      </c>
      <c r="O74" s="11" t="n">
        <f aca="false">0*(1-Assumptions!$D$210)*Assumptions!$D$211</f>
        <v>0</v>
      </c>
      <c r="P74" s="11" t="n">
        <f aca="false">D71*(1-Assumptions!$D$210)*Assumptions!$D$211</f>
        <v>0</v>
      </c>
      <c r="Q74" s="11" t="n">
        <f aca="false">E71*(1-Assumptions!$D$210)*Assumptions!$D$211</f>
        <v>0</v>
      </c>
      <c r="R74" s="11" t="n">
        <f aca="false">F71*(1-Assumptions!$D$210)*Assumptions!$D$211</f>
        <v>0</v>
      </c>
      <c r="S74" s="11" t="n">
        <f aca="false">G71*(1-Assumptions!$D$210)*Assumptions!$D$211</f>
        <v>0</v>
      </c>
      <c r="T74" s="11" t="n">
        <f aca="false">H71*(1-Assumptions!$D$210)*Assumptions!$D$211</f>
        <v>264</v>
      </c>
      <c r="U74" s="11" t="n">
        <f aca="false">I71*(1-Assumptions!$D$210)*Assumptions!$D$211</f>
        <v>220</v>
      </c>
      <c r="V74" s="11" t="n">
        <f aca="false">J71*(1-Assumptions!$D$210)*Assumptions!$D$211</f>
        <v>396</v>
      </c>
      <c r="W74" s="11" t="n">
        <f aca="false">K71*(1-Assumptions!$D$210)*Assumptions!$D$211</f>
        <v>440</v>
      </c>
      <c r="X74" s="11" t="n">
        <f aca="false">L71*(1-Assumptions!$D$210)*Assumptions!$D$211</f>
        <v>932.8</v>
      </c>
      <c r="Y74" s="11" t="n">
        <f aca="false">M71*(1-Assumptions!$D$210)*Assumptions!$D$211</f>
        <v>968</v>
      </c>
      <c r="Z74" s="11" t="n">
        <f aca="false">N71*(1-Assumptions!$D$210)*Assumptions!$D$211</f>
        <v>1267.2</v>
      </c>
      <c r="AA74" s="11" t="n">
        <f aca="false">O71*(1-Assumptions!$D$210)*Assumptions!$D$211</f>
        <v>1276</v>
      </c>
      <c r="AB74" s="11" t="n">
        <f aca="false">P71*(1-Assumptions!$D$210)*Assumptions!$D$211</f>
        <v>1179.2</v>
      </c>
      <c r="AC74" s="11" t="n">
        <f aca="false">Q71*(1-Assumptions!$D$210)*Assumptions!$D$211</f>
        <v>1064.8</v>
      </c>
      <c r="AD74" s="11" t="n">
        <f aca="false">R71*(1-Assumptions!$D$210)*Assumptions!$D$211</f>
        <v>1126.4</v>
      </c>
      <c r="AE74" s="11" t="n">
        <f aca="false">S71*(1-Assumptions!$D$210)*Assumptions!$D$211</f>
        <v>1161.6</v>
      </c>
      <c r="AF74" s="11" t="n">
        <f aca="false">T71*(1-Assumptions!$D$210)*Assumptions!$D$211</f>
        <v>2640</v>
      </c>
      <c r="AG74" s="11" t="n">
        <f aca="false">U71*(1-Assumptions!$D$210)*Assumptions!$D$211</f>
        <v>2024</v>
      </c>
      <c r="AH74" s="11" t="n">
        <f aca="false">V71*(1-Assumptions!$D$210)*Assumptions!$D$211</f>
        <v>3379.2</v>
      </c>
      <c r="AI74" s="11" t="n">
        <f aca="false">W71*(1-Assumptions!$D$210)*Assumptions!$D$211</f>
        <v>3836.8</v>
      </c>
      <c r="AJ74" s="11" t="n">
        <f aca="false">X71*(1-Assumptions!$D$210)*Assumptions!$D$211</f>
        <v>5720</v>
      </c>
      <c r="AK74" s="11" t="n">
        <f aca="false">Y71*(1-Assumptions!$D$210)*Assumptions!$D$211</f>
        <v>6292</v>
      </c>
      <c r="AL74" s="11" t="n">
        <f aca="false">Z71*(1-Assumptions!$D$210)*Assumptions!$D$211</f>
        <v>7524</v>
      </c>
      <c r="AM74" s="11" t="n">
        <f aca="false">AA71*(1-Assumptions!$D$210)*Assumptions!$D$211</f>
        <v>7304</v>
      </c>
    </row>
    <row r="75" customFormat="false" ht="15" hidden="false" customHeight="true" outlineLevel="0" collapsed="false">
      <c r="A75" s="5" t="s">
        <v>838</v>
      </c>
      <c r="B75" s="10" t="s">
        <v>64</v>
      </c>
      <c r="C75" s="12" t="n">
        <f aca="false">SUM(D75:AM75)</f>
        <v>4734.16533333333</v>
      </c>
      <c r="D75" s="11" t="n">
        <f aca="false">0*Assumptions!$D$213*(1-Assumptions!$D$210)*Assumptions!$D$212</f>
        <v>0</v>
      </c>
      <c r="E75" s="11" t="n">
        <f aca="false">0*Assumptions!$D$213*(1-Assumptions!$D$210)*Assumptions!$D$212</f>
        <v>0</v>
      </c>
      <c r="F75" s="11" t="n">
        <f aca="false">0*Assumptions!$D$213*(1-Assumptions!$D$210)*Assumptions!$D$212</f>
        <v>0</v>
      </c>
      <c r="G75" s="11" t="n">
        <f aca="false">0*Assumptions!$D$213*(1-Assumptions!$D$210)*Assumptions!$D$212</f>
        <v>0</v>
      </c>
      <c r="H75" s="11" t="n">
        <f aca="false">0*Assumptions!$D$213*(1-Assumptions!$D$210)*Assumptions!$D$212</f>
        <v>0</v>
      </c>
      <c r="I75" s="11" t="n">
        <f aca="false">0*Assumptions!$D$213*(1-Assumptions!$D$210)*Assumptions!$D$212</f>
        <v>0</v>
      </c>
      <c r="J75" s="11" t="n">
        <f aca="false">0*Assumptions!$D$213*(1-Assumptions!$D$210)*Assumptions!$D$212</f>
        <v>0</v>
      </c>
      <c r="K75" s="11" t="n">
        <f aca="false">0*Assumptions!$D$213*(1-Assumptions!$D$210)*Assumptions!$D$212</f>
        <v>0</v>
      </c>
      <c r="L75" s="11" t="n">
        <f aca="false">0*Assumptions!$D$213*(1-Assumptions!$D$210)*Assumptions!$D$212</f>
        <v>0</v>
      </c>
      <c r="M75" s="11" t="n">
        <f aca="false">0*Assumptions!$D$213*(1-Assumptions!$D$210)*Assumptions!$D$212</f>
        <v>0</v>
      </c>
      <c r="N75" s="11" t="n">
        <f aca="false">0*Assumptions!$D$213*(1-Assumptions!$D$210)*Assumptions!$D$212</f>
        <v>0</v>
      </c>
      <c r="O75" s="11" t="n">
        <f aca="false">0*Assumptions!$D$213*(1-Assumptions!$D$210)*Assumptions!$D$212</f>
        <v>0</v>
      </c>
      <c r="P75" s="11" t="n">
        <f aca="false">0*Assumptions!$D$213*(1-Assumptions!$D$210)*Assumptions!$D$212</f>
        <v>0</v>
      </c>
      <c r="Q75" s="11" t="n">
        <f aca="false">0*Assumptions!$D$213*(1-Assumptions!$D$210)*Assumptions!$D$212</f>
        <v>0</v>
      </c>
      <c r="R75" s="11" t="n">
        <f aca="false">0*Assumptions!$D$213*(1-Assumptions!$D$210)*Assumptions!$D$212</f>
        <v>0</v>
      </c>
      <c r="S75" s="11" t="n">
        <f aca="false">0*Assumptions!$D$213*(1-Assumptions!$D$210)*Assumptions!$D$212</f>
        <v>0</v>
      </c>
      <c r="T75" s="11" t="n">
        <f aca="false">0*Assumptions!$D$213*(1-Assumptions!$D$210)*Assumptions!$D$212</f>
        <v>0</v>
      </c>
      <c r="U75" s="11" t="n">
        <f aca="false">0*Assumptions!$D$213*(1-Assumptions!$D$210)*Assumptions!$D$212</f>
        <v>0</v>
      </c>
      <c r="V75" s="11" t="n">
        <f aca="false">0*Assumptions!$D$213*(1-Assumptions!$D$210)*Assumptions!$D$212</f>
        <v>0</v>
      </c>
      <c r="W75" s="11" t="n">
        <f aca="false">0*Assumptions!$D$213*(1-Assumptions!$D$210)*Assumptions!$D$212</f>
        <v>0</v>
      </c>
      <c r="X75" s="11" t="n">
        <f aca="false">0*Assumptions!$D$213*(1-Assumptions!$D$210)*Assumptions!$D$212</f>
        <v>0</v>
      </c>
      <c r="Y75" s="11" t="n">
        <f aca="false">0*Assumptions!$D$213*(1-Assumptions!$D$210)*Assumptions!$D$212</f>
        <v>0</v>
      </c>
      <c r="Z75" s="11" t="n">
        <f aca="false">0*Assumptions!$D$213*(1-Assumptions!$D$210)*Assumptions!$D$212</f>
        <v>0</v>
      </c>
      <c r="AA75" s="11" t="n">
        <f aca="false">0*Assumptions!$D$213*(1-Assumptions!$D$210)*Assumptions!$D$212</f>
        <v>0</v>
      </c>
      <c r="AB75" s="11" t="n">
        <f aca="false">D71*Assumptions!$D$213*(1-Assumptions!$D$210)*Assumptions!$D$212</f>
        <v>0</v>
      </c>
      <c r="AC75" s="11" t="n">
        <f aca="false">E71*Assumptions!$D$213*(1-Assumptions!$D$210)*Assumptions!$D$212</f>
        <v>0</v>
      </c>
      <c r="AD75" s="11" t="n">
        <f aca="false">F71*Assumptions!$D$213*(1-Assumptions!$D$210)*Assumptions!$D$212</f>
        <v>0</v>
      </c>
      <c r="AE75" s="11" t="n">
        <f aca="false">G71*Assumptions!$D$213*(1-Assumptions!$D$210)*Assumptions!$D$212</f>
        <v>0</v>
      </c>
      <c r="AF75" s="11" t="n">
        <f aca="false">H71*Assumptions!$D$213*(1-Assumptions!$D$210)*Assumptions!$D$212</f>
        <v>216.832</v>
      </c>
      <c r="AG75" s="11" t="n">
        <f aca="false">I71*Assumptions!$D$213*(1-Assumptions!$D$210)*Assumptions!$D$212</f>
        <v>180.693333333333</v>
      </c>
      <c r="AH75" s="11" t="n">
        <f aca="false">J71*Assumptions!$D$213*(1-Assumptions!$D$210)*Assumptions!$D$212</f>
        <v>325.248</v>
      </c>
      <c r="AI75" s="11" t="n">
        <f aca="false">K71*Assumptions!$D$213*(1-Assumptions!$D$210)*Assumptions!$D$212</f>
        <v>361.386666666667</v>
      </c>
      <c r="AJ75" s="11" t="n">
        <f aca="false">L71*Assumptions!$D$213*(1-Assumptions!$D$210)*Assumptions!$D$212</f>
        <v>766.139733333333</v>
      </c>
      <c r="AK75" s="11" t="n">
        <f aca="false">M71*Assumptions!$D$213*(1-Assumptions!$D$210)*Assumptions!$D$212</f>
        <v>795.050666666667</v>
      </c>
      <c r="AL75" s="11" t="n">
        <f aca="false">N71*Assumptions!$D$213*(1-Assumptions!$D$210)*Assumptions!$D$212</f>
        <v>1040.7936</v>
      </c>
      <c r="AM75" s="11" t="n">
        <f aca="false">O71*Assumptions!$D$213*(1-Assumptions!$D$210)*Assumptions!$D$212</f>
        <v>1048.02133333333</v>
      </c>
    </row>
    <row r="76" customFormat="false" ht="15" hidden="false" customHeight="true" outlineLevel="0" collapsed="false">
      <c r="A76" s="13" t="s">
        <v>839</v>
      </c>
      <c r="B76" s="14" t="s">
        <v>64</v>
      </c>
      <c r="C76" s="15" t="n">
        <f aca="false">AM76</f>
        <v>1416594.48533333</v>
      </c>
      <c r="D76" s="15" t="n">
        <f aca="false">0+D71+D72+D73+D74+D75</f>
        <v>0</v>
      </c>
      <c r="E76" s="15" t="n">
        <f aca="false">D76+E71+E72+E73+E74+E75</f>
        <v>0</v>
      </c>
      <c r="F76" s="15" t="n">
        <f aca="false">E76+F71+F72+F73+F74+F75</f>
        <v>0</v>
      </c>
      <c r="G76" s="15" t="n">
        <f aca="false">F76+G71+G72+G73+G74+G75</f>
        <v>0</v>
      </c>
      <c r="H76" s="15" t="n">
        <f aca="false">G76+H71+H72+H73+H74+H75</f>
        <v>2500</v>
      </c>
      <c r="I76" s="15" t="n">
        <f aca="false">H76+I71+I72+I73+I74+I75</f>
        <v>4583.33333333333</v>
      </c>
      <c r="J76" s="15" t="n">
        <f aca="false">I76+J71+J72+J73+J74+J75</f>
        <v>8333.33333333333</v>
      </c>
      <c r="K76" s="15" t="n">
        <f aca="false">J76+K71+K72+K73+K74+K75</f>
        <v>12500</v>
      </c>
      <c r="L76" s="15" t="n">
        <f aca="false">K76+L71+L72+L73+L74+L75</f>
        <v>21333.3333333333</v>
      </c>
      <c r="M76" s="15" t="n">
        <f aca="false">L76+M71+M72+M73+M74+M75</f>
        <v>30500</v>
      </c>
      <c r="N76" s="15" t="n">
        <f aca="false">M76+N71+N72+N73+N74+N75</f>
        <v>42500</v>
      </c>
      <c r="O76" s="15" t="n">
        <f aca="false">N76+O71+O72+O73+O74+O75</f>
        <v>54583.3333333333</v>
      </c>
      <c r="P76" s="15" t="n">
        <f aca="false">O76+P71+P72+P73+P74+P75</f>
        <v>65750</v>
      </c>
      <c r="Q76" s="15" t="n">
        <f aca="false">P76+Q71+Q72+Q73+Q74+Q75</f>
        <v>75833.3333333333</v>
      </c>
      <c r="R76" s="15" t="n">
        <f aca="false">Q76+R71+R72+R73+R74+R75</f>
        <v>86500</v>
      </c>
      <c r="S76" s="15" t="n">
        <f aca="false">R76+S71+S72+S73+S74+S75</f>
        <v>97500</v>
      </c>
      <c r="T76" s="15" t="n">
        <f aca="false">S76+T71+T72+T73+T74+T75</f>
        <v>122464</v>
      </c>
      <c r="U76" s="15" t="n">
        <f aca="false">T76+U71+U72+U73+U74+U75</f>
        <v>141600.666666667</v>
      </c>
      <c r="V76" s="15" t="n">
        <f aca="false">U76+V71+V72+V73+V74+V75</f>
        <v>173546.666666667</v>
      </c>
      <c r="W76" s="15" t="n">
        <f aca="false">V76+W71+W72+W73+W74+W75</f>
        <v>209820</v>
      </c>
      <c r="X76" s="15" t="n">
        <f aca="false">W76+X71+X72+X73+X74+X75</f>
        <v>263859.466666667</v>
      </c>
      <c r="Y76" s="15" t="n">
        <f aca="false">X76+Y71+Y72+Y73+Y74+Y75</f>
        <v>323310.8</v>
      </c>
      <c r="Z76" s="15" t="n">
        <f aca="false">Y76+Z71+Z72+Z73+Z74+Z75</f>
        <v>394388</v>
      </c>
      <c r="AA76" s="15" t="n">
        <f aca="false">Z76+AA71+AA72+AA73+AA74+AA75</f>
        <v>463380.666666667</v>
      </c>
      <c r="AB76" s="15" t="n">
        <f aca="false">AA76+AB71+AB72+AB73+AB74+AB75</f>
        <v>514053.2</v>
      </c>
      <c r="AC76" s="15" t="n">
        <f aca="false">AB76+AC71+AC72+AC73+AC74+AC75</f>
        <v>550574.666666667</v>
      </c>
      <c r="AD76" s="15" t="n">
        <f aca="false">AC76+AD71+AD72+AD73+AD74+AD75</f>
        <v>586254.4</v>
      </c>
      <c r="AE76" s="15" t="n">
        <f aca="false">AD76+AE71+AE72+AE73+AE74+AE75</f>
        <v>627346</v>
      </c>
      <c r="AF76" s="15" t="n">
        <f aca="false">AE76+AF71+AF72+AF73+AF74+AF75</f>
        <v>684407.152</v>
      </c>
      <c r="AG76" s="15" t="n">
        <f aca="false">AF76+AG71+AG72+AG73+AG74+AG75</f>
        <v>727815.445333334</v>
      </c>
      <c r="AH76" s="15" t="n">
        <f aca="false">AG76+AH71+AH72+AH73+AH74+AH75</f>
        <v>799736.373333333</v>
      </c>
      <c r="AI76" s="15" t="n">
        <f aca="false">AH76+AI71+AI72+AI73+AI74+AI75</f>
        <v>881581.76</v>
      </c>
      <c r="AJ76" s="15" t="n">
        <f aca="false">AI76+AJ71+AJ72+AJ73+AJ74+AJ75</f>
        <v>996023.163733334</v>
      </c>
      <c r="AK76" s="15" t="n">
        <f aca="false">AJ76+AK71+AK72+AK73+AK74+AK75</f>
        <v>1123626.0544</v>
      </c>
      <c r="AL76" s="15" t="n">
        <f aca="false">AK76+AL71+AL72+AL73+AL74+AL75</f>
        <v>1272971.584</v>
      </c>
      <c r="AM76" s="15" t="n">
        <f aca="false">AL76+AM71+AM72+AM73+AM74+AM75</f>
        <v>1416594.48533333</v>
      </c>
    </row>
    <row r="77" customFormat="false" ht="15" hidden="false" customHeight="true" outlineLevel="0" collapsed="false">
      <c r="A77" s="5" t="s">
        <v>840</v>
      </c>
      <c r="B77" s="10" t="s">
        <v>100</v>
      </c>
      <c r="C77" s="57" t="n">
        <f aca="false">AM77</f>
        <v>27.27072</v>
      </c>
      <c r="D77" s="53" t="n">
        <f aca="false">0+D70-0*Assumptions!$D$210-0*(1-Assumptions!$D$210)*Assumptions!$D$210</f>
        <v>0</v>
      </c>
      <c r="E77" s="53" t="n">
        <f aca="false">D77+E70-0*Assumptions!$D$210-0*(1-Assumptions!$D$210)*Assumptions!$D$210</f>
        <v>0</v>
      </c>
      <c r="F77" s="53" t="n">
        <f aca="false">E77+F70-0*Assumptions!$D$210-0*(1-Assumptions!$D$210)*Assumptions!$D$210</f>
        <v>0</v>
      </c>
      <c r="G77" s="53" t="n">
        <f aca="false">F77+G70-0*Assumptions!$D$210-0*(1-Assumptions!$D$210)*Assumptions!$D$210</f>
        <v>0</v>
      </c>
      <c r="H77" s="53" t="n">
        <f aca="false">G77+H70-0*Assumptions!$D$210-0*(1-Assumptions!$D$210)*Assumptions!$D$210</f>
        <v>0.05</v>
      </c>
      <c r="I77" s="53" t="n">
        <f aca="false">H77+I70-0*Assumptions!$D$210-0*(1-Assumptions!$D$210)*Assumptions!$D$210</f>
        <v>0.0916666666666667</v>
      </c>
      <c r="J77" s="53" t="n">
        <f aca="false">I77+J70-0*Assumptions!$D$210-0*(1-Assumptions!$D$210)*Assumptions!$D$210</f>
        <v>0.166666666666667</v>
      </c>
      <c r="K77" s="53" t="n">
        <f aca="false">J77+K70-0*Assumptions!$D$210-0*(1-Assumptions!$D$210)*Assumptions!$D$210</f>
        <v>0.25</v>
      </c>
      <c r="L77" s="53" t="n">
        <f aca="false">K77+L70-0*Assumptions!$D$210-0*(1-Assumptions!$D$210)*Assumptions!$D$210</f>
        <v>0.426666666666667</v>
      </c>
      <c r="M77" s="53" t="n">
        <f aca="false">L77+M70-0*Assumptions!$D$210-0*(1-Assumptions!$D$210)*Assumptions!$D$210</f>
        <v>0.61</v>
      </c>
      <c r="N77" s="53" t="n">
        <f aca="false">M77+N70-0*Assumptions!$D$210-0*(1-Assumptions!$D$210)*Assumptions!$D$210</f>
        <v>0.85</v>
      </c>
      <c r="O77" s="53" t="n">
        <f aca="false">N77+O70-0*Assumptions!$D$210-0*(1-Assumptions!$D$210)*Assumptions!$D$210</f>
        <v>1.09166666666667</v>
      </c>
      <c r="P77" s="53" t="n">
        <f aca="false">O77+P70-D70*Assumptions!$D$210-0*(1-Assumptions!$D$210)*Assumptions!$D$210</f>
        <v>1.315</v>
      </c>
      <c r="Q77" s="53" t="n">
        <f aca="false">P77+Q70-E70*Assumptions!$D$210-0*(1-Assumptions!$D$210)*Assumptions!$D$210</f>
        <v>1.51666666666667</v>
      </c>
      <c r="R77" s="53" t="n">
        <f aca="false">Q77+R70-F70*Assumptions!$D$210-0*(1-Assumptions!$D$210)*Assumptions!$D$210</f>
        <v>1.73</v>
      </c>
      <c r="S77" s="53" t="n">
        <f aca="false">R77+S70-G70*Assumptions!$D$210-0*(1-Assumptions!$D$210)*Assumptions!$D$210</f>
        <v>1.95</v>
      </c>
      <c r="T77" s="53" t="n">
        <f aca="false">S77+T70-H70*Assumptions!$D$210-0*(1-Assumptions!$D$210)*Assumptions!$D$210</f>
        <v>2.444</v>
      </c>
      <c r="U77" s="53" t="n">
        <f aca="false">T77+U70-I70*Assumptions!$D$210-0*(1-Assumptions!$D$210)*Assumptions!$D$210</f>
        <v>2.82233333333333</v>
      </c>
      <c r="V77" s="53" t="n">
        <f aca="false">U77+V70-J70*Assumptions!$D$210-0*(1-Assumptions!$D$210)*Assumptions!$D$210</f>
        <v>3.45333333333333</v>
      </c>
      <c r="W77" s="53" t="n">
        <f aca="false">V77+W70-K70*Assumptions!$D$210-0*(1-Assumptions!$D$210)*Assumptions!$D$210</f>
        <v>4.17</v>
      </c>
      <c r="X77" s="53" t="n">
        <f aca="false">W77+X70-L70*Assumptions!$D$210-0*(1-Assumptions!$D$210)*Assumptions!$D$210</f>
        <v>5.23213333333333</v>
      </c>
      <c r="Y77" s="53" t="n">
        <f aca="false">X77+Y70-M70*Assumptions!$D$210-0*(1-Assumptions!$D$210)*Assumptions!$D$210</f>
        <v>6.4018</v>
      </c>
      <c r="Z77" s="53" t="n">
        <f aca="false">Y77+Z70-N70*Assumptions!$D$210-0*(1-Assumptions!$D$210)*Assumptions!$D$210</f>
        <v>7.798</v>
      </c>
      <c r="AA77" s="53" t="n">
        <f aca="false">Z77+AA70-O70*Assumptions!$D$210-0*(1-Assumptions!$D$210)*Assumptions!$D$210</f>
        <v>9.15233333333333</v>
      </c>
      <c r="AB77" s="53" t="n">
        <f aca="false">AA77+AB70-P70*Assumptions!$D$210-D70*(1-Assumptions!$D$210)*Assumptions!$D$210</f>
        <v>10.1422</v>
      </c>
      <c r="AC77" s="53" t="n">
        <f aca="false">AB77+AC70-Q70*Assumptions!$D$210-E70*(1-Assumptions!$D$210)*Assumptions!$D$210</f>
        <v>10.8513333333333</v>
      </c>
      <c r="AD77" s="53" t="n">
        <f aca="false">AC77+AD70-R70*Assumptions!$D$210-F70*(1-Assumptions!$D$210)*Assumptions!$D$210</f>
        <v>11.5424</v>
      </c>
      <c r="AE77" s="53" t="n">
        <f aca="false">AD77+AE70-S70*Assumptions!$D$210-G70*(1-Assumptions!$D$210)*Assumptions!$D$210</f>
        <v>12.341</v>
      </c>
      <c r="AF77" s="53" t="n">
        <f aca="false">AE77+AF70-T70*Assumptions!$D$210-H70*(1-Assumptions!$D$210)*Assumptions!$D$210</f>
        <v>13.42572</v>
      </c>
      <c r="AG77" s="53" t="n">
        <f aca="false">AF77+AG70-U70*Assumptions!$D$210-I70*(1-Assumptions!$D$210)*Assumptions!$D$210</f>
        <v>14.25032</v>
      </c>
      <c r="AH77" s="53" t="n">
        <f aca="false">AG77+AH70-V70*Assumptions!$D$210-J70*(1-Assumptions!$D$210)*Assumptions!$D$210</f>
        <v>15.6156</v>
      </c>
      <c r="AI77" s="53" t="n">
        <f aca="false">AH77+AI70-W70*Assumptions!$D$210-K70*(1-Assumptions!$D$210)*Assumptions!$D$210</f>
        <v>17.1696</v>
      </c>
      <c r="AJ77" s="53" t="n">
        <f aca="false">AI77+AJ70-X70*Assumptions!$D$210-L70*(1-Assumptions!$D$210)*Assumptions!$D$210</f>
        <v>19.330944</v>
      </c>
      <c r="AK77" s="53" t="n">
        <f aca="false">AJ77+AK70-Y70*Assumptions!$D$210-M70*(1-Assumptions!$D$210)*Assumptions!$D$210</f>
        <v>21.743584</v>
      </c>
      <c r="AL77" s="53" t="n">
        <f aca="false">AK77+AL70-Z70*Assumptions!$D$210-N70*(1-Assumptions!$D$210)*Assumptions!$D$210</f>
        <v>24.56224</v>
      </c>
      <c r="AM77" s="53" t="n">
        <f aca="false">AL77+AM70-AA70*Assumptions!$D$210-O70*(1-Assumptions!$D$210)*Assumptions!$D$210</f>
        <v>27.27072</v>
      </c>
    </row>
    <row r="78" customFormat="false" ht="15" hidden="false" customHeight="true" outlineLevel="0" collapsed="false">
      <c r="A78" s="5" t="s">
        <v>841</v>
      </c>
      <c r="B78" s="10" t="s">
        <v>64</v>
      </c>
      <c r="C78" s="12" t="n">
        <f aca="false">SUM(D78:AM78)</f>
        <v>1934558.48533333</v>
      </c>
      <c r="D78" s="11" t="n">
        <f aca="false">D71+0*Assumptions!$D$213+0*Assumptions!$D$214</f>
        <v>0</v>
      </c>
      <c r="E78" s="11" t="n">
        <f aca="false">E71+0*Assumptions!$D$213+0*Assumptions!$D$214</f>
        <v>0</v>
      </c>
      <c r="F78" s="11" t="n">
        <f aca="false">F71+0*Assumptions!$D$213+0*Assumptions!$D$214</f>
        <v>0</v>
      </c>
      <c r="G78" s="11" t="n">
        <f aca="false">G71+0*Assumptions!$D$213+0*Assumptions!$D$214</f>
        <v>0</v>
      </c>
      <c r="H78" s="11" t="n">
        <f aca="false">H71+0*Assumptions!$D$213+0*Assumptions!$D$214</f>
        <v>2500</v>
      </c>
      <c r="I78" s="11" t="n">
        <f aca="false">I71+0*Assumptions!$D$213+0*Assumptions!$D$214</f>
        <v>2083.33333333333</v>
      </c>
      <c r="J78" s="11" t="n">
        <f aca="false">J71+0*Assumptions!$D$213+0*Assumptions!$D$214</f>
        <v>3750</v>
      </c>
      <c r="K78" s="11" t="n">
        <f aca="false">K71+0*Assumptions!$D$213+0*Assumptions!$D$214</f>
        <v>4166.66666666667</v>
      </c>
      <c r="L78" s="11" t="n">
        <f aca="false">L71+0*Assumptions!$D$213+0*Assumptions!$D$214</f>
        <v>8833.33333333333</v>
      </c>
      <c r="M78" s="11" t="n">
        <f aca="false">M71+0*Assumptions!$D$213+0*Assumptions!$D$214</f>
        <v>9166.66666666667</v>
      </c>
      <c r="N78" s="11" t="n">
        <f aca="false">N71+0*Assumptions!$D$213+0*Assumptions!$D$214</f>
        <v>12000</v>
      </c>
      <c r="O78" s="11" t="n">
        <f aca="false">O71+0*Assumptions!$D$213+0*Assumptions!$D$214</f>
        <v>12083.3333333333</v>
      </c>
      <c r="P78" s="11" t="n">
        <f aca="false">P71+D71*Assumptions!$D$213+0*Assumptions!$D$214</f>
        <v>11166.6666666667</v>
      </c>
      <c r="Q78" s="11" t="n">
        <f aca="false">Q71+E71*Assumptions!$D$213+0*Assumptions!$D$214</f>
        <v>10083.3333333333</v>
      </c>
      <c r="R78" s="11" t="n">
        <f aca="false">R71+F71*Assumptions!$D$213+0*Assumptions!$D$214</f>
        <v>10666.6666666667</v>
      </c>
      <c r="S78" s="11" t="n">
        <f aca="false">S71+G71*Assumptions!$D$213+0*Assumptions!$D$214</f>
        <v>11000</v>
      </c>
      <c r="T78" s="11" t="n">
        <f aca="false">T71+H71*Assumptions!$D$213+0*Assumptions!$D$214</f>
        <v>27464</v>
      </c>
      <c r="U78" s="11" t="n">
        <f aca="false">U71+I71*Assumptions!$D$213+0*Assumptions!$D$214</f>
        <v>21220</v>
      </c>
      <c r="V78" s="11" t="n">
        <f aca="false">V71+J71*Assumptions!$D$213+0*Assumptions!$D$214</f>
        <v>35696</v>
      </c>
      <c r="W78" s="11" t="n">
        <f aca="false">W71+K71*Assumptions!$D$213+0*Assumptions!$D$214</f>
        <v>40440</v>
      </c>
      <c r="X78" s="11" t="n">
        <f aca="false">X71+L71*Assumptions!$D$213+0*Assumptions!$D$214</f>
        <v>62872.8</v>
      </c>
      <c r="Y78" s="11" t="n">
        <f aca="false">Y71+M71*Assumptions!$D$213+0*Assumptions!$D$214</f>
        <v>68618</v>
      </c>
      <c r="Z78" s="11" t="n">
        <f aca="false">Z71+N71*Assumptions!$D$213+0*Assumptions!$D$214</f>
        <v>83077.2</v>
      </c>
      <c r="AA78" s="11" t="n">
        <f aca="false">AA71+O71*Assumptions!$D$213+0*Assumptions!$D$214</f>
        <v>81076</v>
      </c>
      <c r="AB78" s="11" t="n">
        <f aca="false">AB71+P71*Assumptions!$D$213+D71*Assumptions!$D$214</f>
        <v>61839.2</v>
      </c>
      <c r="AC78" s="11" t="n">
        <f aca="false">AC71+Q71*Assumptions!$D$213+E71*Assumptions!$D$214</f>
        <v>46604.8</v>
      </c>
      <c r="AD78" s="11" t="n">
        <f aca="false">AD71+R71*Assumptions!$D$213+F71*Assumptions!$D$214</f>
        <v>46346.4</v>
      </c>
      <c r="AE78" s="11" t="n">
        <f aca="false">AE71+S71*Assumptions!$D$213+G71*Assumptions!$D$214</f>
        <v>52091.6</v>
      </c>
      <c r="AF78" s="11" t="n">
        <f aca="false">AF71+T71*Assumptions!$D$213+H71*Assumptions!$D$214</f>
        <v>84525.152</v>
      </c>
      <c r="AG78" s="11" t="n">
        <f aca="false">AG71+U71*Assumptions!$D$213+I71*Assumptions!$D$214</f>
        <v>64628.2933333333</v>
      </c>
      <c r="AH78" s="11" t="n">
        <f aca="false">AH71+V71*Assumptions!$D$213+J71*Assumptions!$D$214</f>
        <v>107616.928</v>
      </c>
      <c r="AI78" s="11" t="n">
        <f aca="false">AI71+W71*Assumptions!$D$213+K71*Assumptions!$D$214</f>
        <v>122285.386666667</v>
      </c>
      <c r="AJ78" s="11" t="n">
        <f aca="false">AJ71+X71*Assumptions!$D$213+L71*Assumptions!$D$214</f>
        <v>177314.203733333</v>
      </c>
      <c r="AK78" s="11" t="n">
        <f aca="false">AK71+Y71*Assumptions!$D$213+M71*Assumptions!$D$214</f>
        <v>196220.890666667</v>
      </c>
      <c r="AL78" s="11" t="n">
        <f aca="false">AL71+Z71*Assumptions!$D$213+N71*Assumptions!$D$214</f>
        <v>232422.7296</v>
      </c>
      <c r="AM78" s="11" t="n">
        <f aca="false">AM71+AA71*Assumptions!$D$213+O71*Assumptions!$D$214</f>
        <v>224698.901333333</v>
      </c>
    </row>
    <row r="79" customFormat="false" ht="15" hidden="false" customHeight="true" outlineLevel="0" collapsed="false">
      <c r="A79" s="5" t="s">
        <v>842</v>
      </c>
      <c r="B79" s="10" t="s">
        <v>64</v>
      </c>
      <c r="C79" s="12" t="n">
        <f aca="false">SUM(D79:AM79)</f>
        <v>1064647.60151111</v>
      </c>
      <c r="D79" s="11" t="n">
        <f aca="false">D76/12</f>
        <v>0</v>
      </c>
      <c r="E79" s="11" t="n">
        <f aca="false">E76/12</f>
        <v>0</v>
      </c>
      <c r="F79" s="11" t="n">
        <f aca="false">F76/12</f>
        <v>0</v>
      </c>
      <c r="G79" s="11" t="n">
        <f aca="false">G76/12</f>
        <v>0</v>
      </c>
      <c r="H79" s="11" t="n">
        <f aca="false">H76/12</f>
        <v>208.333333333333</v>
      </c>
      <c r="I79" s="11" t="n">
        <f aca="false">I76/12</f>
        <v>381.944444444444</v>
      </c>
      <c r="J79" s="11" t="n">
        <f aca="false">J76/12</f>
        <v>694.444444444444</v>
      </c>
      <c r="K79" s="11" t="n">
        <f aca="false">K76/12</f>
        <v>1041.66666666667</v>
      </c>
      <c r="L79" s="11" t="n">
        <f aca="false">L76/12</f>
        <v>1777.77777777778</v>
      </c>
      <c r="M79" s="11" t="n">
        <f aca="false">M76/12</f>
        <v>2541.66666666667</v>
      </c>
      <c r="N79" s="11" t="n">
        <f aca="false">N76/12</f>
        <v>3541.66666666667</v>
      </c>
      <c r="O79" s="11" t="n">
        <f aca="false">O76/12</f>
        <v>4548.61111111111</v>
      </c>
      <c r="P79" s="11" t="n">
        <f aca="false">P76/12</f>
        <v>5479.16666666667</v>
      </c>
      <c r="Q79" s="11" t="n">
        <f aca="false">Q76/12</f>
        <v>6319.44444444444</v>
      </c>
      <c r="R79" s="11" t="n">
        <f aca="false">R76/12</f>
        <v>7208.33333333333</v>
      </c>
      <c r="S79" s="11" t="n">
        <f aca="false">S76/12</f>
        <v>8125</v>
      </c>
      <c r="T79" s="11" t="n">
        <f aca="false">T76/12</f>
        <v>10205.3333333333</v>
      </c>
      <c r="U79" s="11" t="n">
        <f aca="false">U76/12</f>
        <v>11800.0555555556</v>
      </c>
      <c r="V79" s="11" t="n">
        <f aca="false">V76/12</f>
        <v>14462.2222222222</v>
      </c>
      <c r="W79" s="11" t="n">
        <f aca="false">W76/12</f>
        <v>17485</v>
      </c>
      <c r="X79" s="11" t="n">
        <f aca="false">X76/12</f>
        <v>21988.2888888889</v>
      </c>
      <c r="Y79" s="11" t="n">
        <f aca="false">Y76/12</f>
        <v>26942.5666666667</v>
      </c>
      <c r="Z79" s="11" t="n">
        <f aca="false">Z76/12</f>
        <v>32865.6666666667</v>
      </c>
      <c r="AA79" s="11" t="n">
        <f aca="false">AA76/12</f>
        <v>38615.0555555556</v>
      </c>
      <c r="AB79" s="11" t="n">
        <f aca="false">AB76/12</f>
        <v>42837.7666666667</v>
      </c>
      <c r="AC79" s="11" t="n">
        <f aca="false">AC76/12</f>
        <v>45881.2222222222</v>
      </c>
      <c r="AD79" s="11" t="n">
        <f aca="false">AD76/12</f>
        <v>48854.5333333334</v>
      </c>
      <c r="AE79" s="11" t="n">
        <f aca="false">AE76/12</f>
        <v>52278.8333333333</v>
      </c>
      <c r="AF79" s="11" t="n">
        <f aca="false">AF76/12</f>
        <v>57033.9293333333</v>
      </c>
      <c r="AG79" s="11" t="n">
        <f aca="false">AG76/12</f>
        <v>60651.2871111111</v>
      </c>
      <c r="AH79" s="11" t="n">
        <f aca="false">AH76/12</f>
        <v>66644.6977777778</v>
      </c>
      <c r="AI79" s="11" t="n">
        <f aca="false">AI76/12</f>
        <v>73465.1466666667</v>
      </c>
      <c r="AJ79" s="11" t="n">
        <f aca="false">AJ76/12</f>
        <v>83001.9303111111</v>
      </c>
      <c r="AK79" s="11" t="n">
        <f aca="false">AK76/12</f>
        <v>93635.5045333333</v>
      </c>
      <c r="AL79" s="11" t="n">
        <f aca="false">AL76/12</f>
        <v>106080.965333333</v>
      </c>
      <c r="AM79" s="11" t="n">
        <f aca="false">AM76/12</f>
        <v>118049.540444444</v>
      </c>
    </row>
    <row r="80" customFormat="false" ht="15" hidden="false" customHeight="true" outlineLevel="0" collapsed="false">
      <c r="A80" s="5" t="s">
        <v>843</v>
      </c>
      <c r="B80" s="10" t="s">
        <v>64</v>
      </c>
      <c r="C80" s="12" t="n">
        <f aca="false">AM80</f>
        <v>869910.883822222</v>
      </c>
      <c r="D80" s="11" t="n">
        <f aca="false">0+D78-D79</f>
        <v>0</v>
      </c>
      <c r="E80" s="11" t="n">
        <f aca="false">D80+E78-E79</f>
        <v>0</v>
      </c>
      <c r="F80" s="11" t="n">
        <f aca="false">E80+F78-F79</f>
        <v>0</v>
      </c>
      <c r="G80" s="11" t="n">
        <f aca="false">F80+G78-G79</f>
        <v>0</v>
      </c>
      <c r="H80" s="11" t="n">
        <f aca="false">G80+H78-H79</f>
        <v>2291.66666666667</v>
      </c>
      <c r="I80" s="11" t="n">
        <f aca="false">H80+I78-I79</f>
        <v>3993.05555555556</v>
      </c>
      <c r="J80" s="11" t="n">
        <f aca="false">I80+J78-J79</f>
        <v>7048.61111111111</v>
      </c>
      <c r="K80" s="11" t="n">
        <f aca="false">J80+K78-K79</f>
        <v>10173.6111111111</v>
      </c>
      <c r="L80" s="11" t="n">
        <f aca="false">K80+L78-L79</f>
        <v>17229.1666666667</v>
      </c>
      <c r="M80" s="11" t="n">
        <f aca="false">L80+M78-M79</f>
        <v>23854.1666666667</v>
      </c>
      <c r="N80" s="11" t="n">
        <f aca="false">M80+N78-N79</f>
        <v>32312.5</v>
      </c>
      <c r="O80" s="11" t="n">
        <f aca="false">N80+O78-O79</f>
        <v>39847.2222222222</v>
      </c>
      <c r="P80" s="11" t="n">
        <f aca="false">O80+P78-P79</f>
        <v>45534.7222222222</v>
      </c>
      <c r="Q80" s="11" t="n">
        <f aca="false">P80+Q78-Q79</f>
        <v>49298.6111111111</v>
      </c>
      <c r="R80" s="11" t="n">
        <f aca="false">Q80+R78-R79</f>
        <v>52756.9444444445</v>
      </c>
      <c r="S80" s="11" t="n">
        <f aca="false">R80+S78-S79</f>
        <v>55631.9444444445</v>
      </c>
      <c r="T80" s="11" t="n">
        <f aca="false">S80+T78-T79</f>
        <v>72890.6111111111</v>
      </c>
      <c r="U80" s="11" t="n">
        <f aca="false">T80+U78-U79</f>
        <v>82310.5555555556</v>
      </c>
      <c r="V80" s="11" t="n">
        <f aca="false">U80+V78-V79</f>
        <v>103544.333333333</v>
      </c>
      <c r="W80" s="11" t="n">
        <f aca="false">V80+W78-W79</f>
        <v>126499.333333333</v>
      </c>
      <c r="X80" s="11" t="n">
        <f aca="false">W80+X78-X79</f>
        <v>167383.844444444</v>
      </c>
      <c r="Y80" s="11" t="n">
        <f aca="false">X80+Y78-Y79</f>
        <v>209059.277777778</v>
      </c>
      <c r="Z80" s="11" t="n">
        <f aca="false">Y80+Z78-Z79</f>
        <v>259270.811111111</v>
      </c>
      <c r="AA80" s="11" t="n">
        <f aca="false">Z80+AA78-AA79</f>
        <v>301731.755555556</v>
      </c>
      <c r="AB80" s="11" t="n">
        <f aca="false">AA80+AB78-AB79</f>
        <v>320733.188888889</v>
      </c>
      <c r="AC80" s="11" t="n">
        <f aca="false">AB80+AC78-AC79</f>
        <v>321456.766666667</v>
      </c>
      <c r="AD80" s="11" t="n">
        <f aca="false">AC80+AD78-AD79</f>
        <v>318948.633333333</v>
      </c>
      <c r="AE80" s="11" t="n">
        <f aca="false">AD80+AE78-AE79</f>
        <v>318761.4</v>
      </c>
      <c r="AF80" s="11" t="n">
        <f aca="false">AE80+AF78-AF79</f>
        <v>346252.622666667</v>
      </c>
      <c r="AG80" s="11" t="n">
        <f aca="false">AF80+AG78-AG79</f>
        <v>350229.628888889</v>
      </c>
      <c r="AH80" s="11" t="n">
        <f aca="false">AG80+AH78-AH79</f>
        <v>391201.859111111</v>
      </c>
      <c r="AI80" s="11" t="n">
        <f aca="false">AH80+AI78-AI79</f>
        <v>440022.099111111</v>
      </c>
      <c r="AJ80" s="11" t="n">
        <f aca="false">AI80+AJ78-AJ79</f>
        <v>534334.372533333</v>
      </c>
      <c r="AK80" s="11" t="n">
        <f aca="false">AJ80+AK78-AK79</f>
        <v>636919.758666667</v>
      </c>
      <c r="AL80" s="11" t="n">
        <f aca="false">AK80+AL78-AL79</f>
        <v>763261.522933333</v>
      </c>
      <c r="AM80" s="11" t="n">
        <f aca="false">AL80+AM78-AM79</f>
        <v>869910.883822222</v>
      </c>
    </row>
    <row r="81" customFormat="false" ht="15" hidden="false" customHeight="true" outlineLevel="0" collapsed="false">
      <c r="A81" s="5" t="s">
        <v>844</v>
      </c>
      <c r="B81" s="10" t="s">
        <v>100</v>
      </c>
      <c r="C81" s="21" t="n">
        <f aca="false">AM81</f>
        <v>42497.83456</v>
      </c>
      <c r="D81" s="20" t="n">
        <f aca="false">D76/Assumptions!$D$204*Assumptions!$D$44</f>
        <v>0</v>
      </c>
      <c r="E81" s="20" t="n">
        <f aca="false">E76/Assumptions!$D$204*Assumptions!$D$44</f>
        <v>0</v>
      </c>
      <c r="F81" s="20" t="n">
        <f aca="false">F76/Assumptions!$D$204*Assumptions!$D$44</f>
        <v>0</v>
      </c>
      <c r="G81" s="20" t="n">
        <f aca="false">G76/Assumptions!$D$204*Assumptions!$D$44</f>
        <v>0</v>
      </c>
      <c r="H81" s="20" t="n">
        <f aca="false">H76/Assumptions!$D$204*Assumptions!$D$44</f>
        <v>75</v>
      </c>
      <c r="I81" s="20" t="n">
        <f aca="false">I76/Assumptions!$D$204*Assumptions!$D$44</f>
        <v>137.5</v>
      </c>
      <c r="J81" s="20" t="n">
        <f aca="false">J76/Assumptions!$D$204*Assumptions!$D$44</f>
        <v>250</v>
      </c>
      <c r="K81" s="20" t="n">
        <f aca="false">K76/Assumptions!$D$204*Assumptions!$D$44</f>
        <v>375</v>
      </c>
      <c r="L81" s="20" t="n">
        <f aca="false">L76/Assumptions!$D$204*Assumptions!$D$44</f>
        <v>640</v>
      </c>
      <c r="M81" s="20" t="n">
        <f aca="false">M76/Assumptions!$D$204*Assumptions!$D$44</f>
        <v>915</v>
      </c>
      <c r="N81" s="20" t="n">
        <f aca="false">N76/Assumptions!$D$204*Assumptions!$D$44</f>
        <v>1275</v>
      </c>
      <c r="O81" s="20" t="n">
        <f aca="false">O76/Assumptions!$D$204*Assumptions!$D$44</f>
        <v>1637.5</v>
      </c>
      <c r="P81" s="20" t="n">
        <f aca="false">P76/Assumptions!$D$204*Assumptions!$D$44</f>
        <v>1972.5</v>
      </c>
      <c r="Q81" s="20" t="n">
        <f aca="false">Q76/Assumptions!$D$204*Assumptions!$D$44</f>
        <v>2275</v>
      </c>
      <c r="R81" s="20" t="n">
        <f aca="false">R76/Assumptions!$D$204*Assumptions!$D$44</f>
        <v>2595</v>
      </c>
      <c r="S81" s="20" t="n">
        <f aca="false">S76/Assumptions!$D$204*Assumptions!$D$44</f>
        <v>2925</v>
      </c>
      <c r="T81" s="20" t="n">
        <f aca="false">T76/Assumptions!$D$204*Assumptions!$D$44</f>
        <v>3673.92</v>
      </c>
      <c r="U81" s="20" t="n">
        <f aca="false">U76/Assumptions!$D$204*Assumptions!$D$44</f>
        <v>4248.02</v>
      </c>
      <c r="V81" s="20" t="n">
        <f aca="false">V76/Assumptions!$D$204*Assumptions!$D$44</f>
        <v>5206.4</v>
      </c>
      <c r="W81" s="20" t="n">
        <f aca="false">W76/Assumptions!$D$204*Assumptions!$D$44</f>
        <v>6294.6</v>
      </c>
      <c r="X81" s="20" t="n">
        <f aca="false">X76/Assumptions!$D$204*Assumptions!$D$44</f>
        <v>7915.784</v>
      </c>
      <c r="Y81" s="20" t="n">
        <f aca="false">Y76/Assumptions!$D$204*Assumptions!$D$44</f>
        <v>9699.324</v>
      </c>
      <c r="Z81" s="20" t="n">
        <f aca="false">Z76/Assumptions!$D$204*Assumptions!$D$44</f>
        <v>11831.64</v>
      </c>
      <c r="AA81" s="20" t="n">
        <f aca="false">AA76/Assumptions!$D$204*Assumptions!$D$44</f>
        <v>13901.42</v>
      </c>
      <c r="AB81" s="20" t="n">
        <f aca="false">AB76/Assumptions!$D$204*Assumptions!$D$44</f>
        <v>15421.596</v>
      </c>
      <c r="AC81" s="20" t="n">
        <f aca="false">AC76/Assumptions!$D$204*Assumptions!$D$44</f>
        <v>16517.24</v>
      </c>
      <c r="AD81" s="20" t="n">
        <f aca="false">AD76/Assumptions!$D$204*Assumptions!$D$44</f>
        <v>17587.632</v>
      </c>
      <c r="AE81" s="20" t="n">
        <f aca="false">AE76/Assumptions!$D$204*Assumptions!$D$44</f>
        <v>18820.38</v>
      </c>
      <c r="AF81" s="20" t="n">
        <f aca="false">AF76/Assumptions!$D$204*Assumptions!$D$44</f>
        <v>20532.21456</v>
      </c>
      <c r="AG81" s="20" t="n">
        <f aca="false">AG76/Assumptions!$D$204*Assumptions!$D$44</f>
        <v>21834.46336</v>
      </c>
      <c r="AH81" s="20" t="n">
        <f aca="false">AH76/Assumptions!$D$204*Assumptions!$D$44</f>
        <v>23992.0912</v>
      </c>
      <c r="AI81" s="20" t="n">
        <f aca="false">AI76/Assumptions!$D$204*Assumptions!$D$44</f>
        <v>26447.4528</v>
      </c>
      <c r="AJ81" s="20" t="n">
        <f aca="false">AJ76/Assumptions!$D$204*Assumptions!$D$44</f>
        <v>29880.694912</v>
      </c>
      <c r="AK81" s="20" t="n">
        <f aca="false">AK76/Assumptions!$D$204*Assumptions!$D$44</f>
        <v>33708.781632</v>
      </c>
      <c r="AL81" s="20" t="n">
        <f aca="false">AL76/Assumptions!$D$204*Assumptions!$D$44</f>
        <v>38189.14752</v>
      </c>
      <c r="AM81" s="20" t="n">
        <f aca="false">AM76/Assumptions!$D$204*Assumptions!$D$44</f>
        <v>42497.83456</v>
      </c>
    </row>
    <row r="82" customFormat="false" ht="15" hidden="false" customHeight="true" outlineLevel="0" collapsed="false">
      <c r="A82" s="5" t="s">
        <v>845</v>
      </c>
      <c r="B82" s="10" t="s">
        <v>64</v>
      </c>
      <c r="C82" s="12" t="n">
        <f aca="false">AM82</f>
        <v>187500</v>
      </c>
      <c r="D82" s="11" t="n">
        <f aca="false">(D49-D51)*Assumptions!$D$204</f>
        <v>2500</v>
      </c>
      <c r="E82" s="11" t="n">
        <f aca="false">(E49-E51)*Assumptions!$D$204</f>
        <v>4583.33333333333</v>
      </c>
      <c r="F82" s="11" t="n">
        <f aca="false">(F49-F51)*Assumptions!$D$204</f>
        <v>8333.33333333333</v>
      </c>
      <c r="G82" s="11" t="n">
        <f aca="false">(G49-G51)*Assumptions!$D$204</f>
        <v>12500</v>
      </c>
      <c r="H82" s="11" t="n">
        <f aca="false">(H49-H51)*Assumptions!$D$204</f>
        <v>15833.3333333333</v>
      </c>
      <c r="I82" s="11" t="n">
        <f aca="false">(I49-I51)*Assumptions!$D$204</f>
        <v>20416.6666666667</v>
      </c>
      <c r="J82" s="11" t="n">
        <f aca="false">(J49-J51)*Assumptions!$D$204</f>
        <v>24166.6666666667</v>
      </c>
      <c r="K82" s="11" t="n">
        <f aca="false">(K49-K51)*Assumptions!$D$204</f>
        <v>27083.3333333333</v>
      </c>
      <c r="L82" s="11" t="n">
        <f aca="false">(L49-L51)*Assumptions!$D$204</f>
        <v>25416.6666666667</v>
      </c>
      <c r="M82" s="11" t="n">
        <f aca="false">(M49-M51)*Assumptions!$D$204</f>
        <v>20833.3333333333</v>
      </c>
      <c r="N82" s="11" t="n">
        <f aca="false">(N49-N51)*Assumptions!$D$204</f>
        <v>15000</v>
      </c>
      <c r="O82" s="11" t="n">
        <f aca="false">(O49-O51)*Assumptions!$D$204</f>
        <v>10416.6666666667</v>
      </c>
      <c r="P82" s="11" t="n">
        <f aca="false">(P49-P51)*Assumptions!$D$204</f>
        <v>26250</v>
      </c>
      <c r="Q82" s="11" t="n">
        <f aca="false">(Q49-Q51)*Assumptions!$D$204</f>
        <v>40833.3333333333</v>
      </c>
      <c r="R82" s="11" t="n">
        <f aca="false">(R49-R51)*Assumptions!$D$204</f>
        <v>69166.6666666666</v>
      </c>
      <c r="S82" s="11" t="n">
        <f aca="false">(S49-S51)*Assumptions!$D$204</f>
        <v>100000</v>
      </c>
      <c r="T82" s="11" t="n">
        <f aca="false">(T49-T51)*Assumptions!$D$204</f>
        <v>126666.666666667</v>
      </c>
      <c r="U82" s="11" t="n">
        <f aca="false">(U49-U51)*Assumptions!$D$204</f>
        <v>163333.333333333</v>
      </c>
      <c r="V82" s="11" t="n">
        <f aca="false">(V49-V51)*Assumptions!$D$204</f>
        <v>193333.333333333</v>
      </c>
      <c r="W82" s="11" t="n">
        <f aca="false">(W49-W51)*Assumptions!$D$204</f>
        <v>216666.666666667</v>
      </c>
      <c r="X82" s="11" t="n">
        <f aca="false">(X49-X51)*Assumptions!$D$204</f>
        <v>203333.333333333</v>
      </c>
      <c r="Y82" s="11" t="n">
        <f aca="false">(Y49-Y51)*Assumptions!$D$204</f>
        <v>166666.666666667</v>
      </c>
      <c r="Z82" s="11" t="n">
        <f aca="false">(Z49-Z51)*Assumptions!$D$204</f>
        <v>120000</v>
      </c>
      <c r="AA82" s="11" t="n">
        <f aca="false">(AA49-AA51)*Assumptions!$D$204</f>
        <v>83333.3333333334</v>
      </c>
      <c r="AB82" s="11" t="n">
        <f aca="false">(AB49-AB51)*Assumptions!$D$204</f>
        <v>95000.0000000001</v>
      </c>
      <c r="AC82" s="11" t="n">
        <f aca="false">(AC49-AC51)*Assumptions!$D$204</f>
        <v>115833.333333333</v>
      </c>
      <c r="AD82" s="11" t="n">
        <f aca="false">(AD49-AD51)*Assumptions!$D$204</f>
        <v>170000</v>
      </c>
      <c r="AE82" s="11" t="n">
        <f aca="false">(AE49-AE51)*Assumptions!$D$204</f>
        <v>225000</v>
      </c>
      <c r="AF82" s="11" t="n">
        <f aca="false">(AF49-AF51)*Assumptions!$D$204</f>
        <v>285000</v>
      </c>
      <c r="AG82" s="11" t="n">
        <f aca="false">(AG49-AG51)*Assumptions!$D$204</f>
        <v>367500</v>
      </c>
      <c r="AH82" s="11" t="n">
        <f aca="false">(AH49-AH51)*Assumptions!$D$204</f>
        <v>435000</v>
      </c>
      <c r="AI82" s="11" t="n">
        <f aca="false">(AI49-AI51)*Assumptions!$D$204</f>
        <v>487500</v>
      </c>
      <c r="AJ82" s="11" t="n">
        <f aca="false">(AJ49-AJ51)*Assumptions!$D$204</f>
        <v>457500</v>
      </c>
      <c r="AK82" s="11" t="n">
        <f aca="false">(AK49-AK51)*Assumptions!$D$204</f>
        <v>375000</v>
      </c>
      <c r="AL82" s="11" t="n">
        <f aca="false">(AL49-AL51)*Assumptions!$D$204</f>
        <v>270000</v>
      </c>
      <c r="AM82" s="11" t="n">
        <f aca="false">(AM49-AM51)*Assumptions!$D$204</f>
        <v>187500</v>
      </c>
    </row>
    <row r="84" customFormat="false" ht="15" hidden="false" customHeight="true" outlineLevel="0" collapsed="false">
      <c r="A84" s="8" t="s">
        <v>846</v>
      </c>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row>
    <row r="85" customFormat="false" ht="15" hidden="false" customHeight="true" outlineLevel="0" collapsed="false">
      <c r="A85" s="5" t="s">
        <v>847</v>
      </c>
      <c r="B85" s="10" t="s">
        <v>100</v>
      </c>
      <c r="C85" s="57" t="n">
        <f aca="false">SUM(D85:AM85)</f>
        <v>11</v>
      </c>
      <c r="D85" s="53" t="n">
        <f aca="false">D56+D64</f>
        <v>0</v>
      </c>
      <c r="E85" s="53" t="n">
        <f aca="false">E56+E64</f>
        <v>0</v>
      </c>
      <c r="F85" s="53" t="n">
        <f aca="false">F56+F64</f>
        <v>0</v>
      </c>
      <c r="G85" s="53" t="n">
        <f aca="false">G56+G64</f>
        <v>0</v>
      </c>
      <c r="H85" s="53" t="n">
        <f aca="false">H56+H64</f>
        <v>0</v>
      </c>
      <c r="I85" s="53" t="n">
        <f aca="false">I56+I64</f>
        <v>0</v>
      </c>
      <c r="J85" s="53" t="n">
        <f aca="false">J56+J64</f>
        <v>0</v>
      </c>
      <c r="K85" s="53" t="n">
        <f aca="false">K56+K64</f>
        <v>0</v>
      </c>
      <c r="L85" s="53" t="n">
        <f aca="false">L56+L64</f>
        <v>0.04</v>
      </c>
      <c r="M85" s="53" t="n">
        <f aca="false">M56+M64</f>
        <v>0.0333333333333333</v>
      </c>
      <c r="N85" s="53" t="n">
        <f aca="false">N56+N64</f>
        <v>0.06</v>
      </c>
      <c r="O85" s="53" t="n">
        <f aca="false">O56+O64</f>
        <v>0.0666666666666667</v>
      </c>
      <c r="P85" s="53" t="n">
        <f aca="false">P56+P64</f>
        <v>0.0933333333333333</v>
      </c>
      <c r="Q85" s="53" t="n">
        <f aca="false">Q56+Q64</f>
        <v>0.106666666666667</v>
      </c>
      <c r="R85" s="53" t="n">
        <f aca="false">R56+R64</f>
        <v>0.12</v>
      </c>
      <c r="S85" s="53" t="n">
        <f aca="false">S56+S64</f>
        <v>0.113333333333333</v>
      </c>
      <c r="T85" s="53" t="n">
        <f aca="false">T56+T64</f>
        <v>0.0666666666666667</v>
      </c>
      <c r="U85" s="53" t="n">
        <f aca="false">U56+U64</f>
        <v>0.0333333333333333</v>
      </c>
      <c r="V85" s="53" t="n">
        <f aca="false">V56+V64</f>
        <v>0.176666666666667</v>
      </c>
      <c r="W85" s="53" t="n">
        <f aca="false">W56+W64</f>
        <v>0.165</v>
      </c>
      <c r="X85" s="53" t="n">
        <f aca="false">X56+X64</f>
        <v>0.325</v>
      </c>
      <c r="Y85" s="53" t="n">
        <f aca="false">Y56+Y64</f>
        <v>0.333333333333333</v>
      </c>
      <c r="Z85" s="53" t="n">
        <f aca="false">Z56+Z64</f>
        <v>0.5</v>
      </c>
      <c r="AA85" s="53" t="n">
        <f aca="false">AA56+AA64</f>
        <v>0.566666666666667</v>
      </c>
      <c r="AB85" s="53" t="n">
        <f aca="false">AB56+AB64</f>
        <v>0.683333333333333</v>
      </c>
      <c r="AC85" s="53" t="n">
        <f aca="false">AC56+AC64</f>
        <v>0.691666666666667</v>
      </c>
      <c r="AD85" s="53" t="n">
        <f aca="false">AD56+AD64</f>
        <v>0.55</v>
      </c>
      <c r="AE85" s="53" t="n">
        <f aca="false">AE56+AE64</f>
        <v>0.408333333333333</v>
      </c>
      <c r="AF85" s="53" t="n">
        <f aca="false">AF56+AF64</f>
        <v>0.266666666666667</v>
      </c>
      <c r="AG85" s="53" t="n">
        <f aca="false">AG56+AG64</f>
        <v>0.233333333333333</v>
      </c>
      <c r="AH85" s="53" t="n">
        <f aca="false">AH56+AH64</f>
        <v>0.516666666666667</v>
      </c>
      <c r="AI85" s="53" t="n">
        <f aca="false">AI56+AI64</f>
        <v>0.475</v>
      </c>
      <c r="AJ85" s="53" t="n">
        <f aca="false">AJ56+AJ64</f>
        <v>0.815</v>
      </c>
      <c r="AK85" s="53" t="n">
        <f aca="false">AK56+AK64</f>
        <v>0.866666666666667</v>
      </c>
      <c r="AL85" s="53" t="n">
        <f aca="false">AL56+AL64</f>
        <v>1.26</v>
      </c>
      <c r="AM85" s="53" t="n">
        <f aca="false">AM56+AM64</f>
        <v>1.43333333333333</v>
      </c>
    </row>
    <row r="86" customFormat="false" ht="15" hidden="false" customHeight="true" outlineLevel="0" collapsed="false">
      <c r="A86" s="5" t="s">
        <v>848</v>
      </c>
      <c r="B86" s="10" t="s">
        <v>64</v>
      </c>
      <c r="C86" s="12" t="n">
        <f aca="false">SUM(D86:AM86)</f>
        <v>1595000</v>
      </c>
      <c r="D86" s="11" t="n">
        <f aca="false">D85*Assumptions!$D$206</f>
        <v>0</v>
      </c>
      <c r="E86" s="11" t="n">
        <f aca="false">E85*Assumptions!$D$206</f>
        <v>0</v>
      </c>
      <c r="F86" s="11" t="n">
        <f aca="false">F85*Assumptions!$D$206</f>
        <v>0</v>
      </c>
      <c r="G86" s="11" t="n">
        <f aca="false">G85*Assumptions!$D$206</f>
        <v>0</v>
      </c>
      <c r="H86" s="11" t="n">
        <f aca="false">H85*Assumptions!$D$206</f>
        <v>0</v>
      </c>
      <c r="I86" s="11" t="n">
        <f aca="false">I85*Assumptions!$D$206</f>
        <v>0</v>
      </c>
      <c r="J86" s="11" t="n">
        <f aca="false">J85*Assumptions!$D$206</f>
        <v>0</v>
      </c>
      <c r="K86" s="11" t="n">
        <f aca="false">K85*Assumptions!$D$206</f>
        <v>0</v>
      </c>
      <c r="L86" s="11" t="n">
        <f aca="false">L85*Assumptions!$D$206</f>
        <v>5800</v>
      </c>
      <c r="M86" s="11" t="n">
        <f aca="false">M85*Assumptions!$D$206</f>
        <v>4833.33333333333</v>
      </c>
      <c r="N86" s="11" t="n">
        <f aca="false">N85*Assumptions!$D$206</f>
        <v>8700</v>
      </c>
      <c r="O86" s="11" t="n">
        <f aca="false">O85*Assumptions!$D$206</f>
        <v>9666.66666666667</v>
      </c>
      <c r="P86" s="11" t="n">
        <f aca="false">P85*Assumptions!$D$206</f>
        <v>13533.3333333333</v>
      </c>
      <c r="Q86" s="11" t="n">
        <f aca="false">Q85*Assumptions!$D$206</f>
        <v>15466.6666666667</v>
      </c>
      <c r="R86" s="11" t="n">
        <f aca="false">R85*Assumptions!$D$206</f>
        <v>17400</v>
      </c>
      <c r="S86" s="11" t="n">
        <f aca="false">S85*Assumptions!$D$206</f>
        <v>16433.3333333333</v>
      </c>
      <c r="T86" s="11" t="n">
        <f aca="false">T85*Assumptions!$D$206</f>
        <v>9666.66666666667</v>
      </c>
      <c r="U86" s="11" t="n">
        <f aca="false">U85*Assumptions!$D$206</f>
        <v>4833.33333333333</v>
      </c>
      <c r="V86" s="11" t="n">
        <f aca="false">V85*Assumptions!$D$206</f>
        <v>25616.6666666667</v>
      </c>
      <c r="W86" s="11" t="n">
        <f aca="false">W85*Assumptions!$D$206</f>
        <v>23925</v>
      </c>
      <c r="X86" s="11" t="n">
        <f aca="false">X85*Assumptions!$D$206</f>
        <v>47125</v>
      </c>
      <c r="Y86" s="11" t="n">
        <f aca="false">Y85*Assumptions!$D$206</f>
        <v>48333.3333333333</v>
      </c>
      <c r="Z86" s="11" t="n">
        <f aca="false">Z85*Assumptions!$D$206</f>
        <v>72500</v>
      </c>
      <c r="AA86" s="11" t="n">
        <f aca="false">AA85*Assumptions!$D$206</f>
        <v>82166.6666666667</v>
      </c>
      <c r="AB86" s="11" t="n">
        <f aca="false">AB85*Assumptions!$D$206</f>
        <v>99083.3333333333</v>
      </c>
      <c r="AC86" s="11" t="n">
        <f aca="false">AC85*Assumptions!$D$206</f>
        <v>100291.666666667</v>
      </c>
      <c r="AD86" s="11" t="n">
        <f aca="false">AD85*Assumptions!$D$206</f>
        <v>79750</v>
      </c>
      <c r="AE86" s="11" t="n">
        <f aca="false">AE85*Assumptions!$D$206</f>
        <v>59208.3333333333</v>
      </c>
      <c r="AF86" s="11" t="n">
        <f aca="false">AF85*Assumptions!$D$206</f>
        <v>38666.6666666667</v>
      </c>
      <c r="AG86" s="11" t="n">
        <f aca="false">AG85*Assumptions!$D$206</f>
        <v>33833.3333333333</v>
      </c>
      <c r="AH86" s="11" t="n">
        <f aca="false">AH85*Assumptions!$D$206</f>
        <v>74916.6666666667</v>
      </c>
      <c r="AI86" s="11" t="n">
        <f aca="false">AI85*Assumptions!$D$206</f>
        <v>68875</v>
      </c>
      <c r="AJ86" s="11" t="n">
        <f aca="false">AJ85*Assumptions!$D$206</f>
        <v>118175</v>
      </c>
      <c r="AK86" s="11" t="n">
        <f aca="false">AK85*Assumptions!$D$206</f>
        <v>125666.666666667</v>
      </c>
      <c r="AL86" s="11" t="n">
        <f aca="false">AL85*Assumptions!$D$206</f>
        <v>182700</v>
      </c>
      <c r="AM86" s="11" t="n">
        <f aca="false">AM85*Assumptions!$D$206</f>
        <v>207833.333333333</v>
      </c>
    </row>
    <row r="87" customFormat="false" ht="15" hidden="false" customHeight="true" outlineLevel="0" collapsed="false">
      <c r="A87" s="5" t="s">
        <v>849</v>
      </c>
      <c r="B87" s="10" t="s">
        <v>64</v>
      </c>
      <c r="C87" s="12" t="n">
        <f aca="false">SUM(D87:AM87)</f>
        <v>-32480</v>
      </c>
      <c r="D87" s="11" t="n">
        <f aca="false">-0*Assumptions!$D$215</f>
        <v>-0</v>
      </c>
      <c r="E87" s="11" t="n">
        <f aca="false">-0*Assumptions!$D$215</f>
        <v>-0</v>
      </c>
      <c r="F87" s="11" t="n">
        <f aca="false">-0*Assumptions!$D$215</f>
        <v>-0</v>
      </c>
      <c r="G87" s="11" t="n">
        <f aca="false">-0*Assumptions!$D$215</f>
        <v>-0</v>
      </c>
      <c r="H87" s="11" t="n">
        <f aca="false">-0*Assumptions!$D$215</f>
        <v>-0</v>
      </c>
      <c r="I87" s="11" t="n">
        <f aca="false">-0*Assumptions!$D$215</f>
        <v>-0</v>
      </c>
      <c r="J87" s="11" t="n">
        <f aca="false">-0*Assumptions!$D$215</f>
        <v>-0</v>
      </c>
      <c r="K87" s="11" t="n">
        <f aca="false">-0*Assumptions!$D$215</f>
        <v>-0</v>
      </c>
      <c r="L87" s="11" t="n">
        <f aca="false">-0*Assumptions!$D$215</f>
        <v>-0</v>
      </c>
      <c r="M87" s="11" t="n">
        <f aca="false">-0*Assumptions!$D$215</f>
        <v>-0</v>
      </c>
      <c r="N87" s="11" t="n">
        <f aca="false">-0*Assumptions!$D$215</f>
        <v>-0</v>
      </c>
      <c r="O87" s="11" t="n">
        <f aca="false">-0*Assumptions!$D$215</f>
        <v>-0</v>
      </c>
      <c r="P87" s="11" t="n">
        <f aca="false">-D86*Assumptions!$D$215</f>
        <v>-0</v>
      </c>
      <c r="Q87" s="11" t="n">
        <f aca="false">-E86*Assumptions!$D$215</f>
        <v>-0</v>
      </c>
      <c r="R87" s="11" t="n">
        <f aca="false">-F86*Assumptions!$D$215</f>
        <v>-0</v>
      </c>
      <c r="S87" s="11" t="n">
        <f aca="false">-G86*Assumptions!$D$215</f>
        <v>-0</v>
      </c>
      <c r="T87" s="11" t="n">
        <f aca="false">-H86*Assumptions!$D$215</f>
        <v>-0</v>
      </c>
      <c r="U87" s="11" t="n">
        <f aca="false">-I86*Assumptions!$D$215</f>
        <v>-0</v>
      </c>
      <c r="V87" s="11" t="n">
        <f aca="false">-J86*Assumptions!$D$215</f>
        <v>-0</v>
      </c>
      <c r="W87" s="11" t="n">
        <f aca="false">-K86*Assumptions!$D$215</f>
        <v>-0</v>
      </c>
      <c r="X87" s="11" t="n">
        <f aca="false">-L86*Assumptions!$D$215</f>
        <v>-464</v>
      </c>
      <c r="Y87" s="11" t="n">
        <f aca="false">-M86*Assumptions!$D$215</f>
        <v>-386.666666666667</v>
      </c>
      <c r="Z87" s="11" t="n">
        <f aca="false">-N86*Assumptions!$D$215</f>
        <v>-696</v>
      </c>
      <c r="AA87" s="11" t="n">
        <f aca="false">-O86*Assumptions!$D$215</f>
        <v>-773.333333333333</v>
      </c>
      <c r="AB87" s="11" t="n">
        <f aca="false">-P86*Assumptions!$D$215</f>
        <v>-1082.66666666667</v>
      </c>
      <c r="AC87" s="11" t="n">
        <f aca="false">-Q86*Assumptions!$D$215</f>
        <v>-1237.33333333333</v>
      </c>
      <c r="AD87" s="11" t="n">
        <f aca="false">-R86*Assumptions!$D$215</f>
        <v>-1392</v>
      </c>
      <c r="AE87" s="11" t="n">
        <f aca="false">-S86*Assumptions!$D$215</f>
        <v>-1314.66666666667</v>
      </c>
      <c r="AF87" s="11" t="n">
        <f aca="false">-T86*Assumptions!$D$215</f>
        <v>-773.333333333333</v>
      </c>
      <c r="AG87" s="11" t="n">
        <f aca="false">-U86*Assumptions!$D$215</f>
        <v>-386.666666666667</v>
      </c>
      <c r="AH87" s="11" t="n">
        <f aca="false">-V86*Assumptions!$D$215</f>
        <v>-2049.33333333333</v>
      </c>
      <c r="AI87" s="11" t="n">
        <f aca="false">-W86*Assumptions!$D$215</f>
        <v>-1914</v>
      </c>
      <c r="AJ87" s="11" t="n">
        <f aca="false">-X86*Assumptions!$D$215</f>
        <v>-3770</v>
      </c>
      <c r="AK87" s="11" t="n">
        <f aca="false">-Y86*Assumptions!$D$215</f>
        <v>-3866.66666666667</v>
      </c>
      <c r="AL87" s="11" t="n">
        <f aca="false">-Z86*Assumptions!$D$215</f>
        <v>-5800</v>
      </c>
      <c r="AM87" s="11" t="n">
        <f aca="false">-AA86*Assumptions!$D$215</f>
        <v>-6573.33333333334</v>
      </c>
    </row>
    <row r="88" customFormat="false" ht="15" hidden="false" customHeight="true" outlineLevel="0" collapsed="false">
      <c r="A88" s="5" t="s">
        <v>850</v>
      </c>
      <c r="B88" s="10" t="s">
        <v>64</v>
      </c>
      <c r="C88" s="12" t="n">
        <f aca="false">SUM(D88:AM88)</f>
        <v>-2774.72</v>
      </c>
      <c r="D88" s="11" t="n">
        <f aca="false">-0*Assumptions!$D$218*Assumptions!$D$215</f>
        <v>-0</v>
      </c>
      <c r="E88" s="11" t="n">
        <f aca="false">-0*Assumptions!$D$218*Assumptions!$D$215</f>
        <v>-0</v>
      </c>
      <c r="F88" s="11" t="n">
        <f aca="false">-0*Assumptions!$D$218*Assumptions!$D$215</f>
        <v>-0</v>
      </c>
      <c r="G88" s="11" t="n">
        <f aca="false">-0*Assumptions!$D$218*Assumptions!$D$215</f>
        <v>-0</v>
      </c>
      <c r="H88" s="11" t="n">
        <f aca="false">-0*Assumptions!$D$218*Assumptions!$D$215</f>
        <v>-0</v>
      </c>
      <c r="I88" s="11" t="n">
        <f aca="false">-0*Assumptions!$D$218*Assumptions!$D$215</f>
        <v>-0</v>
      </c>
      <c r="J88" s="11" t="n">
        <f aca="false">-0*Assumptions!$D$218*Assumptions!$D$215</f>
        <v>-0</v>
      </c>
      <c r="K88" s="11" t="n">
        <f aca="false">-0*Assumptions!$D$218*Assumptions!$D$215</f>
        <v>-0</v>
      </c>
      <c r="L88" s="11" t="n">
        <f aca="false">-0*Assumptions!$D$218*Assumptions!$D$215</f>
        <v>-0</v>
      </c>
      <c r="M88" s="11" t="n">
        <f aca="false">-0*Assumptions!$D$218*Assumptions!$D$215</f>
        <v>-0</v>
      </c>
      <c r="N88" s="11" t="n">
        <f aca="false">-0*Assumptions!$D$218*Assumptions!$D$215</f>
        <v>-0</v>
      </c>
      <c r="O88" s="11" t="n">
        <f aca="false">-0*Assumptions!$D$218*Assumptions!$D$215</f>
        <v>-0</v>
      </c>
      <c r="P88" s="11" t="n">
        <f aca="false">-0*Assumptions!$D$218*Assumptions!$D$215</f>
        <v>-0</v>
      </c>
      <c r="Q88" s="11" t="n">
        <f aca="false">-0*Assumptions!$D$218*Assumptions!$D$215</f>
        <v>-0</v>
      </c>
      <c r="R88" s="11" t="n">
        <f aca="false">-0*Assumptions!$D$218*Assumptions!$D$215</f>
        <v>-0</v>
      </c>
      <c r="S88" s="11" t="n">
        <f aca="false">-0*Assumptions!$D$218*Assumptions!$D$215</f>
        <v>-0</v>
      </c>
      <c r="T88" s="11" t="n">
        <f aca="false">-0*Assumptions!$D$218*Assumptions!$D$215</f>
        <v>-0</v>
      </c>
      <c r="U88" s="11" t="n">
        <f aca="false">-0*Assumptions!$D$218*Assumptions!$D$215</f>
        <v>-0</v>
      </c>
      <c r="V88" s="11" t="n">
        <f aca="false">-0*Assumptions!$D$218*Assumptions!$D$215</f>
        <v>-0</v>
      </c>
      <c r="W88" s="11" t="n">
        <f aca="false">-0*Assumptions!$D$218*Assumptions!$D$215</f>
        <v>-0</v>
      </c>
      <c r="X88" s="11" t="n">
        <f aca="false">-0*Assumptions!$D$218*Assumptions!$D$215</f>
        <v>-0</v>
      </c>
      <c r="Y88" s="11" t="n">
        <f aca="false">-0*Assumptions!$D$218*Assumptions!$D$215</f>
        <v>-0</v>
      </c>
      <c r="Z88" s="11" t="n">
        <f aca="false">-0*Assumptions!$D$218*Assumptions!$D$215</f>
        <v>-0</v>
      </c>
      <c r="AA88" s="11" t="n">
        <f aca="false">-0*Assumptions!$D$218*Assumptions!$D$215</f>
        <v>-0</v>
      </c>
      <c r="AB88" s="11" t="n">
        <f aca="false">-D86*Assumptions!$D$218*Assumptions!$D$215</f>
        <v>-0</v>
      </c>
      <c r="AC88" s="11" t="n">
        <f aca="false">-E86*Assumptions!$D$218*Assumptions!$D$215</f>
        <v>-0</v>
      </c>
      <c r="AD88" s="11" t="n">
        <f aca="false">-F86*Assumptions!$D$218*Assumptions!$D$215</f>
        <v>-0</v>
      </c>
      <c r="AE88" s="11" t="n">
        <f aca="false">-G86*Assumptions!$D$218*Assumptions!$D$215</f>
        <v>-0</v>
      </c>
      <c r="AF88" s="11" t="n">
        <f aca="false">-H86*Assumptions!$D$218*Assumptions!$D$215</f>
        <v>-0</v>
      </c>
      <c r="AG88" s="11" t="n">
        <f aca="false">-I86*Assumptions!$D$218*Assumptions!$D$215</f>
        <v>-0</v>
      </c>
      <c r="AH88" s="11" t="n">
        <f aca="false">-J86*Assumptions!$D$218*Assumptions!$D$215</f>
        <v>-0</v>
      </c>
      <c r="AI88" s="11" t="n">
        <f aca="false">-K86*Assumptions!$D$218*Assumptions!$D$215</f>
        <v>-0</v>
      </c>
      <c r="AJ88" s="11" t="n">
        <f aca="false">-L86*Assumptions!$D$218*Assumptions!$D$215</f>
        <v>-554.944</v>
      </c>
      <c r="AK88" s="11" t="n">
        <f aca="false">-M86*Assumptions!$D$218*Assumptions!$D$215</f>
        <v>-462.453333333333</v>
      </c>
      <c r="AL88" s="11" t="n">
        <f aca="false">-N86*Assumptions!$D$218*Assumptions!$D$215</f>
        <v>-832.416</v>
      </c>
      <c r="AM88" s="11" t="n">
        <f aca="false">-O86*Assumptions!$D$218*Assumptions!$D$215</f>
        <v>-924.906666666667</v>
      </c>
    </row>
    <row r="89" customFormat="false" ht="15" hidden="false" customHeight="true" outlineLevel="0" collapsed="false">
      <c r="A89" s="5" t="s">
        <v>851</v>
      </c>
      <c r="B89" s="10" t="s">
        <v>64</v>
      </c>
      <c r="C89" s="12" t="n">
        <f aca="false">SUM(D89:AM89)</f>
        <v>112056</v>
      </c>
      <c r="D89" s="11" t="n">
        <f aca="false">0*(1-Assumptions!$D$215)*Assumptions!$D$216</f>
        <v>0</v>
      </c>
      <c r="E89" s="11" t="n">
        <f aca="false">0*(1-Assumptions!$D$215)*Assumptions!$D$216</f>
        <v>0</v>
      </c>
      <c r="F89" s="11" t="n">
        <f aca="false">0*(1-Assumptions!$D$215)*Assumptions!$D$216</f>
        <v>0</v>
      </c>
      <c r="G89" s="11" t="n">
        <f aca="false">0*(1-Assumptions!$D$215)*Assumptions!$D$216</f>
        <v>0</v>
      </c>
      <c r="H89" s="11" t="n">
        <f aca="false">0*(1-Assumptions!$D$215)*Assumptions!$D$216</f>
        <v>0</v>
      </c>
      <c r="I89" s="11" t="n">
        <f aca="false">0*(1-Assumptions!$D$215)*Assumptions!$D$216</f>
        <v>0</v>
      </c>
      <c r="J89" s="11" t="n">
        <f aca="false">0*(1-Assumptions!$D$215)*Assumptions!$D$216</f>
        <v>0</v>
      </c>
      <c r="K89" s="11" t="n">
        <f aca="false">0*(1-Assumptions!$D$215)*Assumptions!$D$216</f>
        <v>0</v>
      </c>
      <c r="L89" s="11" t="n">
        <f aca="false">0*(1-Assumptions!$D$215)*Assumptions!$D$216</f>
        <v>0</v>
      </c>
      <c r="M89" s="11" t="n">
        <f aca="false">0*(1-Assumptions!$D$215)*Assumptions!$D$216</f>
        <v>0</v>
      </c>
      <c r="N89" s="11" t="n">
        <f aca="false">0*(1-Assumptions!$D$215)*Assumptions!$D$216</f>
        <v>0</v>
      </c>
      <c r="O89" s="11" t="n">
        <f aca="false">0*(1-Assumptions!$D$215)*Assumptions!$D$216</f>
        <v>0</v>
      </c>
      <c r="P89" s="11" t="n">
        <f aca="false">D86*(1-Assumptions!$D$215)*Assumptions!$D$216</f>
        <v>0</v>
      </c>
      <c r="Q89" s="11" t="n">
        <f aca="false">E86*(1-Assumptions!$D$215)*Assumptions!$D$216</f>
        <v>0</v>
      </c>
      <c r="R89" s="11" t="n">
        <f aca="false">F86*(1-Assumptions!$D$215)*Assumptions!$D$216</f>
        <v>0</v>
      </c>
      <c r="S89" s="11" t="n">
        <f aca="false">G86*(1-Assumptions!$D$215)*Assumptions!$D$216</f>
        <v>0</v>
      </c>
      <c r="T89" s="11" t="n">
        <f aca="false">H86*(1-Assumptions!$D$215)*Assumptions!$D$216</f>
        <v>0</v>
      </c>
      <c r="U89" s="11" t="n">
        <f aca="false">I86*(1-Assumptions!$D$215)*Assumptions!$D$216</f>
        <v>0</v>
      </c>
      <c r="V89" s="11" t="n">
        <f aca="false">J86*(1-Assumptions!$D$215)*Assumptions!$D$216</f>
        <v>0</v>
      </c>
      <c r="W89" s="11" t="n">
        <f aca="false">K86*(1-Assumptions!$D$215)*Assumptions!$D$216</f>
        <v>0</v>
      </c>
      <c r="X89" s="11" t="n">
        <f aca="false">L86*(1-Assumptions!$D$215)*Assumptions!$D$216</f>
        <v>1600.8</v>
      </c>
      <c r="Y89" s="11" t="n">
        <f aca="false">M86*(1-Assumptions!$D$215)*Assumptions!$D$216</f>
        <v>1334</v>
      </c>
      <c r="Z89" s="11" t="n">
        <f aca="false">N86*(1-Assumptions!$D$215)*Assumptions!$D$216</f>
        <v>2401.2</v>
      </c>
      <c r="AA89" s="11" t="n">
        <f aca="false">O86*(1-Assumptions!$D$215)*Assumptions!$D$216</f>
        <v>2668</v>
      </c>
      <c r="AB89" s="11" t="n">
        <f aca="false">P86*(1-Assumptions!$D$215)*Assumptions!$D$216</f>
        <v>3735.2</v>
      </c>
      <c r="AC89" s="11" t="n">
        <f aca="false">Q86*(1-Assumptions!$D$215)*Assumptions!$D$216</f>
        <v>4268.8</v>
      </c>
      <c r="AD89" s="11" t="n">
        <f aca="false">R86*(1-Assumptions!$D$215)*Assumptions!$D$216</f>
        <v>4802.4</v>
      </c>
      <c r="AE89" s="11" t="n">
        <f aca="false">S86*(1-Assumptions!$D$215)*Assumptions!$D$216</f>
        <v>4535.6</v>
      </c>
      <c r="AF89" s="11" t="n">
        <f aca="false">T86*(1-Assumptions!$D$215)*Assumptions!$D$216</f>
        <v>2668</v>
      </c>
      <c r="AG89" s="11" t="n">
        <f aca="false">U86*(1-Assumptions!$D$215)*Assumptions!$D$216</f>
        <v>1334</v>
      </c>
      <c r="AH89" s="11" t="n">
        <f aca="false">V86*(1-Assumptions!$D$215)*Assumptions!$D$216</f>
        <v>7070.2</v>
      </c>
      <c r="AI89" s="11" t="n">
        <f aca="false">W86*(1-Assumptions!$D$215)*Assumptions!$D$216</f>
        <v>6603.3</v>
      </c>
      <c r="AJ89" s="11" t="n">
        <f aca="false">X86*(1-Assumptions!$D$215)*Assumptions!$D$216</f>
        <v>13006.5</v>
      </c>
      <c r="AK89" s="11" t="n">
        <f aca="false">Y86*(1-Assumptions!$D$215)*Assumptions!$D$216</f>
        <v>13340</v>
      </c>
      <c r="AL89" s="11" t="n">
        <f aca="false">Z86*(1-Assumptions!$D$215)*Assumptions!$D$216</f>
        <v>20010</v>
      </c>
      <c r="AM89" s="11" t="n">
        <f aca="false">AA86*(1-Assumptions!$D$215)*Assumptions!$D$216</f>
        <v>22678</v>
      </c>
    </row>
    <row r="90" customFormat="false" ht="15" hidden="false" customHeight="true" outlineLevel="0" collapsed="false">
      <c r="A90" s="5" t="s">
        <v>852</v>
      </c>
      <c r="B90" s="10" t="s">
        <v>64</v>
      </c>
      <c r="C90" s="12" t="n">
        <f aca="false">SUM(D90:AM90)</f>
        <v>6381.856</v>
      </c>
      <c r="D90" s="11" t="n">
        <f aca="false">0*Assumptions!$D$218*(1-Assumptions!$D$215)*Assumptions!$D$217</f>
        <v>0</v>
      </c>
      <c r="E90" s="11" t="n">
        <f aca="false">0*Assumptions!$D$218*(1-Assumptions!$D$215)*Assumptions!$D$217</f>
        <v>0</v>
      </c>
      <c r="F90" s="11" t="n">
        <f aca="false">0*Assumptions!$D$218*(1-Assumptions!$D$215)*Assumptions!$D$217</f>
        <v>0</v>
      </c>
      <c r="G90" s="11" t="n">
        <f aca="false">0*Assumptions!$D$218*(1-Assumptions!$D$215)*Assumptions!$D$217</f>
        <v>0</v>
      </c>
      <c r="H90" s="11" t="n">
        <f aca="false">0*Assumptions!$D$218*(1-Assumptions!$D$215)*Assumptions!$D$217</f>
        <v>0</v>
      </c>
      <c r="I90" s="11" t="n">
        <f aca="false">0*Assumptions!$D$218*(1-Assumptions!$D$215)*Assumptions!$D$217</f>
        <v>0</v>
      </c>
      <c r="J90" s="11" t="n">
        <f aca="false">0*Assumptions!$D$218*(1-Assumptions!$D$215)*Assumptions!$D$217</f>
        <v>0</v>
      </c>
      <c r="K90" s="11" t="n">
        <f aca="false">0*Assumptions!$D$218*(1-Assumptions!$D$215)*Assumptions!$D$217</f>
        <v>0</v>
      </c>
      <c r="L90" s="11" t="n">
        <f aca="false">0*Assumptions!$D$218*(1-Assumptions!$D$215)*Assumptions!$D$217</f>
        <v>0</v>
      </c>
      <c r="M90" s="11" t="n">
        <f aca="false">0*Assumptions!$D$218*(1-Assumptions!$D$215)*Assumptions!$D$217</f>
        <v>0</v>
      </c>
      <c r="N90" s="11" t="n">
        <f aca="false">0*Assumptions!$D$218*(1-Assumptions!$D$215)*Assumptions!$D$217</f>
        <v>0</v>
      </c>
      <c r="O90" s="11" t="n">
        <f aca="false">0*Assumptions!$D$218*(1-Assumptions!$D$215)*Assumptions!$D$217</f>
        <v>0</v>
      </c>
      <c r="P90" s="11" t="n">
        <f aca="false">0*Assumptions!$D$218*(1-Assumptions!$D$215)*Assumptions!$D$217</f>
        <v>0</v>
      </c>
      <c r="Q90" s="11" t="n">
        <f aca="false">0*Assumptions!$D$218*(1-Assumptions!$D$215)*Assumptions!$D$217</f>
        <v>0</v>
      </c>
      <c r="R90" s="11" t="n">
        <f aca="false">0*Assumptions!$D$218*(1-Assumptions!$D$215)*Assumptions!$D$217</f>
        <v>0</v>
      </c>
      <c r="S90" s="11" t="n">
        <f aca="false">0*Assumptions!$D$218*(1-Assumptions!$D$215)*Assumptions!$D$217</f>
        <v>0</v>
      </c>
      <c r="T90" s="11" t="n">
        <f aca="false">0*Assumptions!$D$218*(1-Assumptions!$D$215)*Assumptions!$D$217</f>
        <v>0</v>
      </c>
      <c r="U90" s="11" t="n">
        <f aca="false">0*Assumptions!$D$218*(1-Assumptions!$D$215)*Assumptions!$D$217</f>
        <v>0</v>
      </c>
      <c r="V90" s="11" t="n">
        <f aca="false">0*Assumptions!$D$218*(1-Assumptions!$D$215)*Assumptions!$D$217</f>
        <v>0</v>
      </c>
      <c r="W90" s="11" t="n">
        <f aca="false">0*Assumptions!$D$218*(1-Assumptions!$D$215)*Assumptions!$D$217</f>
        <v>0</v>
      </c>
      <c r="X90" s="11" t="n">
        <f aca="false">0*Assumptions!$D$218*(1-Assumptions!$D$215)*Assumptions!$D$217</f>
        <v>0</v>
      </c>
      <c r="Y90" s="11" t="n">
        <f aca="false">0*Assumptions!$D$218*(1-Assumptions!$D$215)*Assumptions!$D$217</f>
        <v>0</v>
      </c>
      <c r="Z90" s="11" t="n">
        <f aca="false">0*Assumptions!$D$218*(1-Assumptions!$D$215)*Assumptions!$D$217</f>
        <v>0</v>
      </c>
      <c r="AA90" s="11" t="n">
        <f aca="false">0*Assumptions!$D$218*(1-Assumptions!$D$215)*Assumptions!$D$217</f>
        <v>0</v>
      </c>
      <c r="AB90" s="11" t="n">
        <f aca="false">D86*Assumptions!$D$218*(1-Assumptions!$D$215)*Assumptions!$D$217</f>
        <v>0</v>
      </c>
      <c r="AC90" s="11" t="n">
        <f aca="false">E86*Assumptions!$D$218*(1-Assumptions!$D$215)*Assumptions!$D$217</f>
        <v>0</v>
      </c>
      <c r="AD90" s="11" t="n">
        <f aca="false">F86*Assumptions!$D$218*(1-Assumptions!$D$215)*Assumptions!$D$217</f>
        <v>0</v>
      </c>
      <c r="AE90" s="11" t="n">
        <f aca="false">G86*Assumptions!$D$218*(1-Assumptions!$D$215)*Assumptions!$D$217</f>
        <v>0</v>
      </c>
      <c r="AF90" s="11" t="n">
        <f aca="false">H86*Assumptions!$D$218*(1-Assumptions!$D$215)*Assumptions!$D$217</f>
        <v>0</v>
      </c>
      <c r="AG90" s="11" t="n">
        <f aca="false">I86*Assumptions!$D$218*(1-Assumptions!$D$215)*Assumptions!$D$217</f>
        <v>0</v>
      </c>
      <c r="AH90" s="11" t="n">
        <f aca="false">J86*Assumptions!$D$218*(1-Assumptions!$D$215)*Assumptions!$D$217</f>
        <v>0</v>
      </c>
      <c r="AI90" s="11" t="n">
        <f aca="false">K86*Assumptions!$D$218*(1-Assumptions!$D$215)*Assumptions!$D$217</f>
        <v>0</v>
      </c>
      <c r="AJ90" s="11" t="n">
        <f aca="false">L86*Assumptions!$D$218*(1-Assumptions!$D$215)*Assumptions!$D$217</f>
        <v>1276.3712</v>
      </c>
      <c r="AK90" s="11" t="n">
        <f aca="false">M86*Assumptions!$D$218*(1-Assumptions!$D$215)*Assumptions!$D$217</f>
        <v>1063.64266666667</v>
      </c>
      <c r="AL90" s="11" t="n">
        <f aca="false">N86*Assumptions!$D$218*(1-Assumptions!$D$215)*Assumptions!$D$217</f>
        <v>1914.5568</v>
      </c>
      <c r="AM90" s="11" t="n">
        <f aca="false">O86*Assumptions!$D$218*(1-Assumptions!$D$215)*Assumptions!$D$217</f>
        <v>2127.28533333333</v>
      </c>
    </row>
    <row r="91" customFormat="false" ht="15" hidden="false" customHeight="true" outlineLevel="0" collapsed="false">
      <c r="A91" s="13" t="s">
        <v>853</v>
      </c>
      <c r="B91" s="14" t="s">
        <v>64</v>
      </c>
      <c r="C91" s="15" t="n">
        <f aca="false">AM91</f>
        <v>1678183.136</v>
      </c>
      <c r="D91" s="15" t="n">
        <f aca="false">0+D86+D87+D88+D89+D90</f>
        <v>0</v>
      </c>
      <c r="E91" s="15" t="n">
        <f aca="false">D91+E86+E87+E88+E89+E90</f>
        <v>0</v>
      </c>
      <c r="F91" s="15" t="n">
        <f aca="false">E91+F86+F87+F88+F89+F90</f>
        <v>0</v>
      </c>
      <c r="G91" s="15" t="n">
        <f aca="false">F91+G86+G87+G88+G89+G90</f>
        <v>0</v>
      </c>
      <c r="H91" s="15" t="n">
        <f aca="false">G91+H86+H87+H88+H89+H90</f>
        <v>0</v>
      </c>
      <c r="I91" s="15" t="n">
        <f aca="false">H91+I86+I87+I88+I89+I90</f>
        <v>0</v>
      </c>
      <c r="J91" s="15" t="n">
        <f aca="false">I91+J86+J87+J88+J89+J90</f>
        <v>0</v>
      </c>
      <c r="K91" s="15" t="n">
        <f aca="false">J91+K86+K87+K88+K89+K90</f>
        <v>0</v>
      </c>
      <c r="L91" s="15" t="n">
        <f aca="false">K91+L86+L87+L88+L89+L90</f>
        <v>5800</v>
      </c>
      <c r="M91" s="15" t="n">
        <f aca="false">L91+M86+M87+M88+M89+M90</f>
        <v>10633.3333333333</v>
      </c>
      <c r="N91" s="15" t="n">
        <f aca="false">M91+N86+N87+N88+N89+N90</f>
        <v>19333.3333333333</v>
      </c>
      <c r="O91" s="15" t="n">
        <f aca="false">N91+O86+O87+O88+O89+O90</f>
        <v>29000</v>
      </c>
      <c r="P91" s="15" t="n">
        <f aca="false">O91+P86+P87+P88+P89+P90</f>
        <v>42533.3333333333</v>
      </c>
      <c r="Q91" s="15" t="n">
        <f aca="false">P91+Q86+Q87+Q88+Q89+Q90</f>
        <v>58000</v>
      </c>
      <c r="R91" s="15" t="n">
        <f aca="false">Q91+R86+R87+R88+R89+R90</f>
        <v>75400</v>
      </c>
      <c r="S91" s="15" t="n">
        <f aca="false">R91+S86+S87+S88+S89+S90</f>
        <v>91833.3333333333</v>
      </c>
      <c r="T91" s="15" t="n">
        <f aca="false">S91+T86+T87+T88+T89+T90</f>
        <v>101500</v>
      </c>
      <c r="U91" s="15" t="n">
        <f aca="false">T91+U86+U87+U88+U89+U90</f>
        <v>106333.333333333</v>
      </c>
      <c r="V91" s="15" t="n">
        <f aca="false">U91+V86+V87+V88+V89+V90</f>
        <v>131950</v>
      </c>
      <c r="W91" s="15" t="n">
        <f aca="false">V91+W86+W87+W88+W89+W90</f>
        <v>155875</v>
      </c>
      <c r="X91" s="15" t="n">
        <f aca="false">W91+X86+X87+X88+X89+X90</f>
        <v>204136.8</v>
      </c>
      <c r="Y91" s="15" t="n">
        <f aca="false">X91+Y86+Y87+Y88+Y89+Y90</f>
        <v>253417.466666667</v>
      </c>
      <c r="Z91" s="15" t="n">
        <f aca="false">Y91+Z86+Z87+Z88+Z89+Z90</f>
        <v>327622.666666667</v>
      </c>
      <c r="AA91" s="15" t="n">
        <f aca="false">Z91+AA86+AA87+AA88+AA89+AA90</f>
        <v>411684</v>
      </c>
      <c r="AB91" s="15" t="n">
        <f aca="false">AA91+AB86+AB87+AB88+AB89+AB90</f>
        <v>513419.866666667</v>
      </c>
      <c r="AC91" s="15" t="n">
        <f aca="false">AB91+AC86+AC87+AC88+AC89+AC90</f>
        <v>616743</v>
      </c>
      <c r="AD91" s="15" t="n">
        <f aca="false">AC91+AD86+AD87+AD88+AD89+AD90</f>
        <v>699903.4</v>
      </c>
      <c r="AE91" s="15" t="n">
        <f aca="false">AD91+AE86+AE87+AE88+AE89+AE90</f>
        <v>762332.666666667</v>
      </c>
      <c r="AF91" s="15" t="n">
        <f aca="false">AE91+AF86+AF87+AF88+AF89+AF90</f>
        <v>802894</v>
      </c>
      <c r="AG91" s="15" t="n">
        <f aca="false">AF91+AG86+AG87+AG88+AG89+AG90</f>
        <v>837674.666666667</v>
      </c>
      <c r="AH91" s="15" t="n">
        <f aca="false">AG91+AH86+AH87+AH88+AH89+AH90</f>
        <v>917612.2</v>
      </c>
      <c r="AI91" s="15" t="n">
        <f aca="false">AH91+AI86+AI87+AI88+AI89+AI90</f>
        <v>991176.5</v>
      </c>
      <c r="AJ91" s="15" t="n">
        <f aca="false">AI91+AJ86+AJ87+AJ88+AJ89+AJ90</f>
        <v>1119309.4272</v>
      </c>
      <c r="AK91" s="15" t="n">
        <f aca="false">AJ91+AK86+AK87+AK88+AK89+AK90</f>
        <v>1255050.61653333</v>
      </c>
      <c r="AL91" s="15" t="n">
        <f aca="false">AK91+AL86+AL87+AL88+AL89+AL90</f>
        <v>1453042.75733333</v>
      </c>
      <c r="AM91" s="15" t="n">
        <f aca="false">AL91+AM86+AM87+AM88+AM89+AM90</f>
        <v>1678183.136</v>
      </c>
    </row>
    <row r="92" customFormat="false" ht="15" hidden="false" customHeight="true" outlineLevel="0" collapsed="false">
      <c r="A92" s="5" t="s">
        <v>854</v>
      </c>
      <c r="B92" s="10" t="s">
        <v>100</v>
      </c>
      <c r="C92" s="57" t="n">
        <f aca="false">AM92</f>
        <v>10.76128</v>
      </c>
      <c r="D92" s="53" t="n">
        <f aca="false">0+D85-0*Assumptions!$D$215-0*(1-Assumptions!$D$215)*Assumptions!$D$215</f>
        <v>0</v>
      </c>
      <c r="E92" s="53" t="n">
        <f aca="false">D92+E85-0*Assumptions!$D$215-0*(1-Assumptions!$D$215)*Assumptions!$D$215</f>
        <v>0</v>
      </c>
      <c r="F92" s="53" t="n">
        <f aca="false">E92+F85-0*Assumptions!$D$215-0*(1-Assumptions!$D$215)*Assumptions!$D$215</f>
        <v>0</v>
      </c>
      <c r="G92" s="53" t="n">
        <f aca="false">F92+G85-0*Assumptions!$D$215-0*(1-Assumptions!$D$215)*Assumptions!$D$215</f>
        <v>0</v>
      </c>
      <c r="H92" s="53" t="n">
        <f aca="false">G92+H85-0*Assumptions!$D$215-0*(1-Assumptions!$D$215)*Assumptions!$D$215</f>
        <v>0</v>
      </c>
      <c r="I92" s="53" t="n">
        <f aca="false">H92+I85-0*Assumptions!$D$215-0*(1-Assumptions!$D$215)*Assumptions!$D$215</f>
        <v>0</v>
      </c>
      <c r="J92" s="53" t="n">
        <f aca="false">I92+J85-0*Assumptions!$D$215-0*(1-Assumptions!$D$215)*Assumptions!$D$215</f>
        <v>0</v>
      </c>
      <c r="K92" s="53" t="n">
        <f aca="false">J92+K85-0*Assumptions!$D$215-0*(1-Assumptions!$D$215)*Assumptions!$D$215</f>
        <v>0</v>
      </c>
      <c r="L92" s="53" t="n">
        <f aca="false">K92+L85-0*Assumptions!$D$215-0*(1-Assumptions!$D$215)*Assumptions!$D$215</f>
        <v>0.04</v>
      </c>
      <c r="M92" s="53" t="n">
        <f aca="false">L92+M85-0*Assumptions!$D$215-0*(1-Assumptions!$D$215)*Assumptions!$D$215</f>
        <v>0.0733333333333333</v>
      </c>
      <c r="N92" s="53" t="n">
        <f aca="false">M92+N85-0*Assumptions!$D$215-0*(1-Assumptions!$D$215)*Assumptions!$D$215</f>
        <v>0.133333333333333</v>
      </c>
      <c r="O92" s="53" t="n">
        <f aca="false">N92+O85-0*Assumptions!$D$215-0*(1-Assumptions!$D$215)*Assumptions!$D$215</f>
        <v>0.2</v>
      </c>
      <c r="P92" s="53" t="n">
        <f aca="false">O92+P85-D85*Assumptions!$D$215-0*(1-Assumptions!$D$215)*Assumptions!$D$215</f>
        <v>0.293333333333333</v>
      </c>
      <c r="Q92" s="53" t="n">
        <f aca="false">P92+Q85-E85*Assumptions!$D$215-0*(1-Assumptions!$D$215)*Assumptions!$D$215</f>
        <v>0.4</v>
      </c>
      <c r="R92" s="53" t="n">
        <f aca="false">Q92+R85-F85*Assumptions!$D$215-0*(1-Assumptions!$D$215)*Assumptions!$D$215</f>
        <v>0.52</v>
      </c>
      <c r="S92" s="53" t="n">
        <f aca="false">R92+S85-G85*Assumptions!$D$215-0*(1-Assumptions!$D$215)*Assumptions!$D$215</f>
        <v>0.633333333333333</v>
      </c>
      <c r="T92" s="53" t="n">
        <f aca="false">S92+T85-H85*Assumptions!$D$215-0*(1-Assumptions!$D$215)*Assumptions!$D$215</f>
        <v>0.7</v>
      </c>
      <c r="U92" s="53" t="n">
        <f aca="false">T92+U85-I85*Assumptions!$D$215-0*(1-Assumptions!$D$215)*Assumptions!$D$215</f>
        <v>0.733333333333333</v>
      </c>
      <c r="V92" s="53" t="n">
        <f aca="false">U92+V85-J85*Assumptions!$D$215-0*(1-Assumptions!$D$215)*Assumptions!$D$215</f>
        <v>0.91</v>
      </c>
      <c r="W92" s="53" t="n">
        <f aca="false">V92+W85-K85*Assumptions!$D$215-0*(1-Assumptions!$D$215)*Assumptions!$D$215</f>
        <v>1.075</v>
      </c>
      <c r="X92" s="53" t="n">
        <f aca="false">W92+X85-L85*Assumptions!$D$215-0*(1-Assumptions!$D$215)*Assumptions!$D$215</f>
        <v>1.3968</v>
      </c>
      <c r="Y92" s="53" t="n">
        <f aca="false">X92+Y85-M85*Assumptions!$D$215-0*(1-Assumptions!$D$215)*Assumptions!$D$215</f>
        <v>1.72746666666667</v>
      </c>
      <c r="Z92" s="53" t="n">
        <f aca="false">Y92+Z85-N85*Assumptions!$D$215-0*(1-Assumptions!$D$215)*Assumptions!$D$215</f>
        <v>2.22266666666667</v>
      </c>
      <c r="AA92" s="53" t="n">
        <f aca="false">Z92+AA85-O85*Assumptions!$D$215-0*(1-Assumptions!$D$215)*Assumptions!$D$215</f>
        <v>2.784</v>
      </c>
      <c r="AB92" s="53" t="n">
        <f aca="false">AA92+AB85-P85*Assumptions!$D$215-D85*(1-Assumptions!$D$215)*Assumptions!$D$215</f>
        <v>3.45986666666667</v>
      </c>
      <c r="AC92" s="53" t="n">
        <f aca="false">AB92+AC85-Q85*Assumptions!$D$215-E85*(1-Assumptions!$D$215)*Assumptions!$D$215</f>
        <v>4.143</v>
      </c>
      <c r="AD92" s="53" t="n">
        <f aca="false">AC92+AD85-R85*Assumptions!$D$215-F85*(1-Assumptions!$D$215)*Assumptions!$D$215</f>
        <v>4.6834</v>
      </c>
      <c r="AE92" s="53" t="n">
        <f aca="false">AD92+AE85-S85*Assumptions!$D$215-G85*(1-Assumptions!$D$215)*Assumptions!$D$215</f>
        <v>5.08266666666667</v>
      </c>
      <c r="AF92" s="53" t="n">
        <f aca="false">AE92+AF85-T85*Assumptions!$D$215-H85*(1-Assumptions!$D$215)*Assumptions!$D$215</f>
        <v>5.344</v>
      </c>
      <c r="AG92" s="53" t="n">
        <f aca="false">AF92+AG85-U85*Assumptions!$D$215-I85*(1-Assumptions!$D$215)*Assumptions!$D$215</f>
        <v>5.57466666666667</v>
      </c>
      <c r="AH92" s="53" t="n">
        <f aca="false">AG92+AH85-V85*Assumptions!$D$215-J85*(1-Assumptions!$D$215)*Assumptions!$D$215</f>
        <v>6.0772</v>
      </c>
      <c r="AI92" s="53" t="n">
        <f aca="false">AH92+AI85-W85*Assumptions!$D$215-K85*(1-Assumptions!$D$215)*Assumptions!$D$215</f>
        <v>6.539</v>
      </c>
      <c r="AJ92" s="53" t="n">
        <f aca="false">AI92+AJ85-X85*Assumptions!$D$215-L85*(1-Assumptions!$D$215)*Assumptions!$D$215</f>
        <v>7.325056</v>
      </c>
      <c r="AK92" s="53" t="n">
        <f aca="false">AJ92+AK85-Y85*Assumptions!$D$215-M85*(1-Assumptions!$D$215)*Assumptions!$D$215</f>
        <v>8.16260266666667</v>
      </c>
      <c r="AL92" s="53" t="n">
        <f aca="false">AK92+AL85-Z85*Assumptions!$D$215-N85*(1-Assumptions!$D$215)*Assumptions!$D$215</f>
        <v>9.37818666666666</v>
      </c>
      <c r="AM92" s="53" t="n">
        <f aca="false">AL92+AM85-AA85*Assumptions!$D$215-O85*(1-Assumptions!$D$215)*Assumptions!$D$215</f>
        <v>10.76128</v>
      </c>
    </row>
    <row r="93" customFormat="false" ht="15" hidden="false" customHeight="true" outlineLevel="0" collapsed="false">
      <c r="A93" s="5" t="s">
        <v>855</v>
      </c>
      <c r="B93" s="10" t="s">
        <v>64</v>
      </c>
      <c r="C93" s="12" t="n">
        <f aca="false">SUM(D93:AM93)</f>
        <v>2118867.136</v>
      </c>
      <c r="D93" s="11" t="n">
        <f aca="false">D86+0*Assumptions!$D$218+0*Assumptions!$D$219</f>
        <v>0</v>
      </c>
      <c r="E93" s="11" t="n">
        <f aca="false">E86+0*Assumptions!$D$218+0*Assumptions!$D$219</f>
        <v>0</v>
      </c>
      <c r="F93" s="11" t="n">
        <f aca="false">F86+0*Assumptions!$D$218+0*Assumptions!$D$219</f>
        <v>0</v>
      </c>
      <c r="G93" s="11" t="n">
        <f aca="false">G86+0*Assumptions!$D$218+0*Assumptions!$D$219</f>
        <v>0</v>
      </c>
      <c r="H93" s="11" t="n">
        <f aca="false">H86+0*Assumptions!$D$218+0*Assumptions!$D$219</f>
        <v>0</v>
      </c>
      <c r="I93" s="11" t="n">
        <f aca="false">I86+0*Assumptions!$D$218+0*Assumptions!$D$219</f>
        <v>0</v>
      </c>
      <c r="J93" s="11" t="n">
        <f aca="false">J86+0*Assumptions!$D$218+0*Assumptions!$D$219</f>
        <v>0</v>
      </c>
      <c r="K93" s="11" t="n">
        <f aca="false">K86+0*Assumptions!$D$218+0*Assumptions!$D$219</f>
        <v>0</v>
      </c>
      <c r="L93" s="11" t="n">
        <f aca="false">L86+0*Assumptions!$D$218+0*Assumptions!$D$219</f>
        <v>5800</v>
      </c>
      <c r="M93" s="11" t="n">
        <f aca="false">M86+0*Assumptions!$D$218+0*Assumptions!$D$219</f>
        <v>4833.33333333333</v>
      </c>
      <c r="N93" s="11" t="n">
        <f aca="false">N86+0*Assumptions!$D$218+0*Assumptions!$D$219</f>
        <v>8700</v>
      </c>
      <c r="O93" s="11" t="n">
        <f aca="false">O86+0*Assumptions!$D$218+0*Assumptions!$D$219</f>
        <v>9666.66666666667</v>
      </c>
      <c r="P93" s="11" t="n">
        <f aca="false">P86+D86*Assumptions!$D$218+0*Assumptions!$D$219</f>
        <v>13533.3333333333</v>
      </c>
      <c r="Q93" s="11" t="n">
        <f aca="false">Q86+E86*Assumptions!$D$218+0*Assumptions!$D$219</f>
        <v>15466.6666666667</v>
      </c>
      <c r="R93" s="11" t="n">
        <f aca="false">R86+F86*Assumptions!$D$218+0*Assumptions!$D$219</f>
        <v>17400</v>
      </c>
      <c r="S93" s="11" t="n">
        <f aca="false">S86+G86*Assumptions!$D$218+0*Assumptions!$D$219</f>
        <v>16433.3333333333</v>
      </c>
      <c r="T93" s="11" t="n">
        <f aca="false">T86+H86*Assumptions!$D$218+0*Assumptions!$D$219</f>
        <v>9666.66666666667</v>
      </c>
      <c r="U93" s="11" t="n">
        <f aca="false">U86+I86*Assumptions!$D$218+0*Assumptions!$D$219</f>
        <v>4833.33333333333</v>
      </c>
      <c r="V93" s="11" t="n">
        <f aca="false">V86+J86*Assumptions!$D$218+0*Assumptions!$D$219</f>
        <v>25616.6666666667</v>
      </c>
      <c r="W93" s="11" t="n">
        <f aca="false">W86+K86*Assumptions!$D$218+0*Assumptions!$D$219</f>
        <v>23925</v>
      </c>
      <c r="X93" s="11" t="n">
        <f aca="false">X86+L86*Assumptions!$D$218+0*Assumptions!$D$219</f>
        <v>54061.8</v>
      </c>
      <c r="Y93" s="11" t="n">
        <f aca="false">Y86+M86*Assumptions!$D$218+0*Assumptions!$D$219</f>
        <v>54114</v>
      </c>
      <c r="Z93" s="11" t="n">
        <f aca="false">Z86+N86*Assumptions!$D$218+0*Assumptions!$D$219</f>
        <v>82905.2</v>
      </c>
      <c r="AA93" s="11" t="n">
        <f aca="false">AA86+O86*Assumptions!$D$218+0*Assumptions!$D$219</f>
        <v>93728</v>
      </c>
      <c r="AB93" s="11" t="n">
        <f aca="false">AB86+P86*Assumptions!$D$218+D86*Assumptions!$D$219</f>
        <v>115269.2</v>
      </c>
      <c r="AC93" s="11" t="n">
        <f aca="false">AC86+Q86*Assumptions!$D$218+E86*Assumptions!$D$219</f>
        <v>118789.8</v>
      </c>
      <c r="AD93" s="11" t="n">
        <f aca="false">AD86+R86*Assumptions!$D$218+F86*Assumptions!$D$219</f>
        <v>100560.4</v>
      </c>
      <c r="AE93" s="11" t="n">
        <f aca="false">AE86+S86*Assumptions!$D$218+G86*Assumptions!$D$219</f>
        <v>78862.6</v>
      </c>
      <c r="AF93" s="11" t="n">
        <f aca="false">AF86+T86*Assumptions!$D$218+H86*Assumptions!$D$219</f>
        <v>50228</v>
      </c>
      <c r="AG93" s="11" t="n">
        <f aca="false">AG86+U86*Assumptions!$D$218+I86*Assumptions!$D$219</f>
        <v>39614</v>
      </c>
      <c r="AH93" s="11" t="n">
        <f aca="false">AH86+V86*Assumptions!$D$218+J86*Assumptions!$D$219</f>
        <v>105554.2</v>
      </c>
      <c r="AI93" s="11" t="n">
        <f aca="false">AI86+W86*Assumptions!$D$218+K86*Assumptions!$D$219</f>
        <v>97489.3</v>
      </c>
      <c r="AJ93" s="11" t="n">
        <f aca="false">AJ86+X86*Assumptions!$D$218+L86*Assumptions!$D$219</f>
        <v>182194.7272</v>
      </c>
      <c r="AK93" s="11" t="n">
        <f aca="false">AK86+Y86*Assumptions!$D$218+M86*Assumptions!$D$219</f>
        <v>189855.189333333</v>
      </c>
      <c r="AL93" s="11" t="n">
        <f aca="false">AL86+Z86*Assumptions!$D$218+N86*Assumptions!$D$219</f>
        <v>280897.3408</v>
      </c>
      <c r="AM93" s="11" t="n">
        <f aca="false">AM86+AA86*Assumptions!$D$218+O86*Assumptions!$D$219</f>
        <v>318868.378666667</v>
      </c>
    </row>
    <row r="94" customFormat="false" ht="15" hidden="false" customHeight="true" outlineLevel="0" collapsed="false">
      <c r="A94" s="5" t="s">
        <v>856</v>
      </c>
      <c r="B94" s="10" t="s">
        <v>64</v>
      </c>
      <c r="C94" s="12" t="n">
        <f aca="false">SUM(D94:AM94)</f>
        <v>1139366.23642222</v>
      </c>
      <c r="D94" s="11" t="n">
        <f aca="false">D91/12</f>
        <v>0</v>
      </c>
      <c r="E94" s="11" t="n">
        <f aca="false">E91/12</f>
        <v>0</v>
      </c>
      <c r="F94" s="11" t="n">
        <f aca="false">F91/12</f>
        <v>0</v>
      </c>
      <c r="G94" s="11" t="n">
        <f aca="false">G91/12</f>
        <v>0</v>
      </c>
      <c r="H94" s="11" t="n">
        <f aca="false">H91/12</f>
        <v>0</v>
      </c>
      <c r="I94" s="11" t="n">
        <f aca="false">I91/12</f>
        <v>0</v>
      </c>
      <c r="J94" s="11" t="n">
        <f aca="false">J91/12</f>
        <v>0</v>
      </c>
      <c r="K94" s="11" t="n">
        <f aca="false">K91/12</f>
        <v>0</v>
      </c>
      <c r="L94" s="11" t="n">
        <f aca="false">L91/12</f>
        <v>483.333333333333</v>
      </c>
      <c r="M94" s="11" t="n">
        <f aca="false">M91/12</f>
        <v>886.111111111111</v>
      </c>
      <c r="N94" s="11" t="n">
        <f aca="false">N91/12</f>
        <v>1611.11111111111</v>
      </c>
      <c r="O94" s="11" t="n">
        <f aca="false">O91/12</f>
        <v>2416.66666666667</v>
      </c>
      <c r="P94" s="11" t="n">
        <f aca="false">P91/12</f>
        <v>3544.44444444444</v>
      </c>
      <c r="Q94" s="11" t="n">
        <f aca="false">Q91/12</f>
        <v>4833.33333333333</v>
      </c>
      <c r="R94" s="11" t="n">
        <f aca="false">R91/12</f>
        <v>6283.33333333333</v>
      </c>
      <c r="S94" s="11" t="n">
        <f aca="false">S91/12</f>
        <v>7652.77777777778</v>
      </c>
      <c r="T94" s="11" t="n">
        <f aca="false">T91/12</f>
        <v>8458.33333333333</v>
      </c>
      <c r="U94" s="11" t="n">
        <f aca="false">U91/12</f>
        <v>8861.11111111111</v>
      </c>
      <c r="V94" s="11" t="n">
        <f aca="false">V91/12</f>
        <v>10995.8333333333</v>
      </c>
      <c r="W94" s="11" t="n">
        <f aca="false">W91/12</f>
        <v>12989.5833333333</v>
      </c>
      <c r="X94" s="11" t="n">
        <f aca="false">X91/12</f>
        <v>17011.4</v>
      </c>
      <c r="Y94" s="11" t="n">
        <f aca="false">Y91/12</f>
        <v>21118.1222222222</v>
      </c>
      <c r="Z94" s="11" t="n">
        <f aca="false">Z91/12</f>
        <v>27301.8888888889</v>
      </c>
      <c r="AA94" s="11" t="n">
        <f aca="false">AA91/12</f>
        <v>34307</v>
      </c>
      <c r="AB94" s="11" t="n">
        <f aca="false">AB91/12</f>
        <v>42784.9888888889</v>
      </c>
      <c r="AC94" s="11" t="n">
        <f aca="false">AC91/12</f>
        <v>51395.25</v>
      </c>
      <c r="AD94" s="11" t="n">
        <f aca="false">AD91/12</f>
        <v>58325.2833333333</v>
      </c>
      <c r="AE94" s="11" t="n">
        <f aca="false">AE91/12</f>
        <v>63527.7222222222</v>
      </c>
      <c r="AF94" s="11" t="n">
        <f aca="false">AF91/12</f>
        <v>66907.8333333333</v>
      </c>
      <c r="AG94" s="11" t="n">
        <f aca="false">AG91/12</f>
        <v>69806.2222222222</v>
      </c>
      <c r="AH94" s="11" t="n">
        <f aca="false">AH91/12</f>
        <v>76467.6833333333</v>
      </c>
      <c r="AI94" s="11" t="n">
        <f aca="false">AI91/12</f>
        <v>82598.0416666667</v>
      </c>
      <c r="AJ94" s="11" t="n">
        <f aca="false">AJ91/12</f>
        <v>93275.7856</v>
      </c>
      <c r="AK94" s="11" t="n">
        <f aca="false">AK91/12</f>
        <v>104587.551377778</v>
      </c>
      <c r="AL94" s="11" t="n">
        <f aca="false">AL91/12</f>
        <v>121086.896444444</v>
      </c>
      <c r="AM94" s="11" t="n">
        <f aca="false">AM91/12</f>
        <v>139848.594666667</v>
      </c>
    </row>
    <row r="95" customFormat="false" ht="15" hidden="false" customHeight="true" outlineLevel="0" collapsed="false">
      <c r="A95" s="5" t="s">
        <v>857</v>
      </c>
      <c r="B95" s="10" t="s">
        <v>64</v>
      </c>
      <c r="C95" s="12" t="n">
        <f aca="false">AM95</f>
        <v>979500.899577778</v>
      </c>
      <c r="D95" s="11" t="n">
        <f aca="false">0+D93-D94</f>
        <v>0</v>
      </c>
      <c r="E95" s="11" t="n">
        <f aca="false">D95+E93-E94</f>
        <v>0</v>
      </c>
      <c r="F95" s="11" t="n">
        <f aca="false">E95+F93-F94</f>
        <v>0</v>
      </c>
      <c r="G95" s="11" t="n">
        <f aca="false">F95+G93-G94</f>
        <v>0</v>
      </c>
      <c r="H95" s="11" t="n">
        <f aca="false">G95+H93-H94</f>
        <v>0</v>
      </c>
      <c r="I95" s="11" t="n">
        <f aca="false">H95+I93-I94</f>
        <v>0</v>
      </c>
      <c r="J95" s="11" t="n">
        <f aca="false">I95+J93-J94</f>
        <v>0</v>
      </c>
      <c r="K95" s="11" t="n">
        <f aca="false">J95+K93-K94</f>
        <v>0</v>
      </c>
      <c r="L95" s="11" t="n">
        <f aca="false">K95+L93-L94</f>
        <v>5316.66666666667</v>
      </c>
      <c r="M95" s="11" t="n">
        <f aca="false">L95+M93-M94</f>
        <v>9263.88888888889</v>
      </c>
      <c r="N95" s="11" t="n">
        <f aca="false">M95+N93-N94</f>
        <v>16352.7777777778</v>
      </c>
      <c r="O95" s="11" t="n">
        <f aca="false">N95+O93-O94</f>
        <v>23602.7777777778</v>
      </c>
      <c r="P95" s="11" t="n">
        <f aca="false">O95+P93-P94</f>
        <v>33591.6666666667</v>
      </c>
      <c r="Q95" s="11" t="n">
        <f aca="false">P95+Q93-Q94</f>
        <v>44225</v>
      </c>
      <c r="R95" s="11" t="n">
        <f aca="false">Q95+R93-R94</f>
        <v>55341.6666666667</v>
      </c>
      <c r="S95" s="11" t="n">
        <f aca="false">R95+S93-S94</f>
        <v>64122.2222222222</v>
      </c>
      <c r="T95" s="11" t="n">
        <f aca="false">S95+T93-T94</f>
        <v>65330.5555555556</v>
      </c>
      <c r="U95" s="11" t="n">
        <f aca="false">T95+U93-U94</f>
        <v>61302.7777777778</v>
      </c>
      <c r="V95" s="11" t="n">
        <f aca="false">U95+V93-V94</f>
        <v>75923.6111111111</v>
      </c>
      <c r="W95" s="11" t="n">
        <f aca="false">V95+W93-W94</f>
        <v>86859.0277777778</v>
      </c>
      <c r="X95" s="11" t="n">
        <f aca="false">W95+X93-X94</f>
        <v>123909.427777778</v>
      </c>
      <c r="Y95" s="11" t="n">
        <f aca="false">X95+Y93-Y94</f>
        <v>156905.305555556</v>
      </c>
      <c r="Z95" s="11" t="n">
        <f aca="false">Y95+Z93-Z94</f>
        <v>212508.616666667</v>
      </c>
      <c r="AA95" s="11" t="n">
        <f aca="false">Z95+AA93-AA94</f>
        <v>271929.616666667</v>
      </c>
      <c r="AB95" s="11" t="n">
        <f aca="false">AA95+AB93-AB94</f>
        <v>344413.827777778</v>
      </c>
      <c r="AC95" s="11" t="n">
        <f aca="false">AB95+AC93-AC94</f>
        <v>411808.377777778</v>
      </c>
      <c r="AD95" s="11" t="n">
        <f aca="false">AC95+AD93-AD94</f>
        <v>454043.494444444</v>
      </c>
      <c r="AE95" s="11" t="n">
        <f aca="false">AD95+AE93-AE94</f>
        <v>469378.372222222</v>
      </c>
      <c r="AF95" s="11" t="n">
        <f aca="false">AE95+AF93-AF94</f>
        <v>452698.538888889</v>
      </c>
      <c r="AG95" s="11" t="n">
        <f aca="false">AF95+AG93-AG94</f>
        <v>422506.316666667</v>
      </c>
      <c r="AH95" s="11" t="n">
        <f aca="false">AG95+AH93-AH94</f>
        <v>451592.833333333</v>
      </c>
      <c r="AI95" s="11" t="n">
        <f aca="false">AH95+AI93-AI94</f>
        <v>466484.091666667</v>
      </c>
      <c r="AJ95" s="11" t="n">
        <f aca="false">AI95+AJ93-AJ94</f>
        <v>555403.033266667</v>
      </c>
      <c r="AK95" s="11" t="n">
        <f aca="false">AJ95+AK93-AK94</f>
        <v>640670.671222222</v>
      </c>
      <c r="AL95" s="11" t="n">
        <f aca="false">AK95+AL93-AL94</f>
        <v>800481.115577778</v>
      </c>
      <c r="AM95" s="11" t="n">
        <f aca="false">AL95+AM93-AM94</f>
        <v>979500.899577778</v>
      </c>
    </row>
    <row r="96" customFormat="false" ht="15" hidden="false" customHeight="true" outlineLevel="0" collapsed="false">
      <c r="A96" s="5" t="s">
        <v>858</v>
      </c>
      <c r="B96" s="10" t="s">
        <v>100</v>
      </c>
      <c r="C96" s="21" t="n">
        <f aca="false">AM96</f>
        <v>57868.384</v>
      </c>
      <c r="D96" s="20" t="n">
        <f aca="false">D91/Assumptions!$D$206*Assumptions!$D$54</f>
        <v>0</v>
      </c>
      <c r="E96" s="20" t="n">
        <f aca="false">E91/Assumptions!$D$206*Assumptions!$D$54</f>
        <v>0</v>
      </c>
      <c r="F96" s="20" t="n">
        <f aca="false">F91/Assumptions!$D$206*Assumptions!$D$54</f>
        <v>0</v>
      </c>
      <c r="G96" s="20" t="n">
        <f aca="false">G91/Assumptions!$D$206*Assumptions!$D$54</f>
        <v>0</v>
      </c>
      <c r="H96" s="20" t="n">
        <f aca="false">H91/Assumptions!$D$206*Assumptions!$D$54</f>
        <v>0</v>
      </c>
      <c r="I96" s="20" t="n">
        <f aca="false">I91/Assumptions!$D$206*Assumptions!$D$54</f>
        <v>0</v>
      </c>
      <c r="J96" s="20" t="n">
        <f aca="false">J91/Assumptions!$D$206*Assumptions!$D$54</f>
        <v>0</v>
      </c>
      <c r="K96" s="20" t="n">
        <f aca="false">K91/Assumptions!$D$206*Assumptions!$D$54</f>
        <v>0</v>
      </c>
      <c r="L96" s="20" t="n">
        <f aca="false">L91/Assumptions!$D$206*Assumptions!$D$54</f>
        <v>200</v>
      </c>
      <c r="M96" s="20" t="n">
        <f aca="false">M91/Assumptions!$D$206*Assumptions!$D$54</f>
        <v>366.666666666667</v>
      </c>
      <c r="N96" s="20" t="n">
        <f aca="false">N91/Assumptions!$D$206*Assumptions!$D$54</f>
        <v>666.666666666667</v>
      </c>
      <c r="O96" s="20" t="n">
        <f aca="false">O91/Assumptions!$D$206*Assumptions!$D$54</f>
        <v>1000</v>
      </c>
      <c r="P96" s="20" t="n">
        <f aca="false">P91/Assumptions!$D$206*Assumptions!$D$54</f>
        <v>1466.66666666667</v>
      </c>
      <c r="Q96" s="20" t="n">
        <f aca="false">Q91/Assumptions!$D$206*Assumptions!$D$54</f>
        <v>2000</v>
      </c>
      <c r="R96" s="20" t="n">
        <f aca="false">R91/Assumptions!$D$206*Assumptions!$D$54</f>
        <v>2600</v>
      </c>
      <c r="S96" s="20" t="n">
        <f aca="false">S91/Assumptions!$D$206*Assumptions!$D$54</f>
        <v>3166.66666666667</v>
      </c>
      <c r="T96" s="20" t="n">
        <f aca="false">T91/Assumptions!$D$206*Assumptions!$D$54</f>
        <v>3500</v>
      </c>
      <c r="U96" s="20" t="n">
        <f aca="false">U91/Assumptions!$D$206*Assumptions!$D$54</f>
        <v>3666.66666666667</v>
      </c>
      <c r="V96" s="20" t="n">
        <f aca="false">V91/Assumptions!$D$206*Assumptions!$D$54</f>
        <v>4550</v>
      </c>
      <c r="W96" s="20" t="n">
        <f aca="false">W91/Assumptions!$D$206*Assumptions!$D$54</f>
        <v>5375</v>
      </c>
      <c r="X96" s="20" t="n">
        <f aca="false">X91/Assumptions!$D$206*Assumptions!$D$54</f>
        <v>7039.2</v>
      </c>
      <c r="Y96" s="20" t="n">
        <f aca="false">Y91/Assumptions!$D$206*Assumptions!$D$54</f>
        <v>8738.53333333333</v>
      </c>
      <c r="Z96" s="20" t="n">
        <f aca="false">Z91/Assumptions!$D$206*Assumptions!$D$54</f>
        <v>11297.3333333333</v>
      </c>
      <c r="AA96" s="20" t="n">
        <f aca="false">AA91/Assumptions!$D$206*Assumptions!$D$54</f>
        <v>14196</v>
      </c>
      <c r="AB96" s="20" t="n">
        <f aca="false">AB91/Assumptions!$D$206*Assumptions!$D$54</f>
        <v>17704.1333333333</v>
      </c>
      <c r="AC96" s="20" t="n">
        <f aca="false">AC91/Assumptions!$D$206*Assumptions!$D$54</f>
        <v>21267</v>
      </c>
      <c r="AD96" s="20" t="n">
        <f aca="false">AD91/Assumptions!$D$206*Assumptions!$D$54</f>
        <v>24134.6</v>
      </c>
      <c r="AE96" s="20" t="n">
        <f aca="false">AE91/Assumptions!$D$206*Assumptions!$D$54</f>
        <v>26287.3333333333</v>
      </c>
      <c r="AF96" s="20" t="n">
        <f aca="false">AF91/Assumptions!$D$206*Assumptions!$D$54</f>
        <v>27686</v>
      </c>
      <c r="AG96" s="20" t="n">
        <f aca="false">AG91/Assumptions!$D$206*Assumptions!$D$54</f>
        <v>28885.3333333333</v>
      </c>
      <c r="AH96" s="20" t="n">
        <f aca="false">AH91/Assumptions!$D$206*Assumptions!$D$54</f>
        <v>31641.8</v>
      </c>
      <c r="AI96" s="20" t="n">
        <f aca="false">AI91/Assumptions!$D$206*Assumptions!$D$54</f>
        <v>34178.5</v>
      </c>
      <c r="AJ96" s="20" t="n">
        <f aca="false">AJ91/Assumptions!$D$206*Assumptions!$D$54</f>
        <v>38596.8768</v>
      </c>
      <c r="AK96" s="20" t="n">
        <f aca="false">AK91/Assumptions!$D$206*Assumptions!$D$54</f>
        <v>43277.6074666667</v>
      </c>
      <c r="AL96" s="20" t="n">
        <f aca="false">AL91/Assumptions!$D$206*Assumptions!$D$54</f>
        <v>50104.9226666667</v>
      </c>
      <c r="AM96" s="20" t="n">
        <f aca="false">AM91/Assumptions!$D$206*Assumptions!$D$54</f>
        <v>57868.384</v>
      </c>
    </row>
    <row r="97" customFormat="false" ht="15" hidden="false" customHeight="true" outlineLevel="0" collapsed="false">
      <c r="A97" s="5" t="s">
        <v>859</v>
      </c>
      <c r="B97" s="10" t="s">
        <v>64</v>
      </c>
      <c r="C97" s="12" t="n">
        <f aca="false">AM97</f>
        <v>652500</v>
      </c>
      <c r="D97" s="11" t="n">
        <f aca="false">(D55-D57)*Assumptions!$D$206</f>
        <v>0</v>
      </c>
      <c r="E97" s="11" t="n">
        <f aca="false">(E55-E57)*Assumptions!$D$206</f>
        <v>0</v>
      </c>
      <c r="F97" s="11" t="n">
        <f aca="false">(F55-F57)*Assumptions!$D$206</f>
        <v>0</v>
      </c>
      <c r="G97" s="11" t="n">
        <f aca="false">(G55-G57)*Assumptions!$D$206</f>
        <v>0</v>
      </c>
      <c r="H97" s="11" t="n">
        <f aca="false">(H55-H57)*Assumptions!$D$206</f>
        <v>0</v>
      </c>
      <c r="I97" s="11" t="n">
        <f aca="false">(I55-I57)*Assumptions!$D$206</f>
        <v>0</v>
      </c>
      <c r="J97" s="11" t="n">
        <f aca="false">(J55-J57)*Assumptions!$D$206</f>
        <v>0</v>
      </c>
      <c r="K97" s="11" t="n">
        <f aca="false">(K55-K57)*Assumptions!$D$206</f>
        <v>0</v>
      </c>
      <c r="L97" s="11" t="n">
        <f aca="false">(L55-L57)*Assumptions!$D$206</f>
        <v>0</v>
      </c>
      <c r="M97" s="11" t="n">
        <f aca="false">(M55-M57)*Assumptions!$D$206</f>
        <v>0</v>
      </c>
      <c r="N97" s="11" t="n">
        <f aca="false">(N55-N57)*Assumptions!$D$206</f>
        <v>0</v>
      </c>
      <c r="O97" s="11" t="n">
        <f aca="false">(O55-O57)*Assumptions!$D$206</f>
        <v>0</v>
      </c>
      <c r="P97" s="11" t="n">
        <f aca="false">(P55-P57)*Assumptions!$D$206</f>
        <v>21750</v>
      </c>
      <c r="Q97" s="11" t="n">
        <f aca="false">(Q55-Q57)*Assumptions!$D$206</f>
        <v>39875</v>
      </c>
      <c r="R97" s="11" t="n">
        <f aca="false">(R55-R57)*Assumptions!$D$206</f>
        <v>72500</v>
      </c>
      <c r="S97" s="11" t="n">
        <f aca="false">(S55-S57)*Assumptions!$D$206</f>
        <v>108750</v>
      </c>
      <c r="T97" s="11" t="n">
        <f aca="false">(T55-T57)*Assumptions!$D$206</f>
        <v>159500</v>
      </c>
      <c r="U97" s="11" t="n">
        <f aca="false">(U55-U57)*Assumptions!$D$206</f>
        <v>217500</v>
      </c>
      <c r="V97" s="11" t="n">
        <f aca="false">(V55-V57)*Assumptions!$D$206</f>
        <v>261000</v>
      </c>
      <c r="W97" s="11" t="n">
        <f aca="false">(W55-W57)*Assumptions!$D$206</f>
        <v>304500</v>
      </c>
      <c r="X97" s="11" t="n">
        <f aca="false">(X55-X57)*Assumptions!$D$206</f>
        <v>308125</v>
      </c>
      <c r="Y97" s="11" t="n">
        <f aca="false">(Y55-Y57)*Assumptions!$D$206</f>
        <v>290000</v>
      </c>
      <c r="Z97" s="11" t="n">
        <f aca="false">(Z55-Z57)*Assumptions!$D$206</f>
        <v>253750</v>
      </c>
      <c r="AA97" s="11" t="n">
        <f aca="false">(AA55-AA57)*Assumptions!$D$206</f>
        <v>217500</v>
      </c>
      <c r="AB97" s="11" t="n">
        <f aca="false">(AB55-AB57)*Assumptions!$D$206</f>
        <v>217500</v>
      </c>
      <c r="AC97" s="11" t="n">
        <f aca="false">(AC55-AC57)*Assumptions!$D$206</f>
        <v>210250</v>
      </c>
      <c r="AD97" s="11" t="n">
        <f aca="false">(AD55-AD57)*Assumptions!$D$206</f>
        <v>271875</v>
      </c>
      <c r="AE97" s="11" t="n">
        <f aca="false">(AE55-AE57)*Assumptions!$D$206</f>
        <v>362500</v>
      </c>
      <c r="AF97" s="11" t="n">
        <f aca="false">(AF55-AF57)*Assumptions!$D$206</f>
        <v>500250</v>
      </c>
      <c r="AG97" s="11" t="n">
        <f aca="false">(AG55-AG57)*Assumptions!$D$206</f>
        <v>652500</v>
      </c>
      <c r="AH97" s="11" t="n">
        <f aca="false">(AH55-AH57)*Assumptions!$D$206</f>
        <v>783000</v>
      </c>
      <c r="AI97" s="11" t="n">
        <f aca="false">(AI55-AI57)*Assumptions!$D$206</f>
        <v>913500</v>
      </c>
      <c r="AJ97" s="11" t="n">
        <f aca="false">(AJ55-AJ57)*Assumptions!$D$206</f>
        <v>924375</v>
      </c>
      <c r="AK97" s="11" t="n">
        <f aca="false">(AK55-AK57)*Assumptions!$D$206</f>
        <v>870000</v>
      </c>
      <c r="AL97" s="11" t="n">
        <f aca="false">(AL55-AL57)*Assumptions!$D$206</f>
        <v>761250</v>
      </c>
      <c r="AM97" s="11" t="n">
        <f aca="false">(AM55-AM57)*Assumptions!$D$206</f>
        <v>652500</v>
      </c>
    </row>
    <row r="99" customFormat="false" ht="15" hidden="false" customHeight="true" outlineLevel="0" collapsed="false">
      <c r="A99" s="8" t="s">
        <v>860</v>
      </c>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row>
    <row r="100" customFormat="false" ht="15" hidden="false" customHeight="true" outlineLevel="0" collapsed="false">
      <c r="A100" s="5" t="s">
        <v>861</v>
      </c>
      <c r="B100" s="10" t="s">
        <v>64</v>
      </c>
      <c r="C100" s="12" t="n">
        <f aca="false">SUM(D100:AM100)</f>
        <v>411250</v>
      </c>
      <c r="D100" s="11" t="n">
        <f aca="false">0.5*Assumptions!$D$37*D42+0.5*Assumptions!$D$37*D44</f>
        <v>1500</v>
      </c>
      <c r="E100" s="11" t="n">
        <f aca="false">0.5*Assumptions!$D$37*E42+0.5*Assumptions!$D$37*E44</f>
        <v>1250</v>
      </c>
      <c r="F100" s="11" t="n">
        <f aca="false">0.5*Assumptions!$D$37*F42+0.5*Assumptions!$D$37*F44</f>
        <v>3750</v>
      </c>
      <c r="G100" s="11" t="n">
        <f aca="false">0.5*Assumptions!$D$37*G42+0.5*Assumptions!$D$37*G44</f>
        <v>3750</v>
      </c>
      <c r="H100" s="11" t="n">
        <f aca="false">0.5*Assumptions!$D$37*H42+0.5*Assumptions!$D$37*H44</f>
        <v>5750</v>
      </c>
      <c r="I100" s="11" t="n">
        <f aca="false">0.5*Assumptions!$D$37*I42+0.5*Assumptions!$D$37*I44</f>
        <v>6500</v>
      </c>
      <c r="J100" s="11" t="n">
        <f aca="false">0.5*Assumptions!$D$37*J42+0.5*Assumptions!$D$37*J44</f>
        <v>8000</v>
      </c>
      <c r="K100" s="11" t="n">
        <f aca="false">0.5*Assumptions!$D$37*K42+0.5*Assumptions!$D$37*K44</f>
        <v>8250</v>
      </c>
      <c r="L100" s="11" t="n">
        <f aca="false">0.5*Assumptions!$D$37*L42+0.5*Assumptions!$D$37*L44</f>
        <v>7000</v>
      </c>
      <c r="M100" s="11" t="n">
        <f aca="false">0.5*Assumptions!$D$37*M42+0.5*Assumptions!$D$37*M44</f>
        <v>5500</v>
      </c>
      <c r="N100" s="11" t="n">
        <f aca="false">0.5*Assumptions!$D$37*N42+0.5*Assumptions!$D$37*N44</f>
        <v>3500</v>
      </c>
      <c r="O100" s="11" t="n">
        <f aca="false">0.5*Assumptions!$D$37*O42+0.5*Assumptions!$D$37*O44</f>
        <v>2750</v>
      </c>
      <c r="P100" s="11" t="n">
        <f aca="false">0.5*Assumptions!$D$37*P42+0.5*Assumptions!$D$37*P44</f>
        <v>4750</v>
      </c>
      <c r="Q100" s="11" t="n">
        <f aca="false">0.5*Assumptions!$D$37*Q42+0.5*Assumptions!$D$37*Q44</f>
        <v>4625</v>
      </c>
      <c r="R100" s="11" t="n">
        <f aca="false">0.5*Assumptions!$D$37*R42+0.5*Assumptions!$D$37*R44</f>
        <v>9375</v>
      </c>
      <c r="S100" s="11" t="n">
        <f aca="false">0.5*Assumptions!$D$37*S42+0.5*Assumptions!$D$37*S44</f>
        <v>9375</v>
      </c>
      <c r="T100" s="11" t="n">
        <f aca="false">0.5*Assumptions!$D$37*T42+0.5*Assumptions!$D$37*T44</f>
        <v>14375</v>
      </c>
      <c r="U100" s="11" t="n">
        <f aca="false">0.5*Assumptions!$D$37*U42+0.5*Assumptions!$D$37*U44</f>
        <v>16250</v>
      </c>
      <c r="V100" s="11" t="n">
        <f aca="false">0.5*Assumptions!$D$37*V42+0.5*Assumptions!$D$37*V44</f>
        <v>20000</v>
      </c>
      <c r="W100" s="11" t="n">
        <f aca="false">0.5*Assumptions!$D$37*W42+0.5*Assumptions!$D$37*W44</f>
        <v>20625</v>
      </c>
      <c r="X100" s="11" t="n">
        <f aca="false">0.5*Assumptions!$D$37*X42+0.5*Assumptions!$D$37*X44</f>
        <v>17500</v>
      </c>
      <c r="Y100" s="11" t="n">
        <f aca="false">0.5*Assumptions!$D$37*Y42+0.5*Assumptions!$D$37*Y44</f>
        <v>13750</v>
      </c>
      <c r="Z100" s="11" t="n">
        <f aca="false">0.5*Assumptions!$D$37*Z42+0.5*Assumptions!$D$37*Z44</f>
        <v>8750</v>
      </c>
      <c r="AA100" s="11" t="n">
        <f aca="false">0.5*Assumptions!$D$37*AA42+0.5*Assumptions!$D$37*AA44</f>
        <v>6875</v>
      </c>
      <c r="AB100" s="11" t="n">
        <f aca="false">0.5*Assumptions!$D$37*AB42+0.5*Assumptions!$D$37*AB44</f>
        <v>7750</v>
      </c>
      <c r="AC100" s="11" t="n">
        <f aca="false">0.5*Assumptions!$D$37*AC42+0.5*Assumptions!$D$37*AC44</f>
        <v>8125</v>
      </c>
      <c r="AD100" s="11" t="n">
        <f aca="false">0.5*Assumptions!$D$37*AD42+0.5*Assumptions!$D$37*AD44</f>
        <v>13125</v>
      </c>
      <c r="AE100" s="11" t="n">
        <f aca="false">0.5*Assumptions!$D$37*AE42+0.5*Assumptions!$D$37*AE44</f>
        <v>13125</v>
      </c>
      <c r="AF100" s="11" t="n">
        <f aca="false">0.5*Assumptions!$D$37*AF42+0.5*Assumptions!$D$37*AF44</f>
        <v>20125</v>
      </c>
      <c r="AG100" s="11" t="n">
        <f aca="false">0.5*Assumptions!$D$37*AG42+0.5*Assumptions!$D$37*AG44</f>
        <v>22750</v>
      </c>
      <c r="AH100" s="11" t="n">
        <f aca="false">0.5*Assumptions!$D$37*AH42+0.5*Assumptions!$D$37*AH44</f>
        <v>28000</v>
      </c>
      <c r="AI100" s="11" t="n">
        <f aca="false">0.5*Assumptions!$D$37*AI42+0.5*Assumptions!$D$37*AI44</f>
        <v>28875</v>
      </c>
      <c r="AJ100" s="11" t="n">
        <f aca="false">0.5*Assumptions!$D$37*AJ42+0.5*Assumptions!$D$37*AJ44</f>
        <v>24500</v>
      </c>
      <c r="AK100" s="11" t="n">
        <f aca="false">0.5*Assumptions!$D$37*AK42+0.5*Assumptions!$D$37*AK44</f>
        <v>19250</v>
      </c>
      <c r="AL100" s="11" t="n">
        <f aca="false">0.5*Assumptions!$D$37*AL42+0.5*Assumptions!$D$37*AL44</f>
        <v>12250</v>
      </c>
      <c r="AM100" s="11" t="n">
        <f aca="false">0.5*Assumptions!$D$37*AM42+0.5*Assumptions!$D$37*AM44</f>
        <v>9625</v>
      </c>
    </row>
    <row r="101" customFormat="false" ht="15" hidden="false" customHeight="true" outlineLevel="0" collapsed="false">
      <c r="A101" s="5" t="s">
        <v>862</v>
      </c>
      <c r="B101" s="10" t="s">
        <v>64</v>
      </c>
      <c r="C101" s="12" t="n">
        <f aca="false">SUM(D101:AM101)</f>
        <v>406000</v>
      </c>
      <c r="D101" s="11" t="n">
        <f aca="false">Assumptions!$D$37/Assumptions!$D$207*D46</f>
        <v>0</v>
      </c>
      <c r="E101" s="11" t="n">
        <f aca="false">Assumptions!$D$37/Assumptions!$D$207*E46</f>
        <v>1500</v>
      </c>
      <c r="F101" s="11" t="n">
        <f aca="false">Assumptions!$D$37/Assumptions!$D$207*F46</f>
        <v>2750</v>
      </c>
      <c r="G101" s="11" t="n">
        <f aca="false">Assumptions!$D$37/Assumptions!$D$207*G46</f>
        <v>3500</v>
      </c>
      <c r="H101" s="11" t="n">
        <f aca="false">Assumptions!$D$37/Assumptions!$D$207*H46</f>
        <v>4750</v>
      </c>
      <c r="I101" s="11" t="n">
        <f aca="false">Assumptions!$D$37/Assumptions!$D$207*I46</f>
        <v>6000</v>
      </c>
      <c r="J101" s="11" t="n">
        <f aca="false">Assumptions!$D$37/Assumptions!$D$207*J46</f>
        <v>7500</v>
      </c>
      <c r="K101" s="11" t="n">
        <f aca="false">Assumptions!$D$37/Assumptions!$D$207*K46</f>
        <v>8500</v>
      </c>
      <c r="L101" s="11" t="n">
        <f aca="false">Assumptions!$D$37/Assumptions!$D$207*L46</f>
        <v>8750</v>
      </c>
      <c r="M101" s="11" t="n">
        <f aca="false">Assumptions!$D$37/Assumptions!$D$207*M46</f>
        <v>6750</v>
      </c>
      <c r="N101" s="11" t="n">
        <f aca="false">Assumptions!$D$37/Assumptions!$D$207*N46</f>
        <v>3750</v>
      </c>
      <c r="O101" s="11" t="n">
        <f aca="false">Assumptions!$D$37/Assumptions!$D$207*O46</f>
        <v>2250</v>
      </c>
      <c r="P101" s="11" t="n">
        <f aca="false">Assumptions!$D$37/Assumptions!$D$207*P46</f>
        <v>2500</v>
      </c>
      <c r="Q101" s="11" t="n">
        <f aca="false">Assumptions!$D$37/Assumptions!$D$207*Q46</f>
        <v>5250</v>
      </c>
      <c r="R101" s="11" t="n">
        <f aca="false">Assumptions!$D$37/Assumptions!$D$207*R46</f>
        <v>6875</v>
      </c>
      <c r="S101" s="11" t="n">
        <f aca="false">Assumptions!$D$37/Assumptions!$D$207*S46</f>
        <v>8750</v>
      </c>
      <c r="T101" s="11" t="n">
        <f aca="false">Assumptions!$D$37/Assumptions!$D$207*T46</f>
        <v>11875</v>
      </c>
      <c r="U101" s="11" t="n">
        <f aca="false">Assumptions!$D$37/Assumptions!$D$207*U46</f>
        <v>15000</v>
      </c>
      <c r="V101" s="11" t="n">
        <f aca="false">Assumptions!$D$37/Assumptions!$D$207*V46</f>
        <v>18750</v>
      </c>
      <c r="W101" s="11" t="n">
        <f aca="false">Assumptions!$D$37/Assumptions!$D$207*W46</f>
        <v>21250</v>
      </c>
      <c r="X101" s="11" t="n">
        <f aca="false">Assumptions!$D$37/Assumptions!$D$207*X46</f>
        <v>21875</v>
      </c>
      <c r="Y101" s="11" t="n">
        <f aca="false">Assumptions!$D$37/Assumptions!$D$207*Y46</f>
        <v>16875</v>
      </c>
      <c r="Z101" s="11" t="n">
        <f aca="false">Assumptions!$D$37/Assumptions!$D$207*Z46</f>
        <v>9375</v>
      </c>
      <c r="AA101" s="11" t="n">
        <f aca="false">Assumptions!$D$37/Assumptions!$D$207*AA46</f>
        <v>5625</v>
      </c>
      <c r="AB101" s="11" t="n">
        <f aca="false">Assumptions!$D$37/Assumptions!$D$207*AB46</f>
        <v>6250.00000000001</v>
      </c>
      <c r="AC101" s="11" t="n">
        <f aca="false">Assumptions!$D$37/Assumptions!$D$207*AC46</f>
        <v>9000</v>
      </c>
      <c r="AD101" s="11" t="n">
        <f aca="false">Assumptions!$D$37/Assumptions!$D$207*AD46</f>
        <v>9625</v>
      </c>
      <c r="AE101" s="11" t="n">
        <f aca="false">Assumptions!$D$37/Assumptions!$D$207*AE46</f>
        <v>12250</v>
      </c>
      <c r="AF101" s="11" t="n">
        <f aca="false">Assumptions!$D$37/Assumptions!$D$207*AF46</f>
        <v>16625</v>
      </c>
      <c r="AG101" s="11" t="n">
        <f aca="false">Assumptions!$D$37/Assumptions!$D$207*AG46</f>
        <v>21000</v>
      </c>
      <c r="AH101" s="11" t="n">
        <f aca="false">Assumptions!$D$37/Assumptions!$D$207*AH46</f>
        <v>26250</v>
      </c>
      <c r="AI101" s="11" t="n">
        <f aca="false">Assumptions!$D$37/Assumptions!$D$207*AI46</f>
        <v>29750</v>
      </c>
      <c r="AJ101" s="11" t="n">
        <f aca="false">Assumptions!$D$37/Assumptions!$D$207*AJ46</f>
        <v>30625</v>
      </c>
      <c r="AK101" s="11" t="n">
        <f aca="false">Assumptions!$D$37/Assumptions!$D$207*AK46</f>
        <v>23625</v>
      </c>
      <c r="AL101" s="11" t="n">
        <f aca="false">Assumptions!$D$37/Assumptions!$D$207*AL46</f>
        <v>13125</v>
      </c>
      <c r="AM101" s="11" t="n">
        <f aca="false">Assumptions!$D$37/Assumptions!$D$207*AM46</f>
        <v>7874.99999999998</v>
      </c>
    </row>
    <row r="102" customFormat="false" ht="15" hidden="false" customHeight="true" outlineLevel="0" collapsed="false">
      <c r="A102" s="5" t="s">
        <v>863</v>
      </c>
      <c r="B102" s="10" t="s">
        <v>64</v>
      </c>
      <c r="C102" s="12" t="n">
        <f aca="false">SUM(D102:AM102)</f>
        <v>1005000</v>
      </c>
      <c r="D102" s="11" t="n">
        <f aca="false">0.5*Assumptions!$D$46*D48+0.5*Assumptions!$D$46*D50</f>
        <v>1000</v>
      </c>
      <c r="E102" s="11" t="n">
        <f aca="false">0.5*Assumptions!$D$46*E48+0.5*Assumptions!$D$46*E50</f>
        <v>833.333333333333</v>
      </c>
      <c r="F102" s="11" t="n">
        <f aca="false">0.5*Assumptions!$D$46*F48+0.5*Assumptions!$D$46*F50</f>
        <v>1500</v>
      </c>
      <c r="G102" s="11" t="n">
        <f aca="false">0.5*Assumptions!$D$46*G48+0.5*Assumptions!$D$46*G50</f>
        <v>1666.66666666667</v>
      </c>
      <c r="H102" s="11" t="n">
        <f aca="false">0.5*Assumptions!$D$46*H48+0.5*Assumptions!$D$46*H50</f>
        <v>3333.33333333333</v>
      </c>
      <c r="I102" s="11" t="n">
        <f aca="false">0.5*Assumptions!$D$46*I48+0.5*Assumptions!$D$46*I50</f>
        <v>3500</v>
      </c>
      <c r="J102" s="11" t="n">
        <f aca="false">0.5*Assumptions!$D$46*J48+0.5*Assumptions!$D$46*J50</f>
        <v>4500</v>
      </c>
      <c r="K102" s="11" t="n">
        <f aca="false">0.5*Assumptions!$D$46*K48+0.5*Assumptions!$D$46*K50</f>
        <v>4500</v>
      </c>
      <c r="L102" s="11" t="n">
        <f aca="false">0.5*Assumptions!$D$46*L48+0.5*Assumptions!$D$46*L50</f>
        <v>4000</v>
      </c>
      <c r="M102" s="11" t="n">
        <f aca="false">0.5*Assumptions!$D$46*M48+0.5*Assumptions!$D$46*M50</f>
        <v>3500</v>
      </c>
      <c r="N102" s="11" t="n">
        <f aca="false">0.5*Assumptions!$D$46*N48+0.5*Assumptions!$D$46*N50</f>
        <v>3666.66666666667</v>
      </c>
      <c r="O102" s="11" t="n">
        <f aca="false">0.5*Assumptions!$D$46*O48+0.5*Assumptions!$D$46*O50</f>
        <v>3833.33333333333</v>
      </c>
      <c r="P102" s="11" t="n">
        <f aca="false">0.5*Assumptions!$D$46*P48+0.5*Assumptions!$D$46*P50</f>
        <v>9666.66666666667</v>
      </c>
      <c r="Q102" s="11" t="n">
        <f aca="false">0.5*Assumptions!$D$46*Q48+0.5*Assumptions!$D$46*Q50</f>
        <v>7500</v>
      </c>
      <c r="R102" s="11" t="n">
        <f aca="false">0.5*Assumptions!$D$46*R48+0.5*Assumptions!$D$46*R50</f>
        <v>12666.6666666667</v>
      </c>
      <c r="S102" s="11" t="n">
        <f aca="false">0.5*Assumptions!$D$46*S48+0.5*Assumptions!$D$46*S50</f>
        <v>14333.3333333333</v>
      </c>
      <c r="T102" s="11" t="n">
        <f aca="false">0.5*Assumptions!$D$46*T48+0.5*Assumptions!$D$46*T50</f>
        <v>26666.6666666667</v>
      </c>
      <c r="U102" s="11" t="n">
        <f aca="false">0.5*Assumptions!$D$46*U48+0.5*Assumptions!$D$46*U50</f>
        <v>28000</v>
      </c>
      <c r="V102" s="11" t="n">
        <f aca="false">0.5*Assumptions!$D$46*V48+0.5*Assumptions!$D$46*V50</f>
        <v>36000</v>
      </c>
      <c r="W102" s="11" t="n">
        <f aca="false">0.5*Assumptions!$D$46*W48+0.5*Assumptions!$D$46*W50</f>
        <v>36000</v>
      </c>
      <c r="X102" s="11" t="n">
        <f aca="false">0.5*Assumptions!$D$46*X48+0.5*Assumptions!$D$46*X50</f>
        <v>32000</v>
      </c>
      <c r="Y102" s="11" t="n">
        <f aca="false">0.5*Assumptions!$D$46*Y48+0.5*Assumptions!$D$46*Y50</f>
        <v>28000</v>
      </c>
      <c r="Z102" s="11" t="n">
        <f aca="false">0.5*Assumptions!$D$46*Z48+0.5*Assumptions!$D$46*Z50</f>
        <v>29333.3333333333</v>
      </c>
      <c r="AA102" s="11" t="n">
        <f aca="false">0.5*Assumptions!$D$46*AA48+0.5*Assumptions!$D$46*AA50</f>
        <v>30666.6666666667</v>
      </c>
      <c r="AB102" s="11" t="n">
        <f aca="false">0.5*Assumptions!$D$46*AB48+0.5*Assumptions!$D$46*AB50</f>
        <v>31333.3333333333</v>
      </c>
      <c r="AC102" s="11" t="n">
        <f aca="false">0.5*Assumptions!$D$46*AC48+0.5*Assumptions!$D$46*AC50</f>
        <v>21666.6666666667</v>
      </c>
      <c r="AD102" s="11" t="n">
        <f aca="false">0.5*Assumptions!$D$46*AD48+0.5*Assumptions!$D$46*AD50</f>
        <v>32333.3333333333</v>
      </c>
      <c r="AE102" s="11" t="n">
        <f aca="false">0.5*Assumptions!$D$46*AE48+0.5*Assumptions!$D$46*AE50</f>
        <v>38000</v>
      </c>
      <c r="AF102" s="11" t="n">
        <f aca="false">0.5*Assumptions!$D$46*AF48+0.5*Assumptions!$D$46*AF50</f>
        <v>60000</v>
      </c>
      <c r="AG102" s="11" t="n">
        <f aca="false">0.5*Assumptions!$D$46*AG48+0.5*Assumptions!$D$46*AG50</f>
        <v>63000</v>
      </c>
      <c r="AH102" s="11" t="n">
        <f aca="false">0.5*Assumptions!$D$46*AH48+0.5*Assumptions!$D$46*AH50</f>
        <v>81000</v>
      </c>
      <c r="AI102" s="11" t="n">
        <f aca="false">0.5*Assumptions!$D$46*AI48+0.5*Assumptions!$D$46*AI50</f>
        <v>81000</v>
      </c>
      <c r="AJ102" s="11" t="n">
        <f aca="false">0.5*Assumptions!$D$46*AJ48+0.5*Assumptions!$D$46*AJ50</f>
        <v>72000</v>
      </c>
      <c r="AK102" s="11" t="n">
        <f aca="false">0.5*Assumptions!$D$46*AK48+0.5*Assumptions!$D$46*AK50</f>
        <v>63000</v>
      </c>
      <c r="AL102" s="11" t="n">
        <f aca="false">0.5*Assumptions!$D$46*AL48+0.5*Assumptions!$D$46*AL50</f>
        <v>66000</v>
      </c>
      <c r="AM102" s="11" t="n">
        <f aca="false">0.5*Assumptions!$D$46*AM48+0.5*Assumptions!$D$46*AM50</f>
        <v>69000</v>
      </c>
    </row>
    <row r="103" customFormat="false" ht="15" hidden="false" customHeight="true" outlineLevel="0" collapsed="false">
      <c r="A103" s="5" t="s">
        <v>864</v>
      </c>
      <c r="B103" s="10" t="s">
        <v>64</v>
      </c>
      <c r="C103" s="12" t="n">
        <f aca="false">SUM(D103:AM103)</f>
        <v>996000</v>
      </c>
      <c r="D103" s="11" t="n">
        <f aca="false">Assumptions!$D$46/Assumptions!$D$208*D52</f>
        <v>0</v>
      </c>
      <c r="E103" s="11" t="n">
        <f aca="false">Assumptions!$D$46/Assumptions!$D$208*E52</f>
        <v>500</v>
      </c>
      <c r="F103" s="11" t="n">
        <f aca="false">Assumptions!$D$46/Assumptions!$D$208*F52</f>
        <v>916.666666666667</v>
      </c>
      <c r="G103" s="11" t="n">
        <f aca="false">Assumptions!$D$46/Assumptions!$D$208*G52</f>
        <v>1666.66666666667</v>
      </c>
      <c r="H103" s="11" t="n">
        <f aca="false">Assumptions!$D$46/Assumptions!$D$208*H52</f>
        <v>2500</v>
      </c>
      <c r="I103" s="11" t="n">
        <f aca="false">Assumptions!$D$46/Assumptions!$D$208*I52</f>
        <v>3166.66666666667</v>
      </c>
      <c r="J103" s="11" t="n">
        <f aca="false">Assumptions!$D$46/Assumptions!$D$208*J52</f>
        <v>4083.33333333333</v>
      </c>
      <c r="K103" s="11" t="n">
        <f aca="false">Assumptions!$D$46/Assumptions!$D$208*K52</f>
        <v>4833.33333333333</v>
      </c>
      <c r="L103" s="11" t="n">
        <f aca="false">Assumptions!$D$46/Assumptions!$D$208*L52</f>
        <v>5416.66666666667</v>
      </c>
      <c r="M103" s="11" t="n">
        <f aca="false">Assumptions!$D$46/Assumptions!$D$208*M52</f>
        <v>5083.33333333334</v>
      </c>
      <c r="N103" s="11" t="n">
        <f aca="false">Assumptions!$D$46/Assumptions!$D$208*N52</f>
        <v>4166.66666666667</v>
      </c>
      <c r="O103" s="11" t="n">
        <f aca="false">Assumptions!$D$46/Assumptions!$D$208*O52</f>
        <v>3000</v>
      </c>
      <c r="P103" s="11" t="n">
        <f aca="false">Assumptions!$D$46/Assumptions!$D$208*P52</f>
        <v>2083.33333333333</v>
      </c>
      <c r="Q103" s="11" t="n">
        <f aca="false">Assumptions!$D$46/Assumptions!$D$208*Q52</f>
        <v>5250</v>
      </c>
      <c r="R103" s="11" t="n">
        <f aca="false">Assumptions!$D$46/Assumptions!$D$208*R52</f>
        <v>8166.66666666666</v>
      </c>
      <c r="S103" s="11" t="n">
        <f aca="false">Assumptions!$D$46/Assumptions!$D$208*S52</f>
        <v>13833.3333333333</v>
      </c>
      <c r="T103" s="11" t="n">
        <f aca="false">Assumptions!$D$46/Assumptions!$D$208*T52</f>
        <v>20000</v>
      </c>
      <c r="U103" s="11" t="n">
        <f aca="false">Assumptions!$D$46/Assumptions!$D$208*U52</f>
        <v>25333.3333333333</v>
      </c>
      <c r="V103" s="11" t="n">
        <f aca="false">Assumptions!$D$46/Assumptions!$D$208*V52</f>
        <v>32666.6666666667</v>
      </c>
      <c r="W103" s="11" t="n">
        <f aca="false">Assumptions!$D$46/Assumptions!$D$208*W52</f>
        <v>38666.6666666667</v>
      </c>
      <c r="X103" s="11" t="n">
        <f aca="false">Assumptions!$D$46/Assumptions!$D$208*X52</f>
        <v>43333.3333333333</v>
      </c>
      <c r="Y103" s="11" t="n">
        <f aca="false">Assumptions!$D$46/Assumptions!$D$208*Y52</f>
        <v>40666.6666666667</v>
      </c>
      <c r="Z103" s="11" t="n">
        <f aca="false">Assumptions!$D$46/Assumptions!$D$208*Z52</f>
        <v>33333.3333333333</v>
      </c>
      <c r="AA103" s="11" t="n">
        <f aca="false">Assumptions!$D$46/Assumptions!$D$208*AA52</f>
        <v>24000</v>
      </c>
      <c r="AB103" s="11" t="n">
        <f aca="false">Assumptions!$D$46/Assumptions!$D$208*AB52</f>
        <v>16666.6666666667</v>
      </c>
      <c r="AC103" s="11" t="n">
        <f aca="false">Assumptions!$D$46/Assumptions!$D$208*AC52</f>
        <v>19000</v>
      </c>
      <c r="AD103" s="11" t="n">
        <f aca="false">Assumptions!$D$46/Assumptions!$D$208*AD52</f>
        <v>23166.6666666667</v>
      </c>
      <c r="AE103" s="11" t="n">
        <f aca="false">Assumptions!$D$46/Assumptions!$D$208*AE52</f>
        <v>34000</v>
      </c>
      <c r="AF103" s="11" t="n">
        <f aca="false">Assumptions!$D$46/Assumptions!$D$208*AF52</f>
        <v>45000</v>
      </c>
      <c r="AG103" s="11" t="n">
        <f aca="false">Assumptions!$D$46/Assumptions!$D$208*AG52</f>
        <v>57000</v>
      </c>
      <c r="AH103" s="11" t="n">
        <f aca="false">Assumptions!$D$46/Assumptions!$D$208*AH52</f>
        <v>73500</v>
      </c>
      <c r="AI103" s="11" t="n">
        <f aca="false">Assumptions!$D$46/Assumptions!$D$208*AI52</f>
        <v>87000</v>
      </c>
      <c r="AJ103" s="11" t="n">
        <f aca="false">Assumptions!$D$46/Assumptions!$D$208*AJ52</f>
        <v>97500</v>
      </c>
      <c r="AK103" s="11" t="n">
        <f aca="false">Assumptions!$D$46/Assumptions!$D$208*AK52</f>
        <v>91500</v>
      </c>
      <c r="AL103" s="11" t="n">
        <f aca="false">Assumptions!$D$46/Assumptions!$D$208*AL52</f>
        <v>75000</v>
      </c>
      <c r="AM103" s="11" t="n">
        <f aca="false">Assumptions!$D$46/Assumptions!$D$208*AM52</f>
        <v>54000</v>
      </c>
    </row>
    <row r="104" customFormat="false" ht="15" hidden="false" customHeight="true" outlineLevel="0" collapsed="false">
      <c r="A104" s="5" t="s">
        <v>865</v>
      </c>
      <c r="B104" s="10" t="s">
        <v>64</v>
      </c>
      <c r="C104" s="12" t="n">
        <f aca="false">SUM(D104:AM104)</f>
        <v>1170000</v>
      </c>
      <c r="D104" s="11" t="n">
        <f aca="false">0.5*Assumptions!$D$56*D54+0.5*Assumptions!$D$56*D56</f>
        <v>0</v>
      </c>
      <c r="E104" s="11" t="n">
        <f aca="false">0.5*Assumptions!$D$56*E54+0.5*Assumptions!$D$56*E56</f>
        <v>0</v>
      </c>
      <c r="F104" s="11" t="n">
        <f aca="false">0.5*Assumptions!$D$56*F54+0.5*Assumptions!$D$56*F56</f>
        <v>0</v>
      </c>
      <c r="G104" s="11" t="n">
        <f aca="false">0.5*Assumptions!$D$56*G54+0.5*Assumptions!$D$56*G56</f>
        <v>0</v>
      </c>
      <c r="H104" s="11" t="n">
        <f aca="false">0.5*Assumptions!$D$56*H54+0.5*Assumptions!$D$56*H56</f>
        <v>0</v>
      </c>
      <c r="I104" s="11" t="n">
        <f aca="false">0.5*Assumptions!$D$56*I54+0.5*Assumptions!$D$56*I56</f>
        <v>0</v>
      </c>
      <c r="J104" s="11" t="n">
        <f aca="false">0.5*Assumptions!$D$56*J54+0.5*Assumptions!$D$56*J56</f>
        <v>0</v>
      </c>
      <c r="K104" s="11" t="n">
        <f aca="false">0.5*Assumptions!$D$56*K54+0.5*Assumptions!$D$56*K56</f>
        <v>0</v>
      </c>
      <c r="L104" s="11" t="n">
        <f aca="false">0.5*Assumptions!$D$56*L54+0.5*Assumptions!$D$56*L56</f>
        <v>0</v>
      </c>
      <c r="M104" s="11" t="n">
        <f aca="false">0.5*Assumptions!$D$56*M54+0.5*Assumptions!$D$56*M56</f>
        <v>0</v>
      </c>
      <c r="N104" s="11" t="n">
        <f aca="false">0.5*Assumptions!$D$56*N54+0.5*Assumptions!$D$56*N56</f>
        <v>0</v>
      </c>
      <c r="O104" s="11" t="n">
        <f aca="false">0.5*Assumptions!$D$56*O54+0.5*Assumptions!$D$56*O56</f>
        <v>0</v>
      </c>
      <c r="P104" s="11" t="n">
        <f aca="false">0.5*Assumptions!$D$56*P54+0.5*Assumptions!$D$56*P56</f>
        <v>9000</v>
      </c>
      <c r="Q104" s="11" t="n">
        <f aca="false">0.5*Assumptions!$D$56*Q54+0.5*Assumptions!$D$56*Q56</f>
        <v>7500</v>
      </c>
      <c r="R104" s="11" t="n">
        <f aca="false">0.5*Assumptions!$D$56*R54+0.5*Assumptions!$D$56*R56</f>
        <v>13500</v>
      </c>
      <c r="S104" s="11" t="n">
        <f aca="false">0.5*Assumptions!$D$56*S54+0.5*Assumptions!$D$56*S56</f>
        <v>15000</v>
      </c>
      <c r="T104" s="11" t="n">
        <f aca="false">0.5*Assumptions!$D$56*T54+0.5*Assumptions!$D$56*T56</f>
        <v>21000</v>
      </c>
      <c r="U104" s="11" t="n">
        <f aca="false">0.5*Assumptions!$D$56*U54+0.5*Assumptions!$D$56*U56</f>
        <v>24000</v>
      </c>
      <c r="V104" s="11" t="n">
        <f aca="false">0.5*Assumptions!$D$56*V54+0.5*Assumptions!$D$56*V56</f>
        <v>36000</v>
      </c>
      <c r="W104" s="11" t="n">
        <f aca="false">0.5*Assumptions!$D$56*W54+0.5*Assumptions!$D$56*W56</f>
        <v>33000</v>
      </c>
      <c r="X104" s="11" t="n">
        <f aca="false">0.5*Assumptions!$D$56*X54+0.5*Assumptions!$D$56*X56</f>
        <v>28500</v>
      </c>
      <c r="Y104" s="11" t="n">
        <f aca="false">0.5*Assumptions!$D$56*Y54+0.5*Assumptions!$D$56*Y56</f>
        <v>22500</v>
      </c>
      <c r="Z104" s="11" t="n">
        <f aca="false">0.5*Assumptions!$D$56*Z54+0.5*Assumptions!$D$56*Z56</f>
        <v>27000</v>
      </c>
      <c r="AA104" s="11" t="n">
        <f aca="false">0.5*Assumptions!$D$56*AA54+0.5*Assumptions!$D$56*AA56</f>
        <v>33000</v>
      </c>
      <c r="AB104" s="11" t="n">
        <f aca="false">0.5*Assumptions!$D$56*AB54+0.5*Assumptions!$D$56*AB56</f>
        <v>54000</v>
      </c>
      <c r="AC104" s="11" t="n">
        <f aca="false">0.5*Assumptions!$D$56*AC54+0.5*Assumptions!$D$56*AC56</f>
        <v>48000</v>
      </c>
      <c r="AD104" s="11" t="n">
        <f aca="false">0.5*Assumptions!$D$56*AD54+0.5*Assumptions!$D$56*AD56</f>
        <v>55500</v>
      </c>
      <c r="AE104" s="11" t="n">
        <f aca="false">0.5*Assumptions!$D$56*AE54+0.5*Assumptions!$D$56*AE56</f>
        <v>52500</v>
      </c>
      <c r="AF104" s="11" t="n">
        <f aca="false">0.5*Assumptions!$D$56*AF54+0.5*Assumptions!$D$56*AF56</f>
        <v>69000</v>
      </c>
      <c r="AG104" s="11" t="n">
        <f aca="false">0.5*Assumptions!$D$56*AG54+0.5*Assumptions!$D$56*AG56</f>
        <v>81000</v>
      </c>
      <c r="AH104" s="11" t="n">
        <f aca="false">0.5*Assumptions!$D$56*AH54+0.5*Assumptions!$D$56*AH56</f>
        <v>108000</v>
      </c>
      <c r="AI104" s="11" t="n">
        <f aca="false">0.5*Assumptions!$D$56*AI54+0.5*Assumptions!$D$56*AI56</f>
        <v>99000</v>
      </c>
      <c r="AJ104" s="11" t="n">
        <f aca="false">0.5*Assumptions!$D$56*AJ54+0.5*Assumptions!$D$56*AJ56</f>
        <v>85500</v>
      </c>
      <c r="AK104" s="11" t="n">
        <f aca="false">0.5*Assumptions!$D$56*AK54+0.5*Assumptions!$D$56*AK56</f>
        <v>67500</v>
      </c>
      <c r="AL104" s="11" t="n">
        <f aca="false">0.5*Assumptions!$D$56*AL54+0.5*Assumptions!$D$56*AL56</f>
        <v>81000</v>
      </c>
      <c r="AM104" s="11" t="n">
        <f aca="false">0.5*Assumptions!$D$56*AM54+0.5*Assumptions!$D$56*AM56</f>
        <v>99000</v>
      </c>
    </row>
    <row r="105" customFormat="false" ht="15" hidden="false" customHeight="true" outlineLevel="0" collapsed="false">
      <c r="A105" s="5" t="s">
        <v>866</v>
      </c>
      <c r="B105" s="10" t="s">
        <v>64</v>
      </c>
      <c r="C105" s="12" t="n">
        <f aca="false">SUM(D105:AM105)</f>
        <v>1203000</v>
      </c>
      <c r="D105" s="11" t="n">
        <f aca="false">Assumptions!$D$56/Assumptions!$D$209*D58</f>
        <v>0</v>
      </c>
      <c r="E105" s="11" t="n">
        <f aca="false">Assumptions!$D$56/Assumptions!$D$209*E58</f>
        <v>0</v>
      </c>
      <c r="F105" s="11" t="n">
        <f aca="false">Assumptions!$D$56/Assumptions!$D$209*F58</f>
        <v>0</v>
      </c>
      <c r="G105" s="11" t="n">
        <f aca="false">Assumptions!$D$56/Assumptions!$D$209*G58</f>
        <v>0</v>
      </c>
      <c r="H105" s="11" t="n">
        <f aca="false">Assumptions!$D$56/Assumptions!$D$209*H58</f>
        <v>0</v>
      </c>
      <c r="I105" s="11" t="n">
        <f aca="false">Assumptions!$D$56/Assumptions!$D$209*I58</f>
        <v>0</v>
      </c>
      <c r="J105" s="11" t="n">
        <f aca="false">Assumptions!$D$56/Assumptions!$D$209*J58</f>
        <v>0</v>
      </c>
      <c r="K105" s="11" t="n">
        <f aca="false">Assumptions!$D$56/Assumptions!$D$209*K58</f>
        <v>0</v>
      </c>
      <c r="L105" s="11" t="n">
        <f aca="false">Assumptions!$D$56/Assumptions!$D$209*L58</f>
        <v>0</v>
      </c>
      <c r="M105" s="11" t="n">
        <f aca="false">Assumptions!$D$56/Assumptions!$D$209*M58</f>
        <v>0</v>
      </c>
      <c r="N105" s="11" t="n">
        <f aca="false">Assumptions!$D$56/Assumptions!$D$209*N58</f>
        <v>0</v>
      </c>
      <c r="O105" s="11" t="n">
        <f aca="false">Assumptions!$D$56/Assumptions!$D$209*O58</f>
        <v>0</v>
      </c>
      <c r="P105" s="11" t="n">
        <f aca="false">Assumptions!$D$56/Assumptions!$D$209*P58</f>
        <v>0</v>
      </c>
      <c r="Q105" s="11" t="n">
        <f aca="false">Assumptions!$D$56/Assumptions!$D$209*Q58</f>
        <v>3000</v>
      </c>
      <c r="R105" s="11" t="n">
        <f aca="false">Assumptions!$D$56/Assumptions!$D$209*R58</f>
        <v>5500</v>
      </c>
      <c r="S105" s="11" t="n">
        <f aca="false">Assumptions!$D$56/Assumptions!$D$209*S58</f>
        <v>10000</v>
      </c>
      <c r="T105" s="11" t="n">
        <f aca="false">Assumptions!$D$56/Assumptions!$D$209*T58</f>
        <v>15000</v>
      </c>
      <c r="U105" s="11" t="n">
        <f aca="false">Assumptions!$D$56/Assumptions!$D$209*U58</f>
        <v>22000</v>
      </c>
      <c r="V105" s="11" t="n">
        <f aca="false">Assumptions!$D$56/Assumptions!$D$209*V58</f>
        <v>30000</v>
      </c>
      <c r="W105" s="11" t="n">
        <f aca="false">Assumptions!$D$56/Assumptions!$D$209*W58</f>
        <v>36000</v>
      </c>
      <c r="X105" s="11" t="n">
        <f aca="false">Assumptions!$D$56/Assumptions!$D$209*X58</f>
        <v>42000</v>
      </c>
      <c r="Y105" s="11" t="n">
        <f aca="false">Assumptions!$D$56/Assumptions!$D$209*Y58</f>
        <v>42500</v>
      </c>
      <c r="Z105" s="11" t="n">
        <f aca="false">Assumptions!$D$56/Assumptions!$D$209*Z58</f>
        <v>40000</v>
      </c>
      <c r="AA105" s="11" t="n">
        <f aca="false">Assumptions!$D$56/Assumptions!$D$209*AA58</f>
        <v>35000</v>
      </c>
      <c r="AB105" s="11" t="n">
        <f aca="false">Assumptions!$D$56/Assumptions!$D$209*AB58</f>
        <v>30000</v>
      </c>
      <c r="AC105" s="11" t="n">
        <f aca="false">Assumptions!$D$56/Assumptions!$D$209*AC58</f>
        <v>30000</v>
      </c>
      <c r="AD105" s="11" t="n">
        <f aca="false">Assumptions!$D$56/Assumptions!$D$209*AD58</f>
        <v>29000</v>
      </c>
      <c r="AE105" s="11" t="n">
        <f aca="false">Assumptions!$D$56/Assumptions!$D$209*AE58</f>
        <v>37500</v>
      </c>
      <c r="AF105" s="11" t="n">
        <f aca="false">Assumptions!$D$56/Assumptions!$D$209*AF58</f>
        <v>50000</v>
      </c>
      <c r="AG105" s="11" t="n">
        <f aca="false">Assumptions!$D$56/Assumptions!$D$209*AG58</f>
        <v>69000</v>
      </c>
      <c r="AH105" s="11" t="n">
        <f aca="false">Assumptions!$D$56/Assumptions!$D$209*AH58</f>
        <v>90000</v>
      </c>
      <c r="AI105" s="11" t="n">
        <f aca="false">Assumptions!$D$56/Assumptions!$D$209*AI58</f>
        <v>108000</v>
      </c>
      <c r="AJ105" s="11" t="n">
        <f aca="false">Assumptions!$D$56/Assumptions!$D$209*AJ58</f>
        <v>126000</v>
      </c>
      <c r="AK105" s="11" t="n">
        <f aca="false">Assumptions!$D$56/Assumptions!$D$209*AK58</f>
        <v>127500</v>
      </c>
      <c r="AL105" s="11" t="n">
        <f aca="false">Assumptions!$D$56/Assumptions!$D$209*AL58</f>
        <v>120000</v>
      </c>
      <c r="AM105" s="11" t="n">
        <f aca="false">Assumptions!$D$56/Assumptions!$D$209*AM58</f>
        <v>105000</v>
      </c>
    </row>
    <row r="106" customFormat="false" ht="15" hidden="false" customHeight="true" outlineLevel="0" collapsed="false">
      <c r="A106" s="13" t="s">
        <v>867</v>
      </c>
      <c r="B106" s="14" t="s">
        <v>64</v>
      </c>
      <c r="C106" s="15" t="n">
        <f aca="false">SUM(D106:AM106)</f>
        <v>2586250</v>
      </c>
      <c r="D106" s="15" t="n">
        <f aca="false">D100+D102+D104</f>
        <v>2500</v>
      </c>
      <c r="E106" s="15" t="n">
        <f aca="false">E100+E102+E104</f>
        <v>2083.33333333333</v>
      </c>
      <c r="F106" s="15" t="n">
        <f aca="false">F100+F102+F104</f>
        <v>5250</v>
      </c>
      <c r="G106" s="15" t="n">
        <f aca="false">G100+G102+G104</f>
        <v>5416.66666666667</v>
      </c>
      <c r="H106" s="15" t="n">
        <f aca="false">H100+H102+H104</f>
        <v>9083.33333333333</v>
      </c>
      <c r="I106" s="15" t="n">
        <f aca="false">I100+I102+I104</f>
        <v>10000</v>
      </c>
      <c r="J106" s="15" t="n">
        <f aca="false">J100+J102+J104</f>
        <v>12500</v>
      </c>
      <c r="K106" s="15" t="n">
        <f aca="false">K100+K102+K104</f>
        <v>12750</v>
      </c>
      <c r="L106" s="15" t="n">
        <f aca="false">L100+L102+L104</f>
        <v>11000</v>
      </c>
      <c r="M106" s="15" t="n">
        <f aca="false">M100+M102+M104</f>
        <v>9000</v>
      </c>
      <c r="N106" s="15" t="n">
        <f aca="false">N100+N102+N104</f>
        <v>7166.66666666667</v>
      </c>
      <c r="O106" s="15" t="n">
        <f aca="false">O100+O102+O104</f>
        <v>6583.33333333333</v>
      </c>
      <c r="P106" s="15" t="n">
        <f aca="false">P100+P102+P104</f>
        <v>23416.6666666667</v>
      </c>
      <c r="Q106" s="15" t="n">
        <f aca="false">Q100+Q102+Q104</f>
        <v>19625</v>
      </c>
      <c r="R106" s="15" t="n">
        <f aca="false">R100+R102+R104</f>
        <v>35541.6666666667</v>
      </c>
      <c r="S106" s="15" t="n">
        <f aca="false">S100+S102+S104</f>
        <v>38708.3333333333</v>
      </c>
      <c r="T106" s="15" t="n">
        <f aca="false">T100+T102+T104</f>
        <v>62041.6666666667</v>
      </c>
      <c r="U106" s="15" t="n">
        <f aca="false">U100+U102+U104</f>
        <v>68250</v>
      </c>
      <c r="V106" s="15" t="n">
        <f aca="false">V100+V102+V104</f>
        <v>92000</v>
      </c>
      <c r="W106" s="15" t="n">
        <f aca="false">W100+W102+W104</f>
        <v>89625</v>
      </c>
      <c r="X106" s="15" t="n">
        <f aca="false">X100+X102+X104</f>
        <v>78000</v>
      </c>
      <c r="Y106" s="15" t="n">
        <f aca="false">Y100+Y102+Y104</f>
        <v>64250</v>
      </c>
      <c r="Z106" s="15" t="n">
        <f aca="false">Z100+Z102+Z104</f>
        <v>65083.3333333333</v>
      </c>
      <c r="AA106" s="15" t="n">
        <f aca="false">AA100+AA102+AA104</f>
        <v>70541.6666666667</v>
      </c>
      <c r="AB106" s="15" t="n">
        <f aca="false">AB100+AB102+AB104</f>
        <v>93083.3333333333</v>
      </c>
      <c r="AC106" s="15" t="n">
        <f aca="false">AC100+AC102+AC104</f>
        <v>77791.6666666667</v>
      </c>
      <c r="AD106" s="15" t="n">
        <f aca="false">AD100+AD102+AD104</f>
        <v>100958.333333333</v>
      </c>
      <c r="AE106" s="15" t="n">
        <f aca="false">AE100+AE102+AE104</f>
        <v>103625</v>
      </c>
      <c r="AF106" s="15" t="n">
        <f aca="false">AF100+AF102+AF104</f>
        <v>149125</v>
      </c>
      <c r="AG106" s="15" t="n">
        <f aca="false">AG100+AG102+AG104</f>
        <v>166750</v>
      </c>
      <c r="AH106" s="15" t="n">
        <f aca="false">AH100+AH102+AH104</f>
        <v>217000</v>
      </c>
      <c r="AI106" s="15" t="n">
        <f aca="false">AI100+AI102+AI104</f>
        <v>208875</v>
      </c>
      <c r="AJ106" s="15" t="n">
        <f aca="false">AJ100+AJ102+AJ104</f>
        <v>182000</v>
      </c>
      <c r="AK106" s="15" t="n">
        <f aca="false">AK100+AK102+AK104</f>
        <v>149750</v>
      </c>
      <c r="AL106" s="15" t="n">
        <f aca="false">AL100+AL102+AL104</f>
        <v>159250</v>
      </c>
      <c r="AM106" s="15" t="n">
        <f aca="false">AM100+AM102+AM104</f>
        <v>177625</v>
      </c>
    </row>
    <row r="107" customFormat="false" ht="15" hidden="false" customHeight="true" outlineLevel="0" collapsed="false">
      <c r="A107" s="13" t="s">
        <v>868</v>
      </c>
      <c r="B107" s="14" t="s">
        <v>64</v>
      </c>
      <c r="C107" s="15" t="n">
        <f aca="false">SUM(D107:AM107)</f>
        <v>2605000</v>
      </c>
      <c r="D107" s="15" t="n">
        <f aca="false">D101+D103+D105</f>
        <v>0</v>
      </c>
      <c r="E107" s="15" t="n">
        <f aca="false">E101+E103+E105</f>
        <v>2000</v>
      </c>
      <c r="F107" s="15" t="n">
        <f aca="false">F101+F103+F105</f>
        <v>3666.66666666667</v>
      </c>
      <c r="G107" s="15" t="n">
        <f aca="false">G101+G103+G105</f>
        <v>5166.66666666667</v>
      </c>
      <c r="H107" s="15" t="n">
        <f aca="false">H101+H103+H105</f>
        <v>7250</v>
      </c>
      <c r="I107" s="15" t="n">
        <f aca="false">I101+I103+I105</f>
        <v>9166.66666666667</v>
      </c>
      <c r="J107" s="15" t="n">
        <f aca="false">J101+J103+J105</f>
        <v>11583.3333333333</v>
      </c>
      <c r="K107" s="15" t="n">
        <f aca="false">K101+K103+K105</f>
        <v>13333.3333333333</v>
      </c>
      <c r="L107" s="15" t="n">
        <f aca="false">L101+L103+L105</f>
        <v>14166.6666666667</v>
      </c>
      <c r="M107" s="15" t="n">
        <f aca="false">M101+M103+M105</f>
        <v>11833.3333333333</v>
      </c>
      <c r="N107" s="15" t="n">
        <f aca="false">N101+N103+N105</f>
        <v>7916.66666666667</v>
      </c>
      <c r="O107" s="15" t="n">
        <f aca="false">O101+O103+O105</f>
        <v>5250</v>
      </c>
      <c r="P107" s="15" t="n">
        <f aca="false">P101+P103+P105</f>
        <v>4583.33333333333</v>
      </c>
      <c r="Q107" s="15" t="n">
        <f aca="false">Q101+Q103+Q105</f>
        <v>13500</v>
      </c>
      <c r="R107" s="15" t="n">
        <f aca="false">R101+R103+R105</f>
        <v>20541.6666666667</v>
      </c>
      <c r="S107" s="15" t="n">
        <f aca="false">S101+S103+S105</f>
        <v>32583.3333333333</v>
      </c>
      <c r="T107" s="15" t="n">
        <f aca="false">T101+T103+T105</f>
        <v>46875</v>
      </c>
      <c r="U107" s="15" t="n">
        <f aca="false">U101+U103+U105</f>
        <v>62333.3333333333</v>
      </c>
      <c r="V107" s="15" t="n">
        <f aca="false">V101+V103+V105</f>
        <v>81416.6666666667</v>
      </c>
      <c r="W107" s="15" t="n">
        <f aca="false">W101+W103+W105</f>
        <v>95916.6666666667</v>
      </c>
      <c r="X107" s="15" t="n">
        <f aca="false">X101+X103+X105</f>
        <v>107208.333333333</v>
      </c>
      <c r="Y107" s="15" t="n">
        <f aca="false">Y101+Y103+Y105</f>
        <v>100041.666666667</v>
      </c>
      <c r="Z107" s="15" t="n">
        <f aca="false">Z101+Z103+Z105</f>
        <v>82708.3333333333</v>
      </c>
      <c r="AA107" s="15" t="n">
        <f aca="false">AA101+AA103+AA105</f>
        <v>64625</v>
      </c>
      <c r="AB107" s="15" t="n">
        <f aca="false">AB101+AB103+AB105</f>
        <v>52916.6666666667</v>
      </c>
      <c r="AC107" s="15" t="n">
        <f aca="false">AC101+AC103+AC105</f>
        <v>58000</v>
      </c>
      <c r="AD107" s="15" t="n">
        <f aca="false">AD101+AD103+AD105</f>
        <v>61791.6666666667</v>
      </c>
      <c r="AE107" s="15" t="n">
        <f aca="false">AE101+AE103+AE105</f>
        <v>83750</v>
      </c>
      <c r="AF107" s="15" t="n">
        <f aca="false">AF101+AF103+AF105</f>
        <v>111625</v>
      </c>
      <c r="AG107" s="15" t="n">
        <f aca="false">AG101+AG103+AG105</f>
        <v>147000</v>
      </c>
      <c r="AH107" s="15" t="n">
        <f aca="false">AH101+AH103+AH105</f>
        <v>189750</v>
      </c>
      <c r="AI107" s="15" t="n">
        <f aca="false">AI101+AI103+AI105</f>
        <v>224750</v>
      </c>
      <c r="AJ107" s="15" t="n">
        <f aca="false">AJ101+AJ103+AJ105</f>
        <v>254125</v>
      </c>
      <c r="AK107" s="15" t="n">
        <f aca="false">AK101+AK103+AK105</f>
        <v>242625</v>
      </c>
      <c r="AL107" s="15" t="n">
        <f aca="false">AL101+AL103+AL105</f>
        <v>208125</v>
      </c>
      <c r="AM107" s="15" t="n">
        <f aca="false">AM101+AM103+AM105</f>
        <v>166875</v>
      </c>
    </row>
    <row r="108" customFormat="false" ht="15" hidden="false" customHeight="true" outlineLevel="0" collapsed="false">
      <c r="A108" s="5" t="s">
        <v>869</v>
      </c>
      <c r="B108" s="10" t="s">
        <v>64</v>
      </c>
      <c r="C108" s="12" t="n">
        <f aca="false">AM108</f>
        <v>-18750</v>
      </c>
      <c r="D108" s="11" t="n">
        <f aca="false">0+D106-D107</f>
        <v>2500</v>
      </c>
      <c r="E108" s="11" t="n">
        <f aca="false">D108+E106-E107</f>
        <v>2583.33333333333</v>
      </c>
      <c r="F108" s="11" t="n">
        <f aca="false">E108+F106-F107</f>
        <v>4166.66666666667</v>
      </c>
      <c r="G108" s="11" t="n">
        <f aca="false">F108+G106-G107</f>
        <v>4416.66666666667</v>
      </c>
      <c r="H108" s="11" t="n">
        <f aca="false">G108+H106-H107</f>
        <v>6250</v>
      </c>
      <c r="I108" s="11" t="n">
        <f aca="false">H108+I106-I107</f>
        <v>7083.33333333333</v>
      </c>
      <c r="J108" s="11" t="n">
        <f aca="false">I108+J106-J107</f>
        <v>8000</v>
      </c>
      <c r="K108" s="11" t="n">
        <f aca="false">J108+K106-K107</f>
        <v>7416.66666666666</v>
      </c>
      <c r="L108" s="11" t="n">
        <f aca="false">K108+L106-L107</f>
        <v>4250</v>
      </c>
      <c r="M108" s="11" t="n">
        <f aca="false">L108+M106-M107</f>
        <v>1416.66666666666</v>
      </c>
      <c r="N108" s="11" t="n">
        <f aca="false">M108+N106-N107</f>
        <v>666.666666666658</v>
      </c>
      <c r="O108" s="11" t="n">
        <f aca="false">N108+O106-O107</f>
        <v>1999.99999999999</v>
      </c>
      <c r="P108" s="11" t="n">
        <f aca="false">O108+P106-P107</f>
        <v>20833.3333333333</v>
      </c>
      <c r="Q108" s="11" t="n">
        <f aca="false">P108+Q106-Q107</f>
        <v>26958.3333333333</v>
      </c>
      <c r="R108" s="11" t="n">
        <f aca="false">Q108+R106-R107</f>
        <v>41958.3333333333</v>
      </c>
      <c r="S108" s="11" t="n">
        <f aca="false">R108+S106-S107</f>
        <v>48083.3333333333</v>
      </c>
      <c r="T108" s="11" t="n">
        <f aca="false">S108+T106-T107</f>
        <v>63250</v>
      </c>
      <c r="U108" s="11" t="n">
        <f aca="false">T108+U106-U107</f>
        <v>69166.6666666667</v>
      </c>
      <c r="V108" s="11" t="n">
        <f aca="false">U108+V106-V107</f>
        <v>79750</v>
      </c>
      <c r="W108" s="11" t="n">
        <f aca="false">V108+W106-W107</f>
        <v>73458.3333333334</v>
      </c>
      <c r="X108" s="11" t="n">
        <f aca="false">W108+X106-X107</f>
        <v>44250.0000000001</v>
      </c>
      <c r="Y108" s="11" t="n">
        <f aca="false">X108+Y106-Y107</f>
        <v>8458.3333333334</v>
      </c>
      <c r="Z108" s="11" t="n">
        <f aca="false">Y108+Z106-Z107</f>
        <v>-9166.6666666666</v>
      </c>
      <c r="AA108" s="11" t="n">
        <f aca="false">Z108+AA106-AA107</f>
        <v>-3249.99999999994</v>
      </c>
      <c r="AB108" s="11" t="n">
        <f aca="false">AA108+AB106-AB107</f>
        <v>36916.6666666667</v>
      </c>
      <c r="AC108" s="11" t="n">
        <f aca="false">AB108+AC106-AC107</f>
        <v>56708.3333333334</v>
      </c>
      <c r="AD108" s="11" t="n">
        <f aca="false">AC108+AD106-AD107</f>
        <v>95875</v>
      </c>
      <c r="AE108" s="11" t="n">
        <f aca="false">AD108+AE106-AE107</f>
        <v>115750</v>
      </c>
      <c r="AF108" s="11" t="n">
        <f aca="false">AE108+AF106-AF107</f>
        <v>153250</v>
      </c>
      <c r="AG108" s="11" t="n">
        <f aca="false">AF108+AG106-AG107</f>
        <v>173000</v>
      </c>
      <c r="AH108" s="11" t="n">
        <f aca="false">AG108+AH106-AH107</f>
        <v>200250</v>
      </c>
      <c r="AI108" s="11" t="n">
        <f aca="false">AH108+AI106-AI107</f>
        <v>184375</v>
      </c>
      <c r="AJ108" s="11" t="n">
        <f aca="false">AI108+AJ106-AJ107</f>
        <v>112250</v>
      </c>
      <c r="AK108" s="11" t="n">
        <f aca="false">AJ108+AK106-AK107</f>
        <v>19375</v>
      </c>
      <c r="AL108" s="11" t="n">
        <f aca="false">AK108+AL106-AL107</f>
        <v>-29500</v>
      </c>
      <c r="AM108" s="11" t="n">
        <f aca="false">AL108+AM106-AM107</f>
        <v>-18750</v>
      </c>
    </row>
    <row r="110" customFormat="false" ht="15" hidden="false" customHeight="true" outlineLevel="0" collapsed="false">
      <c r="A110" s="8" t="s">
        <v>870</v>
      </c>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row>
    <row r="111" customFormat="false" ht="15" hidden="false" customHeight="true" outlineLevel="0" collapsed="false">
      <c r="A111" s="5" t="s">
        <v>871</v>
      </c>
      <c r="B111" s="10" t="s">
        <v>100</v>
      </c>
      <c r="C111" s="57" t="n">
        <f aca="false">SUM(D111:AM111)</f>
        <v>240</v>
      </c>
      <c r="D111" s="53" t="n">
        <f aca="false">IF(D$3&gt;=Assumptions!$D$75,INDEX(Assumptions!$D$76:$F$76,1,D$5)/12*Scenario_Control!$M$22,0)</f>
        <v>0</v>
      </c>
      <c r="E111" s="53" t="n">
        <f aca="false">IF(E$3&gt;=Assumptions!$D$75,INDEX(Assumptions!$D$76:$F$76,1,E$5)/12*Scenario_Control!$M$22,0)</f>
        <v>0</v>
      </c>
      <c r="F111" s="53" t="n">
        <f aca="false">IF(F$3&gt;=Assumptions!$D$75,INDEX(Assumptions!$D$76:$F$76,1,F$5)/12*Scenario_Control!$M$22,0)</f>
        <v>0</v>
      </c>
      <c r="G111" s="53" t="n">
        <f aca="false">IF(G$3&gt;=Assumptions!$D$75,INDEX(Assumptions!$D$76:$F$76,1,G$5)/12*Scenario_Control!$M$22,0)</f>
        <v>0</v>
      </c>
      <c r="H111" s="53" t="n">
        <f aca="false">IF(H$3&gt;=Assumptions!$D$75,INDEX(Assumptions!$D$76:$F$76,1,H$5)/12*Scenario_Control!$M$22,0)</f>
        <v>0</v>
      </c>
      <c r="I111" s="53" t="n">
        <f aca="false">IF(I$3&gt;=Assumptions!$D$75,INDEX(Assumptions!$D$76:$F$76,1,I$5)/12*Scenario_Control!$M$22,0)</f>
        <v>0</v>
      </c>
      <c r="J111" s="53" t="n">
        <f aca="false">IF(J$3&gt;=Assumptions!$D$75,INDEX(Assumptions!$D$76:$F$76,1,J$5)/12*Scenario_Control!$M$22,0)</f>
        <v>0</v>
      </c>
      <c r="K111" s="53" t="n">
        <f aca="false">IF(K$3&gt;=Assumptions!$D$75,INDEX(Assumptions!$D$76:$F$76,1,K$5)/12*Scenario_Control!$M$22,0)</f>
        <v>0</v>
      </c>
      <c r="L111" s="53" t="n">
        <f aca="false">IF(L$3&gt;=Assumptions!$D$75,INDEX(Assumptions!$D$76:$F$76,1,L$5)/12*Scenario_Control!$M$22,0)</f>
        <v>0</v>
      </c>
      <c r="M111" s="53" t="n">
        <f aca="false">IF(M$3&gt;=Assumptions!$D$75,INDEX(Assumptions!$D$76:$F$76,1,M$5)/12*Scenario_Control!$M$22,0)</f>
        <v>0</v>
      </c>
      <c r="N111" s="53" t="n">
        <f aca="false">IF(N$3&gt;=Assumptions!$D$75,INDEX(Assumptions!$D$76:$F$76,1,N$5)/12*Scenario_Control!$M$22,0)</f>
        <v>0</v>
      </c>
      <c r="O111" s="53" t="n">
        <f aca="false">IF(O$3&gt;=Assumptions!$D$75,INDEX(Assumptions!$D$76:$F$76,1,O$5)/12*Scenario_Control!$M$22,0)</f>
        <v>0</v>
      </c>
      <c r="P111" s="53" t="n">
        <f aca="false">IF(P$3&gt;=Assumptions!$D$75,INDEX(Assumptions!$D$76:$F$76,1,P$5)/12*Scenario_Control!$M$22,0)</f>
        <v>5</v>
      </c>
      <c r="Q111" s="53" t="n">
        <f aca="false">IF(Q$3&gt;=Assumptions!$D$75,INDEX(Assumptions!$D$76:$F$76,1,Q$5)/12*Scenario_Control!$M$22,0)</f>
        <v>5</v>
      </c>
      <c r="R111" s="53" t="n">
        <f aca="false">IF(R$3&gt;=Assumptions!$D$75,INDEX(Assumptions!$D$76:$F$76,1,R$5)/12*Scenario_Control!$M$22,0)</f>
        <v>5</v>
      </c>
      <c r="S111" s="53" t="n">
        <f aca="false">IF(S$3&gt;=Assumptions!$D$75,INDEX(Assumptions!$D$76:$F$76,1,S$5)/12*Scenario_Control!$M$22,0)</f>
        <v>5</v>
      </c>
      <c r="T111" s="53" t="n">
        <f aca="false">IF(T$3&gt;=Assumptions!$D$75,INDEX(Assumptions!$D$76:$F$76,1,T$5)/12*Scenario_Control!$M$22,0)</f>
        <v>5</v>
      </c>
      <c r="U111" s="53" t="n">
        <f aca="false">IF(U$3&gt;=Assumptions!$D$75,INDEX(Assumptions!$D$76:$F$76,1,U$5)/12*Scenario_Control!$M$22,0)</f>
        <v>5</v>
      </c>
      <c r="V111" s="53" t="n">
        <f aca="false">IF(V$3&gt;=Assumptions!$D$75,INDEX(Assumptions!$D$76:$F$76,1,V$5)/12*Scenario_Control!$M$22,0)</f>
        <v>5</v>
      </c>
      <c r="W111" s="53" t="n">
        <f aca="false">IF(W$3&gt;=Assumptions!$D$75,INDEX(Assumptions!$D$76:$F$76,1,W$5)/12*Scenario_Control!$M$22,0)</f>
        <v>5</v>
      </c>
      <c r="X111" s="53" t="n">
        <f aca="false">IF(X$3&gt;=Assumptions!$D$75,INDEX(Assumptions!$D$76:$F$76,1,X$5)/12*Scenario_Control!$M$22,0)</f>
        <v>5</v>
      </c>
      <c r="Y111" s="53" t="n">
        <f aca="false">IF(Y$3&gt;=Assumptions!$D$75,INDEX(Assumptions!$D$76:$F$76,1,Y$5)/12*Scenario_Control!$M$22,0)</f>
        <v>5</v>
      </c>
      <c r="Z111" s="53" t="n">
        <f aca="false">IF(Z$3&gt;=Assumptions!$D$75,INDEX(Assumptions!$D$76:$F$76,1,Z$5)/12*Scenario_Control!$M$22,0)</f>
        <v>5</v>
      </c>
      <c r="AA111" s="53" t="n">
        <f aca="false">IF(AA$3&gt;=Assumptions!$D$75,INDEX(Assumptions!$D$76:$F$76,1,AA$5)/12*Scenario_Control!$M$22,0)</f>
        <v>5</v>
      </c>
      <c r="AB111" s="53" t="n">
        <f aca="false">IF(AB$3&gt;=Assumptions!$D$75,INDEX(Assumptions!$D$76:$F$76,1,AB$5)/12*Scenario_Control!$M$22,0)</f>
        <v>15</v>
      </c>
      <c r="AC111" s="53" t="n">
        <f aca="false">IF(AC$3&gt;=Assumptions!$D$75,INDEX(Assumptions!$D$76:$F$76,1,AC$5)/12*Scenario_Control!$M$22,0)</f>
        <v>15</v>
      </c>
      <c r="AD111" s="53" t="n">
        <f aca="false">IF(AD$3&gt;=Assumptions!$D$75,INDEX(Assumptions!$D$76:$F$76,1,AD$5)/12*Scenario_Control!$M$22,0)</f>
        <v>15</v>
      </c>
      <c r="AE111" s="53" t="n">
        <f aca="false">IF(AE$3&gt;=Assumptions!$D$75,INDEX(Assumptions!$D$76:$F$76,1,AE$5)/12*Scenario_Control!$M$22,0)</f>
        <v>15</v>
      </c>
      <c r="AF111" s="53" t="n">
        <f aca="false">IF(AF$3&gt;=Assumptions!$D$75,INDEX(Assumptions!$D$76:$F$76,1,AF$5)/12*Scenario_Control!$M$22,0)</f>
        <v>15</v>
      </c>
      <c r="AG111" s="53" t="n">
        <f aca="false">IF(AG$3&gt;=Assumptions!$D$75,INDEX(Assumptions!$D$76:$F$76,1,AG$5)/12*Scenario_Control!$M$22,0)</f>
        <v>15</v>
      </c>
      <c r="AH111" s="53" t="n">
        <f aca="false">IF(AH$3&gt;=Assumptions!$D$75,INDEX(Assumptions!$D$76:$F$76,1,AH$5)/12*Scenario_Control!$M$22,0)</f>
        <v>15</v>
      </c>
      <c r="AI111" s="53" t="n">
        <f aca="false">IF(AI$3&gt;=Assumptions!$D$75,INDEX(Assumptions!$D$76:$F$76,1,AI$5)/12*Scenario_Control!$M$22,0)</f>
        <v>15</v>
      </c>
      <c r="AJ111" s="53" t="n">
        <f aca="false">IF(AJ$3&gt;=Assumptions!$D$75,INDEX(Assumptions!$D$76:$F$76,1,AJ$5)/12*Scenario_Control!$M$22,0)</f>
        <v>15</v>
      </c>
      <c r="AK111" s="53" t="n">
        <f aca="false">IF(AK$3&gt;=Assumptions!$D$75,INDEX(Assumptions!$D$76:$F$76,1,AK$5)/12*Scenario_Control!$M$22,0)</f>
        <v>15</v>
      </c>
      <c r="AL111" s="53" t="n">
        <f aca="false">IF(AL$3&gt;=Assumptions!$D$75,INDEX(Assumptions!$D$76:$F$76,1,AL$5)/12*Scenario_Control!$M$22,0)</f>
        <v>15</v>
      </c>
      <c r="AM111" s="53" t="n">
        <f aca="false">IF(AM$3&gt;=Assumptions!$D$75,INDEX(Assumptions!$D$76:$F$76,1,AM$5)/12*Scenario_Control!$M$22,0)</f>
        <v>15</v>
      </c>
    </row>
    <row r="112" customFormat="false" ht="15" hidden="false" customHeight="true" outlineLevel="0" collapsed="false">
      <c r="A112" s="5" t="s">
        <v>872</v>
      </c>
      <c r="B112" s="10" t="s">
        <v>64</v>
      </c>
      <c r="C112" s="12" t="n">
        <f aca="false">SUM(D112:AM112)</f>
        <v>864000</v>
      </c>
      <c r="D112" s="11" t="n">
        <f aca="false">D111*Assumptions!$D$77</f>
        <v>0</v>
      </c>
      <c r="E112" s="11" t="n">
        <f aca="false">E111*Assumptions!$D$77</f>
        <v>0</v>
      </c>
      <c r="F112" s="11" t="n">
        <f aca="false">F111*Assumptions!$D$77</f>
        <v>0</v>
      </c>
      <c r="G112" s="11" t="n">
        <f aca="false">G111*Assumptions!$D$77</f>
        <v>0</v>
      </c>
      <c r="H112" s="11" t="n">
        <f aca="false">H111*Assumptions!$D$77</f>
        <v>0</v>
      </c>
      <c r="I112" s="11" t="n">
        <f aca="false">I111*Assumptions!$D$77</f>
        <v>0</v>
      </c>
      <c r="J112" s="11" t="n">
        <f aca="false">J111*Assumptions!$D$77</f>
        <v>0</v>
      </c>
      <c r="K112" s="11" t="n">
        <f aca="false">K111*Assumptions!$D$77</f>
        <v>0</v>
      </c>
      <c r="L112" s="11" t="n">
        <f aca="false">L111*Assumptions!$D$77</f>
        <v>0</v>
      </c>
      <c r="M112" s="11" t="n">
        <f aca="false">M111*Assumptions!$D$77</f>
        <v>0</v>
      </c>
      <c r="N112" s="11" t="n">
        <f aca="false">N111*Assumptions!$D$77</f>
        <v>0</v>
      </c>
      <c r="O112" s="11" t="n">
        <f aca="false">O111*Assumptions!$D$77</f>
        <v>0</v>
      </c>
      <c r="P112" s="11" t="n">
        <f aca="false">P111*Assumptions!$D$77</f>
        <v>18000</v>
      </c>
      <c r="Q112" s="11" t="n">
        <f aca="false">Q111*Assumptions!$D$77</f>
        <v>18000</v>
      </c>
      <c r="R112" s="11" t="n">
        <f aca="false">R111*Assumptions!$D$77</f>
        <v>18000</v>
      </c>
      <c r="S112" s="11" t="n">
        <f aca="false">S111*Assumptions!$D$77</f>
        <v>18000</v>
      </c>
      <c r="T112" s="11" t="n">
        <f aca="false">T111*Assumptions!$D$77</f>
        <v>18000</v>
      </c>
      <c r="U112" s="11" t="n">
        <f aca="false">U111*Assumptions!$D$77</f>
        <v>18000</v>
      </c>
      <c r="V112" s="11" t="n">
        <f aca="false">V111*Assumptions!$D$77</f>
        <v>18000</v>
      </c>
      <c r="W112" s="11" t="n">
        <f aca="false">W111*Assumptions!$D$77</f>
        <v>18000</v>
      </c>
      <c r="X112" s="11" t="n">
        <f aca="false">X111*Assumptions!$D$77</f>
        <v>18000</v>
      </c>
      <c r="Y112" s="11" t="n">
        <f aca="false">Y111*Assumptions!$D$77</f>
        <v>18000</v>
      </c>
      <c r="Z112" s="11" t="n">
        <f aca="false">Z111*Assumptions!$D$77</f>
        <v>18000</v>
      </c>
      <c r="AA112" s="11" t="n">
        <f aca="false">AA111*Assumptions!$D$77</f>
        <v>18000</v>
      </c>
      <c r="AB112" s="11" t="n">
        <f aca="false">AB111*Assumptions!$D$77</f>
        <v>54000</v>
      </c>
      <c r="AC112" s="11" t="n">
        <f aca="false">AC111*Assumptions!$D$77</f>
        <v>54000</v>
      </c>
      <c r="AD112" s="11" t="n">
        <f aca="false">AD111*Assumptions!$D$77</f>
        <v>54000</v>
      </c>
      <c r="AE112" s="11" t="n">
        <f aca="false">AE111*Assumptions!$D$77</f>
        <v>54000</v>
      </c>
      <c r="AF112" s="11" t="n">
        <f aca="false">AF111*Assumptions!$D$77</f>
        <v>54000</v>
      </c>
      <c r="AG112" s="11" t="n">
        <f aca="false">AG111*Assumptions!$D$77</f>
        <v>54000</v>
      </c>
      <c r="AH112" s="11" t="n">
        <f aca="false">AH111*Assumptions!$D$77</f>
        <v>54000</v>
      </c>
      <c r="AI112" s="11" t="n">
        <f aca="false">AI111*Assumptions!$D$77</f>
        <v>54000</v>
      </c>
      <c r="AJ112" s="11" t="n">
        <f aca="false">AJ111*Assumptions!$D$77</f>
        <v>54000</v>
      </c>
      <c r="AK112" s="11" t="n">
        <f aca="false">AK111*Assumptions!$D$77</f>
        <v>54000</v>
      </c>
      <c r="AL112" s="11" t="n">
        <f aca="false">AL111*Assumptions!$D$77</f>
        <v>54000</v>
      </c>
      <c r="AM112" s="11" t="n">
        <f aca="false">AM111*Assumptions!$D$77</f>
        <v>54000</v>
      </c>
    </row>
    <row r="113" customFormat="false" ht="15" hidden="false" customHeight="true" outlineLevel="0" collapsed="false">
      <c r="A113" s="5" t="s">
        <v>873</v>
      </c>
      <c r="B113" s="10" t="s">
        <v>64</v>
      </c>
      <c r="C113" s="12" t="n">
        <f aca="false">SUM(D113:AM113)</f>
        <v>-64800</v>
      </c>
      <c r="D113" s="11" t="n">
        <f aca="false">-0*Assumptions!$D$220-0*Assumptions!$D$223*Assumptions!$D$220</f>
        <v>-0</v>
      </c>
      <c r="E113" s="11" t="n">
        <f aca="false">-0*Assumptions!$D$220-0*Assumptions!$D$223*Assumptions!$D$220</f>
        <v>-0</v>
      </c>
      <c r="F113" s="11" t="n">
        <f aca="false">-0*Assumptions!$D$220-0*Assumptions!$D$223*Assumptions!$D$220</f>
        <v>-0</v>
      </c>
      <c r="G113" s="11" t="n">
        <f aca="false">-0*Assumptions!$D$220-0*Assumptions!$D$223*Assumptions!$D$220</f>
        <v>-0</v>
      </c>
      <c r="H113" s="11" t="n">
        <f aca="false">-0*Assumptions!$D$220-0*Assumptions!$D$223*Assumptions!$D$220</f>
        <v>-0</v>
      </c>
      <c r="I113" s="11" t="n">
        <f aca="false">-0*Assumptions!$D$220-0*Assumptions!$D$223*Assumptions!$D$220</f>
        <v>-0</v>
      </c>
      <c r="J113" s="11" t="n">
        <f aca="false">-0*Assumptions!$D$220-0*Assumptions!$D$223*Assumptions!$D$220</f>
        <v>-0</v>
      </c>
      <c r="K113" s="11" t="n">
        <f aca="false">-0*Assumptions!$D$220-0*Assumptions!$D$223*Assumptions!$D$220</f>
        <v>-0</v>
      </c>
      <c r="L113" s="11" t="n">
        <f aca="false">-0*Assumptions!$D$220-0*Assumptions!$D$223*Assumptions!$D$220</f>
        <v>-0</v>
      </c>
      <c r="M113" s="11" t="n">
        <f aca="false">-0*Assumptions!$D$220-0*Assumptions!$D$223*Assumptions!$D$220</f>
        <v>-0</v>
      </c>
      <c r="N113" s="11" t="n">
        <f aca="false">-0*Assumptions!$D$220-0*Assumptions!$D$223*Assumptions!$D$220</f>
        <v>-0</v>
      </c>
      <c r="O113" s="11" t="n">
        <f aca="false">-0*Assumptions!$D$220-0*Assumptions!$D$223*Assumptions!$D$220</f>
        <v>-0</v>
      </c>
      <c r="P113" s="11" t="n">
        <f aca="false">-D112*Assumptions!$D$220-0*Assumptions!$D$223*Assumptions!$D$220</f>
        <v>-0</v>
      </c>
      <c r="Q113" s="11" t="n">
        <f aca="false">-E112*Assumptions!$D$220-0*Assumptions!$D$223*Assumptions!$D$220</f>
        <v>-0</v>
      </c>
      <c r="R113" s="11" t="n">
        <f aca="false">-F112*Assumptions!$D$220-0*Assumptions!$D$223*Assumptions!$D$220</f>
        <v>-0</v>
      </c>
      <c r="S113" s="11" t="n">
        <f aca="false">-G112*Assumptions!$D$220-0*Assumptions!$D$223*Assumptions!$D$220</f>
        <v>-0</v>
      </c>
      <c r="T113" s="11" t="n">
        <f aca="false">-H112*Assumptions!$D$220-0*Assumptions!$D$223*Assumptions!$D$220</f>
        <v>-0</v>
      </c>
      <c r="U113" s="11" t="n">
        <f aca="false">-I112*Assumptions!$D$220-0*Assumptions!$D$223*Assumptions!$D$220</f>
        <v>-0</v>
      </c>
      <c r="V113" s="11" t="n">
        <f aca="false">-J112*Assumptions!$D$220-0*Assumptions!$D$223*Assumptions!$D$220</f>
        <v>-0</v>
      </c>
      <c r="W113" s="11" t="n">
        <f aca="false">-K112*Assumptions!$D$220-0*Assumptions!$D$223*Assumptions!$D$220</f>
        <v>-0</v>
      </c>
      <c r="X113" s="11" t="n">
        <f aca="false">-L112*Assumptions!$D$220-0*Assumptions!$D$223*Assumptions!$D$220</f>
        <v>-0</v>
      </c>
      <c r="Y113" s="11" t="n">
        <f aca="false">-M112*Assumptions!$D$220-0*Assumptions!$D$223*Assumptions!$D$220</f>
        <v>-0</v>
      </c>
      <c r="Z113" s="11" t="n">
        <f aca="false">-N112*Assumptions!$D$220-0*Assumptions!$D$223*Assumptions!$D$220</f>
        <v>-0</v>
      </c>
      <c r="AA113" s="11" t="n">
        <f aca="false">-O112*Assumptions!$D$220-0*Assumptions!$D$223*Assumptions!$D$220</f>
        <v>-0</v>
      </c>
      <c r="AB113" s="11" t="n">
        <f aca="false">-P112*Assumptions!$D$220-D112*Assumptions!$D$223*Assumptions!$D$220</f>
        <v>-5400</v>
      </c>
      <c r="AC113" s="11" t="n">
        <f aca="false">-Q112*Assumptions!$D$220-E112*Assumptions!$D$223*Assumptions!$D$220</f>
        <v>-5400</v>
      </c>
      <c r="AD113" s="11" t="n">
        <f aca="false">-R112*Assumptions!$D$220-F112*Assumptions!$D$223*Assumptions!$D$220</f>
        <v>-5400</v>
      </c>
      <c r="AE113" s="11" t="n">
        <f aca="false">-S112*Assumptions!$D$220-G112*Assumptions!$D$223*Assumptions!$D$220</f>
        <v>-5400</v>
      </c>
      <c r="AF113" s="11" t="n">
        <f aca="false">-T112*Assumptions!$D$220-H112*Assumptions!$D$223*Assumptions!$D$220</f>
        <v>-5400</v>
      </c>
      <c r="AG113" s="11" t="n">
        <f aca="false">-U112*Assumptions!$D$220-I112*Assumptions!$D$223*Assumptions!$D$220</f>
        <v>-5400</v>
      </c>
      <c r="AH113" s="11" t="n">
        <f aca="false">-V112*Assumptions!$D$220-J112*Assumptions!$D$223*Assumptions!$D$220</f>
        <v>-5400</v>
      </c>
      <c r="AI113" s="11" t="n">
        <f aca="false">-W112*Assumptions!$D$220-K112*Assumptions!$D$223*Assumptions!$D$220</f>
        <v>-5400</v>
      </c>
      <c r="AJ113" s="11" t="n">
        <f aca="false">-X112*Assumptions!$D$220-L112*Assumptions!$D$223*Assumptions!$D$220</f>
        <v>-5400</v>
      </c>
      <c r="AK113" s="11" t="n">
        <f aca="false">-Y112*Assumptions!$D$220-M112*Assumptions!$D$223*Assumptions!$D$220</f>
        <v>-5400</v>
      </c>
      <c r="AL113" s="11" t="n">
        <f aca="false">-Z112*Assumptions!$D$220-N112*Assumptions!$D$223*Assumptions!$D$220</f>
        <v>-5400</v>
      </c>
      <c r="AM113" s="11" t="n">
        <f aca="false">-AA112*Assumptions!$D$220-O112*Assumptions!$D$223*Assumptions!$D$220</f>
        <v>-5400</v>
      </c>
    </row>
    <row r="114" customFormat="false" ht="15" hidden="false" customHeight="true" outlineLevel="0" collapsed="false">
      <c r="A114" s="5" t="s">
        <v>874</v>
      </c>
      <c r="B114" s="10" t="s">
        <v>64</v>
      </c>
      <c r="C114" s="12" t="n">
        <f aca="false">SUM(D114:AM114)</f>
        <v>15120</v>
      </c>
      <c r="D114" s="11" t="n">
        <f aca="false">0*(1-Assumptions!$D$220)*Assumptions!$D$221+0*Assumptions!$D$223*(1-Assumptions!$D$220)*Assumptions!$D$222</f>
        <v>0</v>
      </c>
      <c r="E114" s="11" t="n">
        <f aca="false">0*(1-Assumptions!$D$220)*Assumptions!$D$221+0*Assumptions!$D$223*(1-Assumptions!$D$220)*Assumptions!$D$222</f>
        <v>0</v>
      </c>
      <c r="F114" s="11" t="n">
        <f aca="false">0*(1-Assumptions!$D$220)*Assumptions!$D$221+0*Assumptions!$D$223*(1-Assumptions!$D$220)*Assumptions!$D$222</f>
        <v>0</v>
      </c>
      <c r="G114" s="11" t="n">
        <f aca="false">0*(1-Assumptions!$D$220)*Assumptions!$D$221+0*Assumptions!$D$223*(1-Assumptions!$D$220)*Assumptions!$D$222</f>
        <v>0</v>
      </c>
      <c r="H114" s="11" t="n">
        <f aca="false">0*(1-Assumptions!$D$220)*Assumptions!$D$221+0*Assumptions!$D$223*(1-Assumptions!$D$220)*Assumptions!$D$222</f>
        <v>0</v>
      </c>
      <c r="I114" s="11" t="n">
        <f aca="false">0*(1-Assumptions!$D$220)*Assumptions!$D$221+0*Assumptions!$D$223*(1-Assumptions!$D$220)*Assumptions!$D$222</f>
        <v>0</v>
      </c>
      <c r="J114" s="11" t="n">
        <f aca="false">0*(1-Assumptions!$D$220)*Assumptions!$D$221+0*Assumptions!$D$223*(1-Assumptions!$D$220)*Assumptions!$D$222</f>
        <v>0</v>
      </c>
      <c r="K114" s="11" t="n">
        <f aca="false">0*(1-Assumptions!$D$220)*Assumptions!$D$221+0*Assumptions!$D$223*(1-Assumptions!$D$220)*Assumptions!$D$222</f>
        <v>0</v>
      </c>
      <c r="L114" s="11" t="n">
        <f aca="false">0*(1-Assumptions!$D$220)*Assumptions!$D$221+0*Assumptions!$D$223*(1-Assumptions!$D$220)*Assumptions!$D$222</f>
        <v>0</v>
      </c>
      <c r="M114" s="11" t="n">
        <f aca="false">0*(1-Assumptions!$D$220)*Assumptions!$D$221+0*Assumptions!$D$223*(1-Assumptions!$D$220)*Assumptions!$D$222</f>
        <v>0</v>
      </c>
      <c r="N114" s="11" t="n">
        <f aca="false">0*(1-Assumptions!$D$220)*Assumptions!$D$221+0*Assumptions!$D$223*(1-Assumptions!$D$220)*Assumptions!$D$222</f>
        <v>0</v>
      </c>
      <c r="O114" s="11" t="n">
        <f aca="false">0*(1-Assumptions!$D$220)*Assumptions!$D$221+0*Assumptions!$D$223*(1-Assumptions!$D$220)*Assumptions!$D$222</f>
        <v>0</v>
      </c>
      <c r="P114" s="11" t="n">
        <f aca="false">D112*(1-Assumptions!$D$220)*Assumptions!$D$221+0*Assumptions!$D$223*(1-Assumptions!$D$220)*Assumptions!$D$222</f>
        <v>0</v>
      </c>
      <c r="Q114" s="11" t="n">
        <f aca="false">E112*(1-Assumptions!$D$220)*Assumptions!$D$221+0*Assumptions!$D$223*(1-Assumptions!$D$220)*Assumptions!$D$222</f>
        <v>0</v>
      </c>
      <c r="R114" s="11" t="n">
        <f aca="false">F112*(1-Assumptions!$D$220)*Assumptions!$D$221+0*Assumptions!$D$223*(1-Assumptions!$D$220)*Assumptions!$D$222</f>
        <v>0</v>
      </c>
      <c r="S114" s="11" t="n">
        <f aca="false">G112*(1-Assumptions!$D$220)*Assumptions!$D$221+0*Assumptions!$D$223*(1-Assumptions!$D$220)*Assumptions!$D$222</f>
        <v>0</v>
      </c>
      <c r="T114" s="11" t="n">
        <f aca="false">H112*(1-Assumptions!$D$220)*Assumptions!$D$221+0*Assumptions!$D$223*(1-Assumptions!$D$220)*Assumptions!$D$222</f>
        <v>0</v>
      </c>
      <c r="U114" s="11" t="n">
        <f aca="false">I112*(1-Assumptions!$D$220)*Assumptions!$D$221+0*Assumptions!$D$223*(1-Assumptions!$D$220)*Assumptions!$D$222</f>
        <v>0</v>
      </c>
      <c r="V114" s="11" t="n">
        <f aca="false">J112*(1-Assumptions!$D$220)*Assumptions!$D$221+0*Assumptions!$D$223*(1-Assumptions!$D$220)*Assumptions!$D$222</f>
        <v>0</v>
      </c>
      <c r="W114" s="11" t="n">
        <f aca="false">K112*(1-Assumptions!$D$220)*Assumptions!$D$221+0*Assumptions!$D$223*(1-Assumptions!$D$220)*Assumptions!$D$222</f>
        <v>0</v>
      </c>
      <c r="X114" s="11" t="n">
        <f aca="false">L112*(1-Assumptions!$D$220)*Assumptions!$D$221+0*Assumptions!$D$223*(1-Assumptions!$D$220)*Assumptions!$D$222</f>
        <v>0</v>
      </c>
      <c r="Y114" s="11" t="n">
        <f aca="false">M112*(1-Assumptions!$D$220)*Assumptions!$D$221+0*Assumptions!$D$223*(1-Assumptions!$D$220)*Assumptions!$D$222</f>
        <v>0</v>
      </c>
      <c r="Z114" s="11" t="n">
        <f aca="false">N112*(1-Assumptions!$D$220)*Assumptions!$D$221+0*Assumptions!$D$223*(1-Assumptions!$D$220)*Assumptions!$D$222</f>
        <v>0</v>
      </c>
      <c r="AA114" s="11" t="n">
        <f aca="false">O112*(1-Assumptions!$D$220)*Assumptions!$D$221+0*Assumptions!$D$223*(1-Assumptions!$D$220)*Assumptions!$D$222</f>
        <v>0</v>
      </c>
      <c r="AB114" s="11" t="n">
        <f aca="false">P112*(1-Assumptions!$D$220)*Assumptions!$D$221+D112*Assumptions!$D$223*(1-Assumptions!$D$220)*Assumptions!$D$222</f>
        <v>1260</v>
      </c>
      <c r="AC114" s="11" t="n">
        <f aca="false">Q112*(1-Assumptions!$D$220)*Assumptions!$D$221+E112*Assumptions!$D$223*(1-Assumptions!$D$220)*Assumptions!$D$222</f>
        <v>1260</v>
      </c>
      <c r="AD114" s="11" t="n">
        <f aca="false">R112*(1-Assumptions!$D$220)*Assumptions!$D$221+F112*Assumptions!$D$223*(1-Assumptions!$D$220)*Assumptions!$D$222</f>
        <v>1260</v>
      </c>
      <c r="AE114" s="11" t="n">
        <f aca="false">S112*(1-Assumptions!$D$220)*Assumptions!$D$221+G112*Assumptions!$D$223*(1-Assumptions!$D$220)*Assumptions!$D$222</f>
        <v>1260</v>
      </c>
      <c r="AF114" s="11" t="n">
        <f aca="false">T112*(1-Assumptions!$D$220)*Assumptions!$D$221+H112*Assumptions!$D$223*(1-Assumptions!$D$220)*Assumptions!$D$222</f>
        <v>1260</v>
      </c>
      <c r="AG114" s="11" t="n">
        <f aca="false">U112*(1-Assumptions!$D$220)*Assumptions!$D$221+I112*Assumptions!$D$223*(1-Assumptions!$D$220)*Assumptions!$D$222</f>
        <v>1260</v>
      </c>
      <c r="AH114" s="11" t="n">
        <f aca="false">V112*(1-Assumptions!$D$220)*Assumptions!$D$221+J112*Assumptions!$D$223*(1-Assumptions!$D$220)*Assumptions!$D$222</f>
        <v>1260</v>
      </c>
      <c r="AI114" s="11" t="n">
        <f aca="false">W112*(1-Assumptions!$D$220)*Assumptions!$D$221+K112*Assumptions!$D$223*(1-Assumptions!$D$220)*Assumptions!$D$222</f>
        <v>1260</v>
      </c>
      <c r="AJ114" s="11" t="n">
        <f aca="false">X112*(1-Assumptions!$D$220)*Assumptions!$D$221+L112*Assumptions!$D$223*(1-Assumptions!$D$220)*Assumptions!$D$222</f>
        <v>1260</v>
      </c>
      <c r="AK114" s="11" t="n">
        <f aca="false">Y112*(1-Assumptions!$D$220)*Assumptions!$D$221+M112*Assumptions!$D$223*(1-Assumptions!$D$220)*Assumptions!$D$222</f>
        <v>1260</v>
      </c>
      <c r="AL114" s="11" t="n">
        <f aca="false">Z112*(1-Assumptions!$D$220)*Assumptions!$D$221+N112*Assumptions!$D$223*(1-Assumptions!$D$220)*Assumptions!$D$222</f>
        <v>1260</v>
      </c>
      <c r="AM114" s="11" t="n">
        <f aca="false">AA112*(1-Assumptions!$D$220)*Assumptions!$D$221+O112*Assumptions!$D$223*(1-Assumptions!$D$220)*Assumptions!$D$222</f>
        <v>1260</v>
      </c>
    </row>
    <row r="115" customFormat="false" ht="15" hidden="false" customHeight="true" outlineLevel="0" collapsed="false">
      <c r="A115" s="13" t="s">
        <v>875</v>
      </c>
      <c r="B115" s="14" t="s">
        <v>64</v>
      </c>
      <c r="C115" s="15" t="n">
        <f aca="false">AM115</f>
        <v>814320</v>
      </c>
      <c r="D115" s="15" t="n">
        <f aca="false">0+D112+D113+D114</f>
        <v>0</v>
      </c>
      <c r="E115" s="15" t="n">
        <f aca="false">D115+E112+E113+E114</f>
        <v>0</v>
      </c>
      <c r="F115" s="15" t="n">
        <f aca="false">E115+F112+F113+F114</f>
        <v>0</v>
      </c>
      <c r="G115" s="15" t="n">
        <f aca="false">F115+G112+G113+G114</f>
        <v>0</v>
      </c>
      <c r="H115" s="15" t="n">
        <f aca="false">G115+H112+H113+H114</f>
        <v>0</v>
      </c>
      <c r="I115" s="15" t="n">
        <f aca="false">H115+I112+I113+I114</f>
        <v>0</v>
      </c>
      <c r="J115" s="15" t="n">
        <f aca="false">I115+J112+J113+J114</f>
        <v>0</v>
      </c>
      <c r="K115" s="15" t="n">
        <f aca="false">J115+K112+K113+K114</f>
        <v>0</v>
      </c>
      <c r="L115" s="15" t="n">
        <f aca="false">K115+L112+L113+L114</f>
        <v>0</v>
      </c>
      <c r="M115" s="15" t="n">
        <f aca="false">L115+M112+M113+M114</f>
        <v>0</v>
      </c>
      <c r="N115" s="15" t="n">
        <f aca="false">M115+N112+N113+N114</f>
        <v>0</v>
      </c>
      <c r="O115" s="15" t="n">
        <f aca="false">N115+O112+O113+O114</f>
        <v>0</v>
      </c>
      <c r="P115" s="15" t="n">
        <f aca="false">O115+P112+P113+P114</f>
        <v>18000</v>
      </c>
      <c r="Q115" s="15" t="n">
        <f aca="false">P115+Q112+Q113+Q114</f>
        <v>36000</v>
      </c>
      <c r="R115" s="15" t="n">
        <f aca="false">Q115+R112+R113+R114</f>
        <v>54000</v>
      </c>
      <c r="S115" s="15" t="n">
        <f aca="false">R115+S112+S113+S114</f>
        <v>72000</v>
      </c>
      <c r="T115" s="15" t="n">
        <f aca="false">S115+T112+T113+T114</f>
        <v>90000</v>
      </c>
      <c r="U115" s="15" t="n">
        <f aca="false">T115+U112+U113+U114</f>
        <v>108000</v>
      </c>
      <c r="V115" s="15" t="n">
        <f aca="false">U115+V112+V113+V114</f>
        <v>126000</v>
      </c>
      <c r="W115" s="15" t="n">
        <f aca="false">V115+W112+W113+W114</f>
        <v>144000</v>
      </c>
      <c r="X115" s="15" t="n">
        <f aca="false">W115+X112+X113+X114</f>
        <v>162000</v>
      </c>
      <c r="Y115" s="15" t="n">
        <f aca="false">X115+Y112+Y113+Y114</f>
        <v>180000</v>
      </c>
      <c r="Z115" s="15" t="n">
        <f aca="false">Y115+Z112+Z113+Z114</f>
        <v>198000</v>
      </c>
      <c r="AA115" s="15" t="n">
        <f aca="false">Z115+AA112+AA113+AA114</f>
        <v>216000</v>
      </c>
      <c r="AB115" s="15" t="n">
        <f aca="false">AA115+AB112+AB113+AB114</f>
        <v>265860</v>
      </c>
      <c r="AC115" s="15" t="n">
        <f aca="false">AB115+AC112+AC113+AC114</f>
        <v>315720</v>
      </c>
      <c r="AD115" s="15" t="n">
        <f aca="false">AC115+AD112+AD113+AD114</f>
        <v>365580</v>
      </c>
      <c r="AE115" s="15" t="n">
        <f aca="false">AD115+AE112+AE113+AE114</f>
        <v>415440</v>
      </c>
      <c r="AF115" s="15" t="n">
        <f aca="false">AE115+AF112+AF113+AF114</f>
        <v>465300</v>
      </c>
      <c r="AG115" s="15" t="n">
        <f aca="false">AF115+AG112+AG113+AG114</f>
        <v>515160</v>
      </c>
      <c r="AH115" s="15" t="n">
        <f aca="false">AG115+AH112+AH113+AH114</f>
        <v>565020</v>
      </c>
      <c r="AI115" s="15" t="n">
        <f aca="false">AH115+AI112+AI113+AI114</f>
        <v>614880</v>
      </c>
      <c r="AJ115" s="15" t="n">
        <f aca="false">AI115+AJ112+AJ113+AJ114</f>
        <v>664740</v>
      </c>
      <c r="AK115" s="15" t="n">
        <f aca="false">AJ115+AK112+AK113+AK114</f>
        <v>714600</v>
      </c>
      <c r="AL115" s="15" t="n">
        <f aca="false">AK115+AL112+AL113+AL114</f>
        <v>764460</v>
      </c>
      <c r="AM115" s="15" t="n">
        <f aca="false">AL115+AM112+AM113+AM114</f>
        <v>814320</v>
      </c>
    </row>
    <row r="116" customFormat="false" ht="15" hidden="false" customHeight="true" outlineLevel="0" collapsed="false">
      <c r="A116" s="5" t="s">
        <v>876</v>
      </c>
      <c r="B116" s="10" t="s">
        <v>100</v>
      </c>
      <c r="C116" s="57" t="n">
        <f aca="false">AM116</f>
        <v>222</v>
      </c>
      <c r="D116" s="53" t="n">
        <f aca="false">0+D111-0*Assumptions!$D$220-0*(1-Assumptions!$D$220)*Assumptions!$D$220</f>
        <v>0</v>
      </c>
      <c r="E116" s="53" t="n">
        <f aca="false">D116+E111-0*Assumptions!$D$220-0*(1-Assumptions!$D$220)*Assumptions!$D$220</f>
        <v>0</v>
      </c>
      <c r="F116" s="53" t="n">
        <f aca="false">E116+F111-0*Assumptions!$D$220-0*(1-Assumptions!$D$220)*Assumptions!$D$220</f>
        <v>0</v>
      </c>
      <c r="G116" s="53" t="n">
        <f aca="false">F116+G111-0*Assumptions!$D$220-0*(1-Assumptions!$D$220)*Assumptions!$D$220</f>
        <v>0</v>
      </c>
      <c r="H116" s="53" t="n">
        <f aca="false">G116+H111-0*Assumptions!$D$220-0*(1-Assumptions!$D$220)*Assumptions!$D$220</f>
        <v>0</v>
      </c>
      <c r="I116" s="53" t="n">
        <f aca="false">H116+I111-0*Assumptions!$D$220-0*(1-Assumptions!$D$220)*Assumptions!$D$220</f>
        <v>0</v>
      </c>
      <c r="J116" s="53" t="n">
        <f aca="false">I116+J111-0*Assumptions!$D$220-0*(1-Assumptions!$D$220)*Assumptions!$D$220</f>
        <v>0</v>
      </c>
      <c r="K116" s="53" t="n">
        <f aca="false">J116+K111-0*Assumptions!$D$220-0*(1-Assumptions!$D$220)*Assumptions!$D$220</f>
        <v>0</v>
      </c>
      <c r="L116" s="53" t="n">
        <f aca="false">K116+L111-0*Assumptions!$D$220-0*(1-Assumptions!$D$220)*Assumptions!$D$220</f>
        <v>0</v>
      </c>
      <c r="M116" s="53" t="n">
        <f aca="false">L116+M111-0*Assumptions!$D$220-0*(1-Assumptions!$D$220)*Assumptions!$D$220</f>
        <v>0</v>
      </c>
      <c r="N116" s="53" t="n">
        <f aca="false">M116+N111-0*Assumptions!$D$220-0*(1-Assumptions!$D$220)*Assumptions!$D$220</f>
        <v>0</v>
      </c>
      <c r="O116" s="53" t="n">
        <f aca="false">N116+O111-0*Assumptions!$D$220-0*(1-Assumptions!$D$220)*Assumptions!$D$220</f>
        <v>0</v>
      </c>
      <c r="P116" s="53" t="n">
        <f aca="false">O116+P111-D111*Assumptions!$D$220-0*(1-Assumptions!$D$220)*Assumptions!$D$220</f>
        <v>5</v>
      </c>
      <c r="Q116" s="53" t="n">
        <f aca="false">P116+Q111-E111*Assumptions!$D$220-0*(1-Assumptions!$D$220)*Assumptions!$D$220</f>
        <v>10</v>
      </c>
      <c r="R116" s="53" t="n">
        <f aca="false">Q116+R111-F111*Assumptions!$D$220-0*(1-Assumptions!$D$220)*Assumptions!$D$220</f>
        <v>15</v>
      </c>
      <c r="S116" s="53" t="n">
        <f aca="false">R116+S111-G111*Assumptions!$D$220-0*(1-Assumptions!$D$220)*Assumptions!$D$220</f>
        <v>20</v>
      </c>
      <c r="T116" s="53" t="n">
        <f aca="false">S116+T111-H111*Assumptions!$D$220-0*(1-Assumptions!$D$220)*Assumptions!$D$220</f>
        <v>25</v>
      </c>
      <c r="U116" s="53" t="n">
        <f aca="false">T116+U111-I111*Assumptions!$D$220-0*(1-Assumptions!$D$220)*Assumptions!$D$220</f>
        <v>30</v>
      </c>
      <c r="V116" s="53" t="n">
        <f aca="false">U116+V111-J111*Assumptions!$D$220-0*(1-Assumptions!$D$220)*Assumptions!$D$220</f>
        <v>35</v>
      </c>
      <c r="W116" s="53" t="n">
        <f aca="false">V116+W111-K111*Assumptions!$D$220-0*(1-Assumptions!$D$220)*Assumptions!$D$220</f>
        <v>40</v>
      </c>
      <c r="X116" s="53" t="n">
        <f aca="false">W116+X111-L111*Assumptions!$D$220-0*(1-Assumptions!$D$220)*Assumptions!$D$220</f>
        <v>45</v>
      </c>
      <c r="Y116" s="53" t="n">
        <f aca="false">X116+Y111-M111*Assumptions!$D$220-0*(1-Assumptions!$D$220)*Assumptions!$D$220</f>
        <v>50</v>
      </c>
      <c r="Z116" s="53" t="n">
        <f aca="false">Y116+Z111-N111*Assumptions!$D$220-0*(1-Assumptions!$D$220)*Assumptions!$D$220</f>
        <v>55</v>
      </c>
      <c r="AA116" s="53" t="n">
        <f aca="false">Z116+AA111-O111*Assumptions!$D$220-0*(1-Assumptions!$D$220)*Assumptions!$D$220</f>
        <v>60</v>
      </c>
      <c r="AB116" s="53" t="n">
        <f aca="false">AA116+AB111-P111*Assumptions!$D$220-D111*(1-Assumptions!$D$220)*Assumptions!$D$220</f>
        <v>73.5</v>
      </c>
      <c r="AC116" s="53" t="n">
        <f aca="false">AB116+AC111-Q111*Assumptions!$D$220-E111*(1-Assumptions!$D$220)*Assumptions!$D$220</f>
        <v>87</v>
      </c>
      <c r="AD116" s="53" t="n">
        <f aca="false">AC116+AD111-R111*Assumptions!$D$220-F111*(1-Assumptions!$D$220)*Assumptions!$D$220</f>
        <v>100.5</v>
      </c>
      <c r="AE116" s="53" t="n">
        <f aca="false">AD116+AE111-S111*Assumptions!$D$220-G111*(1-Assumptions!$D$220)*Assumptions!$D$220</f>
        <v>114</v>
      </c>
      <c r="AF116" s="53" t="n">
        <f aca="false">AE116+AF111-T111*Assumptions!$D$220-H111*(1-Assumptions!$D$220)*Assumptions!$D$220</f>
        <v>127.5</v>
      </c>
      <c r="AG116" s="53" t="n">
        <f aca="false">AF116+AG111-U111*Assumptions!$D$220-I111*(1-Assumptions!$D$220)*Assumptions!$D$220</f>
        <v>141</v>
      </c>
      <c r="AH116" s="53" t="n">
        <f aca="false">AG116+AH111-V111*Assumptions!$D$220-J111*(1-Assumptions!$D$220)*Assumptions!$D$220</f>
        <v>154.5</v>
      </c>
      <c r="AI116" s="53" t="n">
        <f aca="false">AH116+AI111-W111*Assumptions!$D$220-K111*(1-Assumptions!$D$220)*Assumptions!$D$220</f>
        <v>168</v>
      </c>
      <c r="AJ116" s="53" t="n">
        <f aca="false">AI116+AJ111-X111*Assumptions!$D$220-L111*(1-Assumptions!$D$220)*Assumptions!$D$220</f>
        <v>181.5</v>
      </c>
      <c r="AK116" s="53" t="n">
        <f aca="false">AJ116+AK111-Y111*Assumptions!$D$220-M111*(1-Assumptions!$D$220)*Assumptions!$D$220</f>
        <v>195</v>
      </c>
      <c r="AL116" s="53" t="n">
        <f aca="false">AK116+AL111-Z111*Assumptions!$D$220-N111*(1-Assumptions!$D$220)*Assumptions!$D$220</f>
        <v>208.5</v>
      </c>
      <c r="AM116" s="53" t="n">
        <f aca="false">AL116+AM111-AA111*Assumptions!$D$220-O111*(1-Assumptions!$D$220)*Assumptions!$D$220</f>
        <v>222</v>
      </c>
    </row>
    <row r="117" customFormat="false" ht="15" hidden="false" customHeight="true" outlineLevel="0" collapsed="false">
      <c r="A117" s="5" t="s">
        <v>877</v>
      </c>
      <c r="B117" s="10" t="s">
        <v>64</v>
      </c>
      <c r="C117" s="12" t="n">
        <f aca="false">SUM(D117:AM117)</f>
        <v>1030320</v>
      </c>
      <c r="D117" s="11" t="n">
        <f aca="false">D112+0*Assumptions!$D$223+0*Assumptions!$D$224</f>
        <v>0</v>
      </c>
      <c r="E117" s="11" t="n">
        <f aca="false">E112+0*Assumptions!$D$223+0*Assumptions!$D$224</f>
        <v>0</v>
      </c>
      <c r="F117" s="11" t="n">
        <f aca="false">F112+0*Assumptions!$D$223+0*Assumptions!$D$224</f>
        <v>0</v>
      </c>
      <c r="G117" s="11" t="n">
        <f aca="false">G112+0*Assumptions!$D$223+0*Assumptions!$D$224</f>
        <v>0</v>
      </c>
      <c r="H117" s="11" t="n">
        <f aca="false">H112+0*Assumptions!$D$223+0*Assumptions!$D$224</f>
        <v>0</v>
      </c>
      <c r="I117" s="11" t="n">
        <f aca="false">I112+0*Assumptions!$D$223+0*Assumptions!$D$224</f>
        <v>0</v>
      </c>
      <c r="J117" s="11" t="n">
        <f aca="false">J112+0*Assumptions!$D$223+0*Assumptions!$D$224</f>
        <v>0</v>
      </c>
      <c r="K117" s="11" t="n">
        <f aca="false">K112+0*Assumptions!$D$223+0*Assumptions!$D$224</f>
        <v>0</v>
      </c>
      <c r="L117" s="11" t="n">
        <f aca="false">L112+0*Assumptions!$D$223+0*Assumptions!$D$224</f>
        <v>0</v>
      </c>
      <c r="M117" s="11" t="n">
        <f aca="false">M112+0*Assumptions!$D$223+0*Assumptions!$D$224</f>
        <v>0</v>
      </c>
      <c r="N117" s="11" t="n">
        <f aca="false">N112+0*Assumptions!$D$223+0*Assumptions!$D$224</f>
        <v>0</v>
      </c>
      <c r="O117" s="11" t="n">
        <f aca="false">O112+0*Assumptions!$D$223+0*Assumptions!$D$224</f>
        <v>0</v>
      </c>
      <c r="P117" s="11" t="n">
        <f aca="false">P112+D112*Assumptions!$D$223+0*Assumptions!$D$224</f>
        <v>18000</v>
      </c>
      <c r="Q117" s="11" t="n">
        <f aca="false">Q112+E112*Assumptions!$D$223+0*Assumptions!$D$224</f>
        <v>18000</v>
      </c>
      <c r="R117" s="11" t="n">
        <f aca="false">R112+F112*Assumptions!$D$223+0*Assumptions!$D$224</f>
        <v>18000</v>
      </c>
      <c r="S117" s="11" t="n">
        <f aca="false">S112+G112*Assumptions!$D$223+0*Assumptions!$D$224</f>
        <v>18000</v>
      </c>
      <c r="T117" s="11" t="n">
        <f aca="false">T112+H112*Assumptions!$D$223+0*Assumptions!$D$224</f>
        <v>18000</v>
      </c>
      <c r="U117" s="11" t="n">
        <f aca="false">U112+I112*Assumptions!$D$223+0*Assumptions!$D$224</f>
        <v>18000</v>
      </c>
      <c r="V117" s="11" t="n">
        <f aca="false">V112+J112*Assumptions!$D$223+0*Assumptions!$D$224</f>
        <v>18000</v>
      </c>
      <c r="W117" s="11" t="n">
        <f aca="false">W112+K112*Assumptions!$D$223+0*Assumptions!$D$224</f>
        <v>18000</v>
      </c>
      <c r="X117" s="11" t="n">
        <f aca="false">X112+L112*Assumptions!$D$223+0*Assumptions!$D$224</f>
        <v>18000</v>
      </c>
      <c r="Y117" s="11" t="n">
        <f aca="false">Y112+M112*Assumptions!$D$223+0*Assumptions!$D$224</f>
        <v>18000</v>
      </c>
      <c r="Z117" s="11" t="n">
        <f aca="false">Z112+N112*Assumptions!$D$223+0*Assumptions!$D$224</f>
        <v>18000</v>
      </c>
      <c r="AA117" s="11" t="n">
        <f aca="false">AA112+O112*Assumptions!$D$223+0*Assumptions!$D$224</f>
        <v>18000</v>
      </c>
      <c r="AB117" s="11" t="n">
        <f aca="false">AB112+P112*Assumptions!$D$223+D112*Assumptions!$D$224</f>
        <v>67860</v>
      </c>
      <c r="AC117" s="11" t="n">
        <f aca="false">AC112+Q112*Assumptions!$D$223+E112*Assumptions!$D$224</f>
        <v>67860</v>
      </c>
      <c r="AD117" s="11" t="n">
        <f aca="false">AD112+R112*Assumptions!$D$223+F112*Assumptions!$D$224</f>
        <v>67860</v>
      </c>
      <c r="AE117" s="11" t="n">
        <f aca="false">AE112+S112*Assumptions!$D$223+G112*Assumptions!$D$224</f>
        <v>67860</v>
      </c>
      <c r="AF117" s="11" t="n">
        <f aca="false">AF112+T112*Assumptions!$D$223+H112*Assumptions!$D$224</f>
        <v>67860</v>
      </c>
      <c r="AG117" s="11" t="n">
        <f aca="false">AG112+U112*Assumptions!$D$223+I112*Assumptions!$D$224</f>
        <v>67860</v>
      </c>
      <c r="AH117" s="11" t="n">
        <f aca="false">AH112+V112*Assumptions!$D$223+J112*Assumptions!$D$224</f>
        <v>67860</v>
      </c>
      <c r="AI117" s="11" t="n">
        <f aca="false">AI112+W112*Assumptions!$D$223+K112*Assumptions!$D$224</f>
        <v>67860</v>
      </c>
      <c r="AJ117" s="11" t="n">
        <f aca="false">AJ112+X112*Assumptions!$D$223+L112*Assumptions!$D$224</f>
        <v>67860</v>
      </c>
      <c r="AK117" s="11" t="n">
        <f aca="false">AK112+Y112*Assumptions!$D$223+M112*Assumptions!$D$224</f>
        <v>67860</v>
      </c>
      <c r="AL117" s="11" t="n">
        <f aca="false">AL112+Z112*Assumptions!$D$223+N112*Assumptions!$D$224</f>
        <v>67860</v>
      </c>
      <c r="AM117" s="11" t="n">
        <f aca="false">AM112+AA112*Assumptions!$D$223+O112*Assumptions!$D$224</f>
        <v>67860</v>
      </c>
    </row>
    <row r="118" customFormat="false" ht="15" hidden="false" customHeight="true" outlineLevel="0" collapsed="false">
      <c r="A118" s="5" t="s">
        <v>878</v>
      </c>
      <c r="B118" s="10" t="s">
        <v>64</v>
      </c>
      <c r="C118" s="12" t="n">
        <f aca="false">SUM(D118:AM118)</f>
        <v>657090</v>
      </c>
      <c r="D118" s="11" t="n">
        <f aca="false">D115/12</f>
        <v>0</v>
      </c>
      <c r="E118" s="11" t="n">
        <f aca="false">E115/12</f>
        <v>0</v>
      </c>
      <c r="F118" s="11" t="n">
        <f aca="false">F115/12</f>
        <v>0</v>
      </c>
      <c r="G118" s="11" t="n">
        <f aca="false">G115/12</f>
        <v>0</v>
      </c>
      <c r="H118" s="11" t="n">
        <f aca="false">H115/12</f>
        <v>0</v>
      </c>
      <c r="I118" s="11" t="n">
        <f aca="false">I115/12</f>
        <v>0</v>
      </c>
      <c r="J118" s="11" t="n">
        <f aca="false">J115/12</f>
        <v>0</v>
      </c>
      <c r="K118" s="11" t="n">
        <f aca="false">K115/12</f>
        <v>0</v>
      </c>
      <c r="L118" s="11" t="n">
        <f aca="false">L115/12</f>
        <v>0</v>
      </c>
      <c r="M118" s="11" t="n">
        <f aca="false">M115/12</f>
        <v>0</v>
      </c>
      <c r="N118" s="11" t="n">
        <f aca="false">N115/12</f>
        <v>0</v>
      </c>
      <c r="O118" s="11" t="n">
        <f aca="false">O115/12</f>
        <v>0</v>
      </c>
      <c r="P118" s="11" t="n">
        <f aca="false">P115/12</f>
        <v>1500</v>
      </c>
      <c r="Q118" s="11" t="n">
        <f aca="false">Q115/12</f>
        <v>3000</v>
      </c>
      <c r="R118" s="11" t="n">
        <f aca="false">R115/12</f>
        <v>4500</v>
      </c>
      <c r="S118" s="11" t="n">
        <f aca="false">S115/12</f>
        <v>6000</v>
      </c>
      <c r="T118" s="11" t="n">
        <f aca="false">T115/12</f>
        <v>7500</v>
      </c>
      <c r="U118" s="11" t="n">
        <f aca="false">U115/12</f>
        <v>9000</v>
      </c>
      <c r="V118" s="11" t="n">
        <f aca="false">V115/12</f>
        <v>10500</v>
      </c>
      <c r="W118" s="11" t="n">
        <f aca="false">W115/12</f>
        <v>12000</v>
      </c>
      <c r="X118" s="11" t="n">
        <f aca="false">X115/12</f>
        <v>13500</v>
      </c>
      <c r="Y118" s="11" t="n">
        <f aca="false">Y115/12</f>
        <v>15000</v>
      </c>
      <c r="Z118" s="11" t="n">
        <f aca="false">Z115/12</f>
        <v>16500</v>
      </c>
      <c r="AA118" s="11" t="n">
        <f aca="false">AA115/12</f>
        <v>18000</v>
      </c>
      <c r="AB118" s="11" t="n">
        <f aca="false">AB115/12</f>
        <v>22155</v>
      </c>
      <c r="AC118" s="11" t="n">
        <f aca="false">AC115/12</f>
        <v>26310</v>
      </c>
      <c r="AD118" s="11" t="n">
        <f aca="false">AD115/12</f>
        <v>30465</v>
      </c>
      <c r="AE118" s="11" t="n">
        <f aca="false">AE115/12</f>
        <v>34620</v>
      </c>
      <c r="AF118" s="11" t="n">
        <f aca="false">AF115/12</f>
        <v>38775</v>
      </c>
      <c r="AG118" s="11" t="n">
        <f aca="false">AG115/12</f>
        <v>42930</v>
      </c>
      <c r="AH118" s="11" t="n">
        <f aca="false">AH115/12</f>
        <v>47085</v>
      </c>
      <c r="AI118" s="11" t="n">
        <f aca="false">AI115/12</f>
        <v>51240</v>
      </c>
      <c r="AJ118" s="11" t="n">
        <f aca="false">AJ115/12</f>
        <v>55395</v>
      </c>
      <c r="AK118" s="11" t="n">
        <f aca="false">AK115/12</f>
        <v>59550</v>
      </c>
      <c r="AL118" s="11" t="n">
        <f aca="false">AL115/12</f>
        <v>63705</v>
      </c>
      <c r="AM118" s="11" t="n">
        <f aca="false">AM115/12</f>
        <v>67860</v>
      </c>
    </row>
    <row r="119" customFormat="false" ht="15" hidden="false" customHeight="true" outlineLevel="0" collapsed="false">
      <c r="A119" s="5" t="s">
        <v>879</v>
      </c>
      <c r="B119" s="10" t="s">
        <v>64</v>
      </c>
      <c r="C119" s="12" t="n">
        <f aca="false">AM119</f>
        <v>373230</v>
      </c>
      <c r="D119" s="11" t="n">
        <f aca="false">0+D117-D118</f>
        <v>0</v>
      </c>
      <c r="E119" s="11" t="n">
        <f aca="false">D119+E117-E118</f>
        <v>0</v>
      </c>
      <c r="F119" s="11" t="n">
        <f aca="false">E119+F117-F118</f>
        <v>0</v>
      </c>
      <c r="G119" s="11" t="n">
        <f aca="false">F119+G117-G118</f>
        <v>0</v>
      </c>
      <c r="H119" s="11" t="n">
        <f aca="false">G119+H117-H118</f>
        <v>0</v>
      </c>
      <c r="I119" s="11" t="n">
        <f aca="false">H119+I117-I118</f>
        <v>0</v>
      </c>
      <c r="J119" s="11" t="n">
        <f aca="false">I119+J117-J118</f>
        <v>0</v>
      </c>
      <c r="K119" s="11" t="n">
        <f aca="false">J119+K117-K118</f>
        <v>0</v>
      </c>
      <c r="L119" s="11" t="n">
        <f aca="false">K119+L117-L118</f>
        <v>0</v>
      </c>
      <c r="M119" s="11" t="n">
        <f aca="false">L119+M117-M118</f>
        <v>0</v>
      </c>
      <c r="N119" s="11" t="n">
        <f aca="false">M119+N117-N118</f>
        <v>0</v>
      </c>
      <c r="O119" s="11" t="n">
        <f aca="false">N119+O117-O118</f>
        <v>0</v>
      </c>
      <c r="P119" s="11" t="n">
        <f aca="false">O119+P117-P118</f>
        <v>16500</v>
      </c>
      <c r="Q119" s="11" t="n">
        <f aca="false">P119+Q117-Q118</f>
        <v>31500</v>
      </c>
      <c r="R119" s="11" t="n">
        <f aca="false">Q119+R117-R118</f>
        <v>45000</v>
      </c>
      <c r="S119" s="11" t="n">
        <f aca="false">R119+S117-S118</f>
        <v>57000</v>
      </c>
      <c r="T119" s="11" t="n">
        <f aca="false">S119+T117-T118</f>
        <v>67500</v>
      </c>
      <c r="U119" s="11" t="n">
        <f aca="false">T119+U117-U118</f>
        <v>76500</v>
      </c>
      <c r="V119" s="11" t="n">
        <f aca="false">U119+V117-V118</f>
        <v>84000</v>
      </c>
      <c r="W119" s="11" t="n">
        <f aca="false">V119+W117-W118</f>
        <v>90000</v>
      </c>
      <c r="X119" s="11" t="n">
        <f aca="false">W119+X117-X118</f>
        <v>94500</v>
      </c>
      <c r="Y119" s="11" t="n">
        <f aca="false">X119+Y117-Y118</f>
        <v>97500</v>
      </c>
      <c r="Z119" s="11" t="n">
        <f aca="false">Y119+Z117-Z118</f>
        <v>99000</v>
      </c>
      <c r="AA119" s="11" t="n">
        <f aca="false">Z119+AA117-AA118</f>
        <v>99000</v>
      </c>
      <c r="AB119" s="11" t="n">
        <f aca="false">AA119+AB117-AB118</f>
        <v>144705</v>
      </c>
      <c r="AC119" s="11" t="n">
        <f aca="false">AB119+AC117-AC118</f>
        <v>186255</v>
      </c>
      <c r="AD119" s="11" t="n">
        <f aca="false">AC119+AD117-AD118</f>
        <v>223650</v>
      </c>
      <c r="AE119" s="11" t="n">
        <f aca="false">AD119+AE117-AE118</f>
        <v>256890</v>
      </c>
      <c r="AF119" s="11" t="n">
        <f aca="false">AE119+AF117-AF118</f>
        <v>285975</v>
      </c>
      <c r="AG119" s="11" t="n">
        <f aca="false">AF119+AG117-AG118</f>
        <v>310905</v>
      </c>
      <c r="AH119" s="11" t="n">
        <f aca="false">AG119+AH117-AH118</f>
        <v>331680</v>
      </c>
      <c r="AI119" s="11" t="n">
        <f aca="false">AH119+AI117-AI118</f>
        <v>348300</v>
      </c>
      <c r="AJ119" s="11" t="n">
        <f aca="false">AI119+AJ117-AJ118</f>
        <v>360765</v>
      </c>
      <c r="AK119" s="11" t="n">
        <f aca="false">AJ119+AK117-AK118</f>
        <v>369075</v>
      </c>
      <c r="AL119" s="11" t="n">
        <f aca="false">AK119+AL117-AL118</f>
        <v>373230</v>
      </c>
      <c r="AM119" s="11" t="n">
        <f aca="false">AL119+AM117-AM118</f>
        <v>373230</v>
      </c>
    </row>
    <row r="120" customFormat="false" ht="15" hidden="false" customHeight="true" outlineLevel="0" collapsed="false">
      <c r="A120" s="5" t="s">
        <v>880</v>
      </c>
      <c r="B120" s="10" t="s">
        <v>64</v>
      </c>
      <c r="C120" s="12" t="n">
        <f aca="false">SUM(D120:AM120)</f>
        <v>25590.4058333333</v>
      </c>
      <c r="D120" s="11" t="n">
        <f aca="false">IF(D$3&gt;=Assumptions!$D$81,D92*INDEX(Assumptions!$D$82:$F$82,1,D$5)*Scenario_Control!$M$22*Assumptions!$D$83/12,0)</f>
        <v>0</v>
      </c>
      <c r="E120" s="11" t="n">
        <f aca="false">IF(E$3&gt;=Assumptions!$D$81,E92*INDEX(Assumptions!$D$82:$F$82,1,E$5)*Scenario_Control!$M$22*Assumptions!$D$83/12,0)</f>
        <v>0</v>
      </c>
      <c r="F120" s="11" t="n">
        <f aca="false">IF(F$3&gt;=Assumptions!$D$81,F92*INDEX(Assumptions!$D$82:$F$82,1,F$5)*Scenario_Control!$M$22*Assumptions!$D$83/12,0)</f>
        <v>0</v>
      </c>
      <c r="G120" s="11" t="n">
        <f aca="false">IF(G$3&gt;=Assumptions!$D$81,G92*INDEX(Assumptions!$D$82:$F$82,1,G$5)*Scenario_Control!$M$22*Assumptions!$D$83/12,0)</f>
        <v>0</v>
      </c>
      <c r="H120" s="11" t="n">
        <f aca="false">IF(H$3&gt;=Assumptions!$D$81,H92*INDEX(Assumptions!$D$82:$F$82,1,H$5)*Scenario_Control!$M$22*Assumptions!$D$83/12,0)</f>
        <v>0</v>
      </c>
      <c r="I120" s="11" t="n">
        <f aca="false">IF(I$3&gt;=Assumptions!$D$81,I92*INDEX(Assumptions!$D$82:$F$82,1,I$5)*Scenario_Control!$M$22*Assumptions!$D$83/12,0)</f>
        <v>0</v>
      </c>
      <c r="J120" s="11" t="n">
        <f aca="false">IF(J$3&gt;=Assumptions!$D$81,J92*INDEX(Assumptions!$D$82:$F$82,1,J$5)*Scenario_Control!$M$22*Assumptions!$D$83/12,0)</f>
        <v>0</v>
      </c>
      <c r="K120" s="11" t="n">
        <f aca="false">IF(K$3&gt;=Assumptions!$D$81,K92*INDEX(Assumptions!$D$82:$F$82,1,K$5)*Scenario_Control!$M$22*Assumptions!$D$83/12,0)</f>
        <v>0</v>
      </c>
      <c r="L120" s="11" t="n">
        <f aca="false">IF(L$3&gt;=Assumptions!$D$81,L92*INDEX(Assumptions!$D$82:$F$82,1,L$5)*Scenario_Control!$M$22*Assumptions!$D$83/12,0)</f>
        <v>0</v>
      </c>
      <c r="M120" s="11" t="n">
        <f aca="false">IF(M$3&gt;=Assumptions!$D$81,M92*INDEX(Assumptions!$D$82:$F$82,1,M$5)*Scenario_Control!$M$22*Assumptions!$D$83/12,0)</f>
        <v>0</v>
      </c>
      <c r="N120" s="11" t="n">
        <f aca="false">IF(N$3&gt;=Assumptions!$D$81,N92*INDEX(Assumptions!$D$82:$F$82,1,N$5)*Scenario_Control!$M$22*Assumptions!$D$83/12,0)</f>
        <v>0</v>
      </c>
      <c r="O120" s="11" t="n">
        <f aca="false">IF(O$3&gt;=Assumptions!$D$81,O92*INDEX(Assumptions!$D$82:$F$82,1,O$5)*Scenario_Control!$M$22*Assumptions!$D$83/12,0)</f>
        <v>0</v>
      </c>
      <c r="P120" s="11" t="n">
        <f aca="false">IF(P$3&gt;=Assumptions!$D$81,P92*INDEX(Assumptions!$D$82:$F$82,1,P$5)*Scenario_Control!$M$22*Assumptions!$D$83/12,0)</f>
        <v>36.6666666666667</v>
      </c>
      <c r="Q120" s="11" t="n">
        <f aca="false">IF(Q$3&gt;=Assumptions!$D$81,Q92*INDEX(Assumptions!$D$82:$F$82,1,Q$5)*Scenario_Control!$M$22*Assumptions!$D$83/12,0)</f>
        <v>50</v>
      </c>
      <c r="R120" s="11" t="n">
        <f aca="false">IF(R$3&gt;=Assumptions!$D$81,R92*INDEX(Assumptions!$D$82:$F$82,1,R$5)*Scenario_Control!$M$22*Assumptions!$D$83/12,0)</f>
        <v>65</v>
      </c>
      <c r="S120" s="11" t="n">
        <f aca="false">IF(S$3&gt;=Assumptions!$D$81,S92*INDEX(Assumptions!$D$82:$F$82,1,S$5)*Scenario_Control!$M$22*Assumptions!$D$83/12,0)</f>
        <v>79.1666666666667</v>
      </c>
      <c r="T120" s="11" t="n">
        <f aca="false">IF(T$3&gt;=Assumptions!$D$81,T92*INDEX(Assumptions!$D$82:$F$82,1,T$5)*Scenario_Control!$M$22*Assumptions!$D$83/12,0)</f>
        <v>87.5</v>
      </c>
      <c r="U120" s="11" t="n">
        <f aca="false">IF(U$3&gt;=Assumptions!$D$81,U92*INDEX(Assumptions!$D$82:$F$82,1,U$5)*Scenario_Control!$M$22*Assumptions!$D$83/12,0)</f>
        <v>91.6666666666667</v>
      </c>
      <c r="V120" s="11" t="n">
        <f aca="false">IF(V$3&gt;=Assumptions!$D$81,V92*INDEX(Assumptions!$D$82:$F$82,1,V$5)*Scenario_Control!$M$22*Assumptions!$D$83/12,0)</f>
        <v>113.75</v>
      </c>
      <c r="W120" s="11" t="n">
        <f aca="false">IF(W$3&gt;=Assumptions!$D$81,W92*INDEX(Assumptions!$D$82:$F$82,1,W$5)*Scenario_Control!$M$22*Assumptions!$D$83/12,0)</f>
        <v>134.375</v>
      </c>
      <c r="X120" s="11" t="n">
        <f aca="false">IF(X$3&gt;=Assumptions!$D$81,X92*INDEX(Assumptions!$D$82:$F$82,1,X$5)*Scenario_Control!$M$22*Assumptions!$D$83/12,0)</f>
        <v>174.6</v>
      </c>
      <c r="Y120" s="11" t="n">
        <f aca="false">IF(Y$3&gt;=Assumptions!$D$81,Y92*INDEX(Assumptions!$D$82:$F$82,1,Y$5)*Scenario_Control!$M$22*Assumptions!$D$83/12,0)</f>
        <v>215.933333333333</v>
      </c>
      <c r="Z120" s="11" t="n">
        <f aca="false">IF(Z$3&gt;=Assumptions!$D$81,Z92*INDEX(Assumptions!$D$82:$F$82,1,Z$5)*Scenario_Control!$M$22*Assumptions!$D$83/12,0)</f>
        <v>277.833333333333</v>
      </c>
      <c r="AA120" s="11" t="n">
        <f aca="false">IF(AA$3&gt;=Assumptions!$D$81,AA92*INDEX(Assumptions!$D$82:$F$82,1,AA$5)*Scenario_Control!$M$22*Assumptions!$D$83/12,0)</f>
        <v>348</v>
      </c>
      <c r="AB120" s="11" t="n">
        <f aca="false">IF(AB$3&gt;=Assumptions!$D$81,AB92*INDEX(Assumptions!$D$82:$F$82,1,AB$5)*Scenario_Control!$M$22*Assumptions!$D$83/12,0)</f>
        <v>1081.20833333333</v>
      </c>
      <c r="AC120" s="11" t="n">
        <f aca="false">IF(AC$3&gt;=Assumptions!$D$81,AC92*INDEX(Assumptions!$D$82:$F$82,1,AC$5)*Scenario_Control!$M$22*Assumptions!$D$83/12,0)</f>
        <v>1294.6875</v>
      </c>
      <c r="AD120" s="11" t="n">
        <f aca="false">IF(AD$3&gt;=Assumptions!$D$81,AD92*INDEX(Assumptions!$D$82:$F$82,1,AD$5)*Scenario_Control!$M$22*Assumptions!$D$83/12,0)</f>
        <v>1463.5625</v>
      </c>
      <c r="AE120" s="11" t="n">
        <f aca="false">IF(AE$3&gt;=Assumptions!$D$81,AE92*INDEX(Assumptions!$D$82:$F$82,1,AE$5)*Scenario_Control!$M$22*Assumptions!$D$83/12,0)</f>
        <v>1588.33333333333</v>
      </c>
      <c r="AF120" s="11" t="n">
        <f aca="false">IF(AF$3&gt;=Assumptions!$D$81,AF92*INDEX(Assumptions!$D$82:$F$82,1,AF$5)*Scenario_Control!$M$22*Assumptions!$D$83/12,0)</f>
        <v>1670</v>
      </c>
      <c r="AG120" s="11" t="n">
        <f aca="false">IF(AG$3&gt;=Assumptions!$D$81,AG92*INDEX(Assumptions!$D$82:$F$82,1,AG$5)*Scenario_Control!$M$22*Assumptions!$D$83/12,0)</f>
        <v>1742.08333333333</v>
      </c>
      <c r="AH120" s="11" t="n">
        <f aca="false">IF(AH$3&gt;=Assumptions!$D$81,AH92*INDEX(Assumptions!$D$82:$F$82,1,AH$5)*Scenario_Control!$M$22*Assumptions!$D$83/12,0)</f>
        <v>1899.125</v>
      </c>
      <c r="AI120" s="11" t="n">
        <f aca="false">IF(AI$3&gt;=Assumptions!$D$81,AI92*INDEX(Assumptions!$D$82:$F$82,1,AI$5)*Scenario_Control!$M$22*Assumptions!$D$83/12,0)</f>
        <v>2043.4375</v>
      </c>
      <c r="AJ120" s="11" t="n">
        <f aca="false">IF(AJ$3&gt;=Assumptions!$D$81,AJ92*INDEX(Assumptions!$D$82:$F$82,1,AJ$5)*Scenario_Control!$M$22*Assumptions!$D$83/12,0)</f>
        <v>2289.08</v>
      </c>
      <c r="AK120" s="11" t="n">
        <f aca="false">IF(AK$3&gt;=Assumptions!$D$81,AK92*INDEX(Assumptions!$D$82:$F$82,1,AK$5)*Scenario_Control!$M$22*Assumptions!$D$83/12,0)</f>
        <v>2550.81333333333</v>
      </c>
      <c r="AL120" s="11" t="n">
        <f aca="false">IF(AL$3&gt;=Assumptions!$D$81,AL92*INDEX(Assumptions!$D$82:$F$82,1,AL$5)*Scenario_Control!$M$22*Assumptions!$D$83/12,0)</f>
        <v>2930.68333333333</v>
      </c>
      <c r="AM120" s="11" t="n">
        <f aca="false">IF(AM$3&gt;=Assumptions!$D$81,AM92*INDEX(Assumptions!$D$82:$F$82,1,AM$5)*Scenario_Control!$M$22*Assumptions!$D$83/12,0)</f>
        <v>3362.9</v>
      </c>
    </row>
    <row r="121" customFormat="false" ht="15" hidden="false" customHeight="true" outlineLevel="0" collapsed="false">
      <c r="A121" s="13" t="s">
        <v>881</v>
      </c>
      <c r="B121" s="14" t="s">
        <v>100</v>
      </c>
      <c r="C121" s="35" t="n">
        <f aca="false">AM121</f>
        <v>101532.885226667</v>
      </c>
      <c r="D121" s="35" t="n">
        <f aca="false">D61*Assumptions!$D$36+D81+D96</f>
        <v>0</v>
      </c>
      <c r="E121" s="35" t="n">
        <f aca="false">E61*Assumptions!$D$36+E81+E96</f>
        <v>0</v>
      </c>
      <c r="F121" s="35" t="n">
        <f aca="false">F61*Assumptions!$D$36+F81+F96</f>
        <v>25</v>
      </c>
      <c r="G121" s="35" t="n">
        <f aca="false">G61*Assumptions!$D$36+G81+G96</f>
        <v>45.8333333333333</v>
      </c>
      <c r="H121" s="35" t="n">
        <f aca="false">H61*Assumptions!$D$36+H81+H96</f>
        <v>158.333333333333</v>
      </c>
      <c r="I121" s="35" t="n">
        <f aca="false">I61*Assumptions!$D$36+I81+I96</f>
        <v>262.5</v>
      </c>
      <c r="J121" s="35" t="n">
        <f aca="false">J61*Assumptions!$D$36+J81+J96</f>
        <v>433.333333333333</v>
      </c>
      <c r="K121" s="35" t="n">
        <f aca="false">K61*Assumptions!$D$36+K81+K96</f>
        <v>625</v>
      </c>
      <c r="L121" s="35" t="n">
        <f aca="false">L61*Assumptions!$D$36+L81+L96</f>
        <v>1140</v>
      </c>
      <c r="M121" s="35" t="n">
        <f aca="false">M61*Assumptions!$D$36+M81+M96</f>
        <v>1631.66666666667</v>
      </c>
      <c r="N121" s="35" t="n">
        <f aca="false">N61*Assumptions!$D$36+N81+N96</f>
        <v>2295.83333333333</v>
      </c>
      <c r="O121" s="35" t="n">
        <f aca="false">O61*Assumptions!$D$36+O81+O96</f>
        <v>2970.83333333333</v>
      </c>
      <c r="P121" s="35" t="n">
        <f aca="false">P61*Assumptions!$D$36+P81+P96</f>
        <v>3730.83333333333</v>
      </c>
      <c r="Q121" s="35" t="n">
        <f aca="false">Q61*Assumptions!$D$36+Q81+Q96</f>
        <v>4525</v>
      </c>
      <c r="R121" s="35" t="n">
        <f aca="false">R61*Assumptions!$D$36+R81+R96</f>
        <v>5432.5</v>
      </c>
      <c r="S121" s="35" t="n">
        <f aca="false">S61*Assumptions!$D$36+S81+S96</f>
        <v>6310.41666666667</v>
      </c>
      <c r="T121" s="35" t="n">
        <f aca="false">T61*Assumptions!$D$36+T81+T96</f>
        <v>7444.75333333333</v>
      </c>
      <c r="U121" s="35" t="n">
        <f aca="false">U61*Assumptions!$D$36+U81+U96</f>
        <v>8268.85333333333</v>
      </c>
      <c r="V121" s="35" t="n">
        <f aca="false">V61*Assumptions!$D$36+V81+V96</f>
        <v>10239.7333333333</v>
      </c>
      <c r="W121" s="35" t="n">
        <f aca="false">W61*Assumptions!$D$36+W81+W96</f>
        <v>12294.6</v>
      </c>
      <c r="X121" s="35" t="n">
        <f aca="false">X61*Assumptions!$D$36+X81+X96</f>
        <v>15704.984</v>
      </c>
      <c r="Y121" s="35" t="n">
        <f aca="false">Y61*Assumptions!$D$36+Y81+Y96</f>
        <v>19312.8573333333</v>
      </c>
      <c r="Z121" s="35" t="n">
        <f aca="false">Z61*Assumptions!$D$36+Z81+Z96</f>
        <v>24014.39</v>
      </c>
      <c r="AA121" s="35" t="n">
        <f aca="false">AA61*Assumptions!$D$36+AA81+AA96</f>
        <v>28930.7533333333</v>
      </c>
      <c r="AB121" s="35" t="n">
        <f aca="false">AB61*Assumptions!$D$36+AB81+AB96</f>
        <v>33854.896</v>
      </c>
      <c r="AC121" s="35" t="n">
        <f aca="false">AC61*Assumptions!$D$36+AC81+AC96</f>
        <v>38409.24</v>
      </c>
      <c r="AD121" s="35" t="n">
        <f aca="false">AD61*Assumptions!$D$36+AD81+AD96</f>
        <v>42247.232</v>
      </c>
      <c r="AE121" s="35" t="n">
        <f aca="false">AE61*Assumptions!$D$36+AE81+AE96</f>
        <v>45528.5466666667</v>
      </c>
      <c r="AF121" s="35" t="n">
        <f aca="false">AF61*Assumptions!$D$36+AF81+AF96</f>
        <v>48666.1312266667</v>
      </c>
      <c r="AG121" s="35" t="n">
        <f aca="false">AG61*Assumptions!$D$36+AG81+AG96</f>
        <v>51261.46336</v>
      </c>
      <c r="AH121" s="35" t="n">
        <f aca="false">AH61*Assumptions!$D$36+AH81+AH96</f>
        <v>56338.0578666667</v>
      </c>
      <c r="AI121" s="35" t="n">
        <f aca="false">AI61*Assumptions!$D$36+AI81+AI96</f>
        <v>61500.9528</v>
      </c>
      <c r="AJ121" s="35" t="n">
        <f aca="false">AJ61*Assumptions!$D$36+AJ81+AJ96</f>
        <v>69527.571712</v>
      </c>
      <c r="AK121" s="35" t="n">
        <f aca="false">AK61*Assumptions!$D$36+AK81+AK96</f>
        <v>78211.3890986667</v>
      </c>
      <c r="AL121" s="35" t="n">
        <f aca="false">AL61*Assumptions!$D$36+AL81+AL96</f>
        <v>89533.65352</v>
      </c>
      <c r="AM121" s="35" t="n">
        <f aca="false">AM61*Assumptions!$D$36+AM81+AM96</f>
        <v>101532.885226667</v>
      </c>
    </row>
    <row r="122" customFormat="false" ht="15" hidden="false" customHeight="true" outlineLevel="0" collapsed="false">
      <c r="A122" s="5" t="s">
        <v>882</v>
      </c>
      <c r="B122" s="10" t="s">
        <v>64</v>
      </c>
      <c r="C122" s="12" t="n">
        <f aca="false">SUM(D122:AM122)</f>
        <v>67532.5124564445</v>
      </c>
      <c r="D122" s="11" t="n">
        <f aca="false">D121*INDEX(Assumptions!$D$84:$F$84,1,D$5)*Scenario_Control!$M$22*Assumptions!$D$85/12</f>
        <v>0</v>
      </c>
      <c r="E122" s="11" t="n">
        <f aca="false">E121*INDEX(Assumptions!$D$84:$F$84,1,E$5)*Scenario_Control!$M$22*Assumptions!$D$85/12</f>
        <v>0</v>
      </c>
      <c r="F122" s="11" t="n">
        <f aca="false">F121*INDEX(Assumptions!$D$84:$F$84,1,F$5)*Scenario_Control!$M$22*Assumptions!$D$85/12</f>
        <v>0.520833333333333</v>
      </c>
      <c r="G122" s="11" t="n">
        <f aca="false">G121*INDEX(Assumptions!$D$84:$F$84,1,G$5)*Scenario_Control!$M$22*Assumptions!$D$85/12</f>
        <v>0.954861111111111</v>
      </c>
      <c r="H122" s="11" t="n">
        <f aca="false">H121*INDEX(Assumptions!$D$84:$F$84,1,H$5)*Scenario_Control!$M$22*Assumptions!$D$85/12</f>
        <v>3.29861111111111</v>
      </c>
      <c r="I122" s="11" t="n">
        <f aca="false">I121*INDEX(Assumptions!$D$84:$F$84,1,I$5)*Scenario_Control!$M$22*Assumptions!$D$85/12</f>
        <v>5.46875</v>
      </c>
      <c r="J122" s="11" t="n">
        <f aca="false">J121*INDEX(Assumptions!$D$84:$F$84,1,J$5)*Scenario_Control!$M$22*Assumptions!$D$85/12</f>
        <v>9.02777777777778</v>
      </c>
      <c r="K122" s="11" t="n">
        <f aca="false">K121*INDEX(Assumptions!$D$84:$F$84,1,K$5)*Scenario_Control!$M$22*Assumptions!$D$85/12</f>
        <v>13.0208333333333</v>
      </c>
      <c r="L122" s="11" t="n">
        <f aca="false">L121*INDEX(Assumptions!$D$84:$F$84,1,L$5)*Scenario_Control!$M$22*Assumptions!$D$85/12</f>
        <v>23.75</v>
      </c>
      <c r="M122" s="11" t="n">
        <f aca="false">M121*INDEX(Assumptions!$D$84:$F$84,1,M$5)*Scenario_Control!$M$22*Assumptions!$D$85/12</f>
        <v>33.9930555555556</v>
      </c>
      <c r="N122" s="11" t="n">
        <f aca="false">N121*INDEX(Assumptions!$D$84:$F$84,1,N$5)*Scenario_Control!$M$22*Assumptions!$D$85/12</f>
        <v>47.8298611111111</v>
      </c>
      <c r="O122" s="11" t="n">
        <f aca="false">O121*INDEX(Assumptions!$D$84:$F$84,1,O$5)*Scenario_Control!$M$22*Assumptions!$D$85/12</f>
        <v>61.8923611111111</v>
      </c>
      <c r="P122" s="11" t="n">
        <f aca="false">P121*INDEX(Assumptions!$D$84:$F$84,1,P$5)*Scenario_Control!$M$22*Assumptions!$D$85/12</f>
        <v>194.314236111111</v>
      </c>
      <c r="Q122" s="11" t="n">
        <f aca="false">Q121*INDEX(Assumptions!$D$84:$F$84,1,Q$5)*Scenario_Control!$M$22*Assumptions!$D$85/12</f>
        <v>235.677083333333</v>
      </c>
      <c r="R122" s="11" t="n">
        <f aca="false">R121*INDEX(Assumptions!$D$84:$F$84,1,R$5)*Scenario_Control!$M$22*Assumptions!$D$85/12</f>
        <v>282.942708333333</v>
      </c>
      <c r="S122" s="11" t="n">
        <f aca="false">S121*INDEX(Assumptions!$D$84:$F$84,1,S$5)*Scenario_Control!$M$22*Assumptions!$D$85/12</f>
        <v>328.667534722222</v>
      </c>
      <c r="T122" s="11" t="n">
        <f aca="false">T121*INDEX(Assumptions!$D$84:$F$84,1,T$5)*Scenario_Control!$M$22*Assumptions!$D$85/12</f>
        <v>387.747569444445</v>
      </c>
      <c r="U122" s="11" t="n">
        <f aca="false">U121*INDEX(Assumptions!$D$84:$F$84,1,U$5)*Scenario_Control!$M$22*Assumptions!$D$85/12</f>
        <v>430.669444444444</v>
      </c>
      <c r="V122" s="11" t="n">
        <f aca="false">V121*INDEX(Assumptions!$D$84:$F$84,1,V$5)*Scenario_Control!$M$22*Assumptions!$D$85/12</f>
        <v>533.319444444445</v>
      </c>
      <c r="W122" s="11" t="n">
        <f aca="false">W121*INDEX(Assumptions!$D$84:$F$84,1,W$5)*Scenario_Control!$M$22*Assumptions!$D$85/12</f>
        <v>640.34375</v>
      </c>
      <c r="X122" s="11" t="n">
        <f aca="false">X121*INDEX(Assumptions!$D$84:$F$84,1,X$5)*Scenario_Control!$M$22*Assumptions!$D$85/12</f>
        <v>817.967916666667</v>
      </c>
      <c r="Y122" s="11" t="n">
        <f aca="false">Y121*INDEX(Assumptions!$D$84:$F$84,1,Y$5)*Scenario_Control!$M$22*Assumptions!$D$85/12</f>
        <v>1005.87798611111</v>
      </c>
      <c r="Z122" s="11" t="n">
        <f aca="false">Z121*INDEX(Assumptions!$D$84:$F$84,1,Z$5)*Scenario_Control!$M$22*Assumptions!$D$85/12</f>
        <v>1250.74947916667</v>
      </c>
      <c r="AA122" s="11" t="n">
        <f aca="false">AA121*INDEX(Assumptions!$D$84:$F$84,1,AA$5)*Scenario_Control!$M$22*Assumptions!$D$85/12</f>
        <v>1506.81006944444</v>
      </c>
      <c r="AB122" s="11" t="n">
        <f aca="false">AB121*INDEX(Assumptions!$D$84:$F$84,1,AB$5)*Scenario_Control!$M$22*Assumptions!$D$85/12</f>
        <v>2821.24133333333</v>
      </c>
      <c r="AC122" s="11" t="n">
        <f aca="false">AC121*INDEX(Assumptions!$D$84:$F$84,1,AC$5)*Scenario_Control!$M$22*Assumptions!$D$85/12</f>
        <v>3200.77</v>
      </c>
      <c r="AD122" s="11" t="n">
        <f aca="false">AD121*INDEX(Assumptions!$D$84:$F$84,1,AD$5)*Scenario_Control!$M$22*Assumptions!$D$85/12</f>
        <v>3520.60266666667</v>
      </c>
      <c r="AE122" s="11" t="n">
        <f aca="false">AE121*INDEX(Assumptions!$D$84:$F$84,1,AE$5)*Scenario_Control!$M$22*Assumptions!$D$85/12</f>
        <v>3794.04555555556</v>
      </c>
      <c r="AF122" s="11" t="n">
        <f aca="false">AF121*INDEX(Assumptions!$D$84:$F$84,1,AF$5)*Scenario_Control!$M$22*Assumptions!$D$85/12</f>
        <v>4055.51093555556</v>
      </c>
      <c r="AG122" s="11" t="n">
        <f aca="false">AG121*INDEX(Assumptions!$D$84:$F$84,1,AG$5)*Scenario_Control!$M$22*Assumptions!$D$85/12</f>
        <v>4271.78861333334</v>
      </c>
      <c r="AH122" s="11" t="n">
        <f aca="false">AH121*INDEX(Assumptions!$D$84:$F$84,1,AH$5)*Scenario_Control!$M$22*Assumptions!$D$85/12</f>
        <v>4694.83815555556</v>
      </c>
      <c r="AI122" s="11" t="n">
        <f aca="false">AI121*INDEX(Assumptions!$D$84:$F$84,1,AI$5)*Scenario_Control!$M$22*Assumptions!$D$85/12</f>
        <v>5125.0794</v>
      </c>
      <c r="AJ122" s="11" t="n">
        <f aca="false">AJ121*INDEX(Assumptions!$D$84:$F$84,1,AJ$5)*Scenario_Control!$M$22*Assumptions!$D$85/12</f>
        <v>5793.96430933333</v>
      </c>
      <c r="AK122" s="11" t="n">
        <f aca="false">AK121*INDEX(Assumptions!$D$84:$F$84,1,AK$5)*Scenario_Control!$M$22*Assumptions!$D$85/12</f>
        <v>6517.61575822222</v>
      </c>
      <c r="AL122" s="11" t="n">
        <f aca="false">AL121*INDEX(Assumptions!$D$84:$F$84,1,AL$5)*Scenario_Control!$M$22*Assumptions!$D$85/12</f>
        <v>7461.13779333333</v>
      </c>
      <c r="AM122" s="11" t="n">
        <f aca="false">AM121*INDEX(Assumptions!$D$84:$F$84,1,AM$5)*Scenario_Control!$M$22*Assumptions!$D$85/12</f>
        <v>8461.07376888889</v>
      </c>
    </row>
    <row r="124" customFormat="false" ht="15" hidden="false" customHeight="true" outlineLevel="0" collapsed="false">
      <c r="A124" s="8" t="s">
        <v>883</v>
      </c>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row>
    <row r="125" customFormat="false" ht="15" hidden="false" customHeight="true" outlineLevel="0" collapsed="false">
      <c r="A125" s="13" t="s">
        <v>884</v>
      </c>
      <c r="B125" s="14" t="s">
        <v>100</v>
      </c>
      <c r="C125" s="35" t="n">
        <f aca="false">AM125</f>
        <v>160338.650730896</v>
      </c>
      <c r="D125" s="35" t="n">
        <f aca="false">D18+D23+D121</f>
        <v>390.625</v>
      </c>
      <c r="E125" s="35" t="n">
        <f aca="false">E18+E23+E121</f>
        <v>605.984375</v>
      </c>
      <c r="F125" s="35" t="n">
        <f aca="false">F18+F23+F121</f>
        <v>1695.27984375</v>
      </c>
      <c r="G125" s="35" t="n">
        <f aca="false">G18+G23+G121</f>
        <v>2338.04254739583</v>
      </c>
      <c r="H125" s="35" t="n">
        <f aca="false">H18+H23+H121</f>
        <v>2964.26123019271</v>
      </c>
      <c r="I125" s="35" t="n">
        <f aca="false">I18+I23+I121</f>
        <v>3401.14712653641</v>
      </c>
      <c r="J125" s="35" t="n">
        <f aca="false">J18+J23+J121</f>
        <v>3732.56654060132</v>
      </c>
      <c r="K125" s="35" t="n">
        <f aca="false">K18+K23+K121</f>
        <v>4077.34944649831</v>
      </c>
      <c r="L125" s="35" t="n">
        <f aca="false">L18+L23+L121</f>
        <v>4972.74832929963</v>
      </c>
      <c r="M125" s="35" t="n">
        <f aca="false">M18+M23+M121</f>
        <v>7154.79543871744</v>
      </c>
      <c r="N125" s="35" t="n">
        <f aca="false">N18+N23+N121</f>
        <v>9583.71834726041</v>
      </c>
      <c r="O125" s="35" t="n">
        <f aca="false">O18+O23+O121</f>
        <v>10688.1687626046</v>
      </c>
      <c r="P125" s="35" t="n">
        <f aca="false">P18+P23+P121</f>
        <v>12319.4054901483</v>
      </c>
      <c r="Q125" s="35" t="n">
        <f aca="false">Q18+Q23+Q121</f>
        <v>13445.7797446234</v>
      </c>
      <c r="R125" s="35" t="n">
        <f aca="false">R18+R23+R121</f>
        <v>17405.048127702</v>
      </c>
      <c r="S125" s="35" t="n">
        <f aca="false">S18+S23+S121</f>
        <v>19943.4418717936</v>
      </c>
      <c r="T125" s="35" t="n">
        <f aca="false">T18+T23+T121</f>
        <v>22409.7591611216</v>
      </c>
      <c r="U125" s="35" t="n">
        <f aca="false">U18+U23+U121</f>
        <v>24004.9286863915</v>
      </c>
      <c r="V125" s="35" t="n">
        <f aca="false">V18+V23+V121</f>
        <v>26213.4932438151</v>
      </c>
      <c r="W125" s="35" t="n">
        <f aca="false">W18+W23+W121</f>
        <v>28496.0351584031</v>
      </c>
      <c r="X125" s="35" t="n">
        <f aca="false">X18+X23+X121</f>
        <v>32870.4693500777</v>
      </c>
      <c r="Y125" s="35" t="n">
        <f aca="false">Y18+Y23+Y121</f>
        <v>41623.6178985968</v>
      </c>
      <c r="Z125" s="35" t="n">
        <f aca="false">Z18+Z23+Z121</f>
        <v>51718.1064985749</v>
      </c>
      <c r="AA125" s="35" t="n">
        <f aca="false">AA18+AA23+AA121</f>
        <v>57788.247467253</v>
      </c>
      <c r="AB125" s="35" t="n">
        <f aca="false">AB18+AB23+AB121</f>
        <v>63487.5927481754</v>
      </c>
      <c r="AC125" s="35" t="n">
        <f aca="false">AC18+AC23+AC121</f>
        <v>67917.2715811984</v>
      </c>
      <c r="AD125" s="35" t="n">
        <f aca="false">AD18+AD23+AD121</f>
        <v>76394.098493467</v>
      </c>
      <c r="AE125" s="35" t="n">
        <f aca="false">AE18+AE23+AE121</f>
        <v>81928.156727795</v>
      </c>
      <c r="AF125" s="35" t="n">
        <f aca="false">AF18+AF23+AF121</f>
        <v>86778.8745889678</v>
      </c>
      <c r="AG125" s="35" t="n">
        <f aca="false">AG18+AG23+AG121</f>
        <v>90142.1609025144</v>
      </c>
      <c r="AH125" s="35" t="n">
        <f aca="false">AH18+AH23+AH121</f>
        <v>95088.0390568924</v>
      </c>
      <c r="AI125" s="35" t="n">
        <f aca="false">AI18+AI23+AI121</f>
        <v>100130.161372002</v>
      </c>
      <c r="AJ125" s="35" t="n">
        <f aca="false">AJ18+AJ23+AJ121</f>
        <v>109342.148407949</v>
      </c>
      <c r="AK125" s="35" t="n">
        <f aca="false">AK18+AK23+AK121</f>
        <v>126504.783294568</v>
      </c>
      <c r="AL125" s="35" t="n">
        <f aca="false">AL18+AL23+AL121</f>
        <v>146758.011102826</v>
      </c>
      <c r="AM125" s="35" t="n">
        <f aca="false">AM18+AM23+AM121</f>
        <v>160338.650730896</v>
      </c>
    </row>
    <row r="126" customFormat="false" ht="15" hidden="false" customHeight="true" outlineLevel="0" collapsed="false">
      <c r="A126" s="5" t="s">
        <v>885</v>
      </c>
      <c r="B126" s="10" t="s">
        <v>184</v>
      </c>
      <c r="C126" s="21"/>
      <c r="D126" s="20" t="n">
        <f aca="false">IF(D$3&gt;=Assumptions!$D$108+Scenario_Control!$M$21,1,0)</f>
        <v>0</v>
      </c>
      <c r="E126" s="20" t="n">
        <f aca="false">IF(E$3&gt;=Assumptions!$D$108+Scenario_Control!$M$21,1,0)</f>
        <v>0</v>
      </c>
      <c r="F126" s="20" t="n">
        <f aca="false">IF(F$3&gt;=Assumptions!$D$108+Scenario_Control!$M$21,1,0)</f>
        <v>0</v>
      </c>
      <c r="G126" s="20" t="n">
        <f aca="false">IF(G$3&gt;=Assumptions!$D$108+Scenario_Control!$M$21,1,0)</f>
        <v>0</v>
      </c>
      <c r="H126" s="20" t="n">
        <f aca="false">IF(H$3&gt;=Assumptions!$D$108+Scenario_Control!$M$21,1,0)</f>
        <v>0</v>
      </c>
      <c r="I126" s="20" t="n">
        <f aca="false">IF(I$3&gt;=Assumptions!$D$108+Scenario_Control!$M$21,1,0)</f>
        <v>0</v>
      </c>
      <c r="J126" s="20" t="n">
        <f aca="false">IF(J$3&gt;=Assumptions!$D$108+Scenario_Control!$M$21,1,0)</f>
        <v>0</v>
      </c>
      <c r="K126" s="20" t="n">
        <f aca="false">IF(K$3&gt;=Assumptions!$D$108+Scenario_Control!$M$21,1,0)</f>
        <v>0</v>
      </c>
      <c r="L126" s="20" t="n">
        <f aca="false">IF(L$3&gt;=Assumptions!$D$108+Scenario_Control!$M$21,1,0)</f>
        <v>0</v>
      </c>
      <c r="M126" s="20" t="n">
        <f aca="false">IF(M$3&gt;=Assumptions!$D$108+Scenario_Control!$M$21,1,0)</f>
        <v>0</v>
      </c>
      <c r="N126" s="20" t="n">
        <f aca="false">IF(N$3&gt;=Assumptions!$D$108+Scenario_Control!$M$21,1,0)</f>
        <v>0</v>
      </c>
      <c r="O126" s="20" t="n">
        <f aca="false">IF(O$3&gt;=Assumptions!$D$108+Scenario_Control!$M$21,1,0)</f>
        <v>0</v>
      </c>
      <c r="P126" s="20" t="n">
        <f aca="false">IF(P$3&gt;=Assumptions!$D$108+Scenario_Control!$M$21,1,0)</f>
        <v>0</v>
      </c>
      <c r="Q126" s="20" t="n">
        <f aca="false">IF(Q$3&gt;=Assumptions!$D$108+Scenario_Control!$M$21,1,0)</f>
        <v>0</v>
      </c>
      <c r="R126" s="20" t="n">
        <f aca="false">IF(R$3&gt;=Assumptions!$D$108+Scenario_Control!$M$21,1,0)</f>
        <v>0</v>
      </c>
      <c r="S126" s="20" t="n">
        <f aca="false">IF(S$3&gt;=Assumptions!$D$108+Scenario_Control!$M$21,1,0)</f>
        <v>0</v>
      </c>
      <c r="T126" s="20" t="n">
        <f aca="false">IF(T$3&gt;=Assumptions!$D$108+Scenario_Control!$M$21,1,0)</f>
        <v>0</v>
      </c>
      <c r="U126" s="20" t="n">
        <f aca="false">IF(U$3&gt;=Assumptions!$D$108+Scenario_Control!$M$21,1,0)</f>
        <v>0</v>
      </c>
      <c r="V126" s="20" t="n">
        <f aca="false">IF(V$3&gt;=Assumptions!$D$108+Scenario_Control!$M$21,1,0)</f>
        <v>1</v>
      </c>
      <c r="W126" s="20" t="n">
        <f aca="false">IF(W$3&gt;=Assumptions!$D$108+Scenario_Control!$M$21,1,0)</f>
        <v>1</v>
      </c>
      <c r="X126" s="20" t="n">
        <f aca="false">IF(X$3&gt;=Assumptions!$D$108+Scenario_Control!$M$21,1,0)</f>
        <v>1</v>
      </c>
      <c r="Y126" s="20" t="n">
        <f aca="false">IF(Y$3&gt;=Assumptions!$D$108+Scenario_Control!$M$21,1,0)</f>
        <v>1</v>
      </c>
      <c r="Z126" s="20" t="n">
        <f aca="false">IF(Z$3&gt;=Assumptions!$D$108+Scenario_Control!$M$21,1,0)</f>
        <v>1</v>
      </c>
      <c r="AA126" s="20" t="n">
        <f aca="false">IF(AA$3&gt;=Assumptions!$D$108+Scenario_Control!$M$21,1,0)</f>
        <v>1</v>
      </c>
      <c r="AB126" s="20" t="n">
        <f aca="false">IF(AB$3&gt;=Assumptions!$D$108+Scenario_Control!$M$21,1,0)</f>
        <v>1</v>
      </c>
      <c r="AC126" s="20" t="n">
        <f aca="false">IF(AC$3&gt;=Assumptions!$D$108+Scenario_Control!$M$21,1,0)</f>
        <v>1</v>
      </c>
      <c r="AD126" s="20" t="n">
        <f aca="false">IF(AD$3&gt;=Assumptions!$D$108+Scenario_Control!$M$21,1,0)</f>
        <v>1</v>
      </c>
      <c r="AE126" s="20" t="n">
        <f aca="false">IF(AE$3&gt;=Assumptions!$D$108+Scenario_Control!$M$21,1,0)</f>
        <v>1</v>
      </c>
      <c r="AF126" s="20" t="n">
        <f aca="false">IF(AF$3&gt;=Assumptions!$D$108+Scenario_Control!$M$21,1,0)</f>
        <v>1</v>
      </c>
      <c r="AG126" s="20" t="n">
        <f aca="false">IF(AG$3&gt;=Assumptions!$D$108+Scenario_Control!$M$21,1,0)</f>
        <v>1</v>
      </c>
      <c r="AH126" s="20" t="n">
        <f aca="false">IF(AH$3&gt;=Assumptions!$D$108+Scenario_Control!$M$21,1,0)</f>
        <v>1</v>
      </c>
      <c r="AI126" s="20" t="n">
        <f aca="false">IF(AI$3&gt;=Assumptions!$D$108+Scenario_Control!$M$21,1,0)</f>
        <v>1</v>
      </c>
      <c r="AJ126" s="20" t="n">
        <f aca="false">IF(AJ$3&gt;=Assumptions!$D$108+Scenario_Control!$M$21,1,0)</f>
        <v>1</v>
      </c>
      <c r="AK126" s="20" t="n">
        <f aca="false">IF(AK$3&gt;=Assumptions!$D$108+Scenario_Control!$M$21,1,0)</f>
        <v>1</v>
      </c>
      <c r="AL126" s="20" t="n">
        <f aca="false">IF(AL$3&gt;=Assumptions!$D$108+Scenario_Control!$M$21,1,0)</f>
        <v>1</v>
      </c>
      <c r="AM126" s="20" t="n">
        <f aca="false">IF(AM$3&gt;=Assumptions!$D$108+Scenario_Control!$M$21,1,0)</f>
        <v>1</v>
      </c>
    </row>
    <row r="127" customFormat="false" ht="15" hidden="false" customHeight="true" outlineLevel="0" collapsed="false">
      <c r="A127" s="5" t="s">
        <v>886</v>
      </c>
      <c r="B127" s="10" t="s">
        <v>100</v>
      </c>
      <c r="C127" s="21" t="n">
        <f aca="false">SUM(D127:AM127)</f>
        <v>19504.4090528091</v>
      </c>
      <c r="D127" s="20" t="n">
        <f aca="false">D125*INDEX(Assumptions!$D$109:$F$109,1,D$5)*Scenario_Control!$M$22*Assumptions!$D$110*D126</f>
        <v>0</v>
      </c>
      <c r="E127" s="20" t="n">
        <f aca="false">E125*INDEX(Assumptions!$D$109:$F$109,1,E$5)*Scenario_Control!$M$22*Assumptions!$D$110*E126</f>
        <v>0</v>
      </c>
      <c r="F127" s="20" t="n">
        <f aca="false">F125*INDEX(Assumptions!$D$109:$F$109,1,F$5)*Scenario_Control!$M$22*Assumptions!$D$110*F126</f>
        <v>0</v>
      </c>
      <c r="G127" s="20" t="n">
        <f aca="false">G125*INDEX(Assumptions!$D$109:$F$109,1,G$5)*Scenario_Control!$M$22*Assumptions!$D$110*G126</f>
        <v>0</v>
      </c>
      <c r="H127" s="20" t="n">
        <f aca="false">H125*INDEX(Assumptions!$D$109:$F$109,1,H$5)*Scenario_Control!$M$22*Assumptions!$D$110*H126</f>
        <v>0</v>
      </c>
      <c r="I127" s="20" t="n">
        <f aca="false">I125*INDEX(Assumptions!$D$109:$F$109,1,I$5)*Scenario_Control!$M$22*Assumptions!$D$110*I126</f>
        <v>0</v>
      </c>
      <c r="J127" s="20" t="n">
        <f aca="false">J125*INDEX(Assumptions!$D$109:$F$109,1,J$5)*Scenario_Control!$M$22*Assumptions!$D$110*J126</f>
        <v>0</v>
      </c>
      <c r="K127" s="20" t="n">
        <f aca="false">K125*INDEX(Assumptions!$D$109:$F$109,1,K$5)*Scenario_Control!$M$22*Assumptions!$D$110*K126</f>
        <v>0</v>
      </c>
      <c r="L127" s="20" t="n">
        <f aca="false">L125*INDEX(Assumptions!$D$109:$F$109,1,L$5)*Scenario_Control!$M$22*Assumptions!$D$110*L126</f>
        <v>0</v>
      </c>
      <c r="M127" s="20" t="n">
        <f aca="false">M125*INDEX(Assumptions!$D$109:$F$109,1,M$5)*Scenario_Control!$M$22*Assumptions!$D$110*M126</f>
        <v>0</v>
      </c>
      <c r="N127" s="20" t="n">
        <f aca="false">N125*INDEX(Assumptions!$D$109:$F$109,1,N$5)*Scenario_Control!$M$22*Assumptions!$D$110*N126</f>
        <v>0</v>
      </c>
      <c r="O127" s="20" t="n">
        <f aca="false">O125*INDEX(Assumptions!$D$109:$F$109,1,O$5)*Scenario_Control!$M$22*Assumptions!$D$110*O126</f>
        <v>0</v>
      </c>
      <c r="P127" s="20" t="n">
        <f aca="false">P125*INDEX(Assumptions!$D$109:$F$109,1,P$5)*Scenario_Control!$M$22*Assumptions!$D$110*P126</f>
        <v>0</v>
      </c>
      <c r="Q127" s="20" t="n">
        <f aca="false">Q125*INDEX(Assumptions!$D$109:$F$109,1,Q$5)*Scenario_Control!$M$22*Assumptions!$D$110*Q126</f>
        <v>0</v>
      </c>
      <c r="R127" s="20" t="n">
        <f aca="false">R125*INDEX(Assumptions!$D$109:$F$109,1,R$5)*Scenario_Control!$M$22*Assumptions!$D$110*R126</f>
        <v>0</v>
      </c>
      <c r="S127" s="20" t="n">
        <f aca="false">S125*INDEX(Assumptions!$D$109:$F$109,1,S$5)*Scenario_Control!$M$22*Assumptions!$D$110*S126</f>
        <v>0</v>
      </c>
      <c r="T127" s="20" t="n">
        <f aca="false">T125*INDEX(Assumptions!$D$109:$F$109,1,T$5)*Scenario_Control!$M$22*Assumptions!$D$110*T126</f>
        <v>0</v>
      </c>
      <c r="U127" s="20" t="n">
        <f aca="false">U125*INDEX(Assumptions!$D$109:$F$109,1,U$5)*Scenario_Control!$M$22*Assumptions!$D$110*U126</f>
        <v>0</v>
      </c>
      <c r="V127" s="20" t="n">
        <f aca="false">V125*INDEX(Assumptions!$D$109:$F$109,1,V$5)*Scenario_Control!$M$22*Assumptions!$D$110*V126</f>
        <v>157.280959462891</v>
      </c>
      <c r="W127" s="20" t="n">
        <f aca="false">W125*INDEX(Assumptions!$D$109:$F$109,1,W$5)*Scenario_Control!$M$22*Assumptions!$D$110*W126</f>
        <v>170.976210950418</v>
      </c>
      <c r="X127" s="20" t="n">
        <f aca="false">X125*INDEX(Assumptions!$D$109:$F$109,1,X$5)*Scenario_Control!$M$22*Assumptions!$D$110*X126</f>
        <v>197.222816100466</v>
      </c>
      <c r="Y127" s="20" t="n">
        <f aca="false">Y125*INDEX(Assumptions!$D$109:$F$109,1,Y$5)*Scenario_Control!$M$22*Assumptions!$D$110*Y126</f>
        <v>249.741707391581</v>
      </c>
      <c r="Z127" s="20" t="n">
        <f aca="false">Z125*INDEX(Assumptions!$D$109:$F$109,1,Z$5)*Scenario_Control!$M$22*Assumptions!$D$110*Z126</f>
        <v>310.308638991449</v>
      </c>
      <c r="AA127" s="20" t="n">
        <f aca="false">AA125*INDEX(Assumptions!$D$109:$F$109,1,AA$5)*Scenario_Control!$M$22*Assumptions!$D$110*AA126</f>
        <v>346.729484803518</v>
      </c>
      <c r="AB127" s="20" t="n">
        <f aca="false">AB125*INDEX(Assumptions!$D$109:$F$109,1,AB$5)*Scenario_Control!$M$22*Assumptions!$D$110*AB126</f>
        <v>952.31389122263</v>
      </c>
      <c r="AC127" s="20" t="n">
        <f aca="false">AC125*INDEX(Assumptions!$D$109:$F$109,1,AC$5)*Scenario_Control!$M$22*Assumptions!$D$110*AC126</f>
        <v>1018.75907371798</v>
      </c>
      <c r="AD127" s="20" t="n">
        <f aca="false">AD125*INDEX(Assumptions!$D$109:$F$109,1,AD$5)*Scenario_Control!$M$22*Assumptions!$D$110*AD126</f>
        <v>1145.911477402</v>
      </c>
      <c r="AE127" s="20" t="n">
        <f aca="false">AE125*INDEX(Assumptions!$D$109:$F$109,1,AE$5)*Scenario_Control!$M$22*Assumptions!$D$110*AE126</f>
        <v>1228.92235091692</v>
      </c>
      <c r="AF127" s="20" t="n">
        <f aca="false">AF125*INDEX(Assumptions!$D$109:$F$109,1,AF$5)*Scenario_Control!$M$22*Assumptions!$D$110*AF126</f>
        <v>1301.68311883452</v>
      </c>
      <c r="AG127" s="20" t="n">
        <f aca="false">AG125*INDEX(Assumptions!$D$109:$F$109,1,AG$5)*Scenario_Control!$M$22*Assumptions!$D$110*AG126</f>
        <v>1352.13241353772</v>
      </c>
      <c r="AH127" s="20" t="n">
        <f aca="false">AH125*INDEX(Assumptions!$D$109:$F$109,1,AH$5)*Scenario_Control!$M$22*Assumptions!$D$110*AH126</f>
        <v>1426.32058585339</v>
      </c>
      <c r="AI127" s="20" t="n">
        <f aca="false">AI125*INDEX(Assumptions!$D$109:$F$109,1,AI$5)*Scenario_Control!$M$22*Assumptions!$D$110*AI126</f>
        <v>1501.95242058003</v>
      </c>
      <c r="AJ127" s="20" t="n">
        <f aca="false">AJ125*INDEX(Assumptions!$D$109:$F$109,1,AJ$5)*Scenario_Control!$M$22*Assumptions!$D$110*AJ126</f>
        <v>1640.13222611924</v>
      </c>
      <c r="AK127" s="20" t="n">
        <f aca="false">AK125*INDEX(Assumptions!$D$109:$F$109,1,AK$5)*Scenario_Control!$M$22*Assumptions!$D$110*AK126</f>
        <v>1897.57174941852</v>
      </c>
      <c r="AL127" s="20" t="n">
        <f aca="false">AL125*INDEX(Assumptions!$D$109:$F$109,1,AL$5)*Scenario_Control!$M$22*Assumptions!$D$110*AL126</f>
        <v>2201.37016654239</v>
      </c>
      <c r="AM127" s="20" t="n">
        <f aca="false">AM125*INDEX(Assumptions!$D$109:$F$109,1,AM$5)*Scenario_Control!$M$22*Assumptions!$D$110*AM126</f>
        <v>2405.07976096344</v>
      </c>
    </row>
    <row r="128" customFormat="false" ht="15" hidden="false" customHeight="true" outlineLevel="0" collapsed="false">
      <c r="A128" s="5" t="s">
        <v>887</v>
      </c>
      <c r="B128" s="10" t="s">
        <v>64</v>
      </c>
      <c r="C128" s="12" t="n">
        <f aca="false">SUM(D128:AM128)</f>
        <v>877698.407376409</v>
      </c>
      <c r="D128" s="11" t="n">
        <f aca="false">D127*Assumptions!$D$111</f>
        <v>0</v>
      </c>
      <c r="E128" s="11" t="n">
        <f aca="false">E127*Assumptions!$D$111</f>
        <v>0</v>
      </c>
      <c r="F128" s="11" t="n">
        <f aca="false">F127*Assumptions!$D$111</f>
        <v>0</v>
      </c>
      <c r="G128" s="11" t="n">
        <f aca="false">G127*Assumptions!$D$111</f>
        <v>0</v>
      </c>
      <c r="H128" s="11" t="n">
        <f aca="false">H127*Assumptions!$D$111</f>
        <v>0</v>
      </c>
      <c r="I128" s="11" t="n">
        <f aca="false">I127*Assumptions!$D$111</f>
        <v>0</v>
      </c>
      <c r="J128" s="11" t="n">
        <f aca="false">J127*Assumptions!$D$111</f>
        <v>0</v>
      </c>
      <c r="K128" s="11" t="n">
        <f aca="false">K127*Assumptions!$D$111</f>
        <v>0</v>
      </c>
      <c r="L128" s="11" t="n">
        <f aca="false">L127*Assumptions!$D$111</f>
        <v>0</v>
      </c>
      <c r="M128" s="11" t="n">
        <f aca="false">M127*Assumptions!$D$111</f>
        <v>0</v>
      </c>
      <c r="N128" s="11" t="n">
        <f aca="false">N127*Assumptions!$D$111</f>
        <v>0</v>
      </c>
      <c r="O128" s="11" t="n">
        <f aca="false">O127*Assumptions!$D$111</f>
        <v>0</v>
      </c>
      <c r="P128" s="11" t="n">
        <f aca="false">P127*Assumptions!$D$111</f>
        <v>0</v>
      </c>
      <c r="Q128" s="11" t="n">
        <f aca="false">Q127*Assumptions!$D$111</f>
        <v>0</v>
      </c>
      <c r="R128" s="11" t="n">
        <f aca="false">R127*Assumptions!$D$111</f>
        <v>0</v>
      </c>
      <c r="S128" s="11" t="n">
        <f aca="false">S127*Assumptions!$D$111</f>
        <v>0</v>
      </c>
      <c r="T128" s="11" t="n">
        <f aca="false">T127*Assumptions!$D$111</f>
        <v>0</v>
      </c>
      <c r="U128" s="11" t="n">
        <f aca="false">U127*Assumptions!$D$111</f>
        <v>0</v>
      </c>
      <c r="V128" s="11" t="n">
        <f aca="false">V127*Assumptions!$D$111</f>
        <v>7077.64317583008</v>
      </c>
      <c r="W128" s="11" t="n">
        <f aca="false">W127*Assumptions!$D$111</f>
        <v>7693.92949276883</v>
      </c>
      <c r="X128" s="11" t="n">
        <f aca="false">X127*Assumptions!$D$111</f>
        <v>8875.02672452098</v>
      </c>
      <c r="Y128" s="11" t="n">
        <f aca="false">Y127*Assumptions!$D$111</f>
        <v>11238.3768326211</v>
      </c>
      <c r="Z128" s="11" t="n">
        <f aca="false">Z127*Assumptions!$D$111</f>
        <v>13963.8887546152</v>
      </c>
      <c r="AA128" s="11" t="n">
        <f aca="false">AA127*Assumptions!$D$111</f>
        <v>15602.8268161583</v>
      </c>
      <c r="AB128" s="11" t="n">
        <f aca="false">AB127*Assumptions!$D$111</f>
        <v>42854.1251050184</v>
      </c>
      <c r="AC128" s="11" t="n">
        <f aca="false">AC127*Assumptions!$D$111</f>
        <v>45844.1583173089</v>
      </c>
      <c r="AD128" s="11" t="n">
        <f aca="false">AD127*Assumptions!$D$111</f>
        <v>51566.0164830902</v>
      </c>
      <c r="AE128" s="11" t="n">
        <f aca="false">AE127*Assumptions!$D$111</f>
        <v>55301.5057912616</v>
      </c>
      <c r="AF128" s="11" t="n">
        <f aca="false">AF127*Assumptions!$D$111</f>
        <v>58575.7403475533</v>
      </c>
      <c r="AG128" s="11" t="n">
        <f aca="false">AG127*Assumptions!$D$111</f>
        <v>60845.9586091972</v>
      </c>
      <c r="AH128" s="11" t="n">
        <f aca="false">AH127*Assumptions!$D$111</f>
        <v>64184.4263634024</v>
      </c>
      <c r="AI128" s="11" t="n">
        <f aca="false">AI127*Assumptions!$D$111</f>
        <v>67587.8589261014</v>
      </c>
      <c r="AJ128" s="11" t="n">
        <f aca="false">AJ127*Assumptions!$D$111</f>
        <v>73805.9501753656</v>
      </c>
      <c r="AK128" s="11" t="n">
        <f aca="false">AK127*Assumptions!$D$111</f>
        <v>85390.7287238333</v>
      </c>
      <c r="AL128" s="11" t="n">
        <f aca="false">AL127*Assumptions!$D$111</f>
        <v>99061.6574944074</v>
      </c>
      <c r="AM128" s="11" t="n">
        <f aca="false">AM127*Assumptions!$D$111</f>
        <v>108228.589243355</v>
      </c>
    </row>
    <row r="129" customFormat="false" ht="15" hidden="false" customHeight="true" outlineLevel="0" collapsed="false">
      <c r="A129" s="5" t="s">
        <v>888</v>
      </c>
      <c r="B129" s="10" t="s">
        <v>64</v>
      </c>
      <c r="C129" s="12" t="n">
        <f aca="false">SUM(D129:AM129)</f>
        <v>131654.761106461</v>
      </c>
      <c r="D129" s="11" t="n">
        <f aca="false">D128*Assumptions!$D$112</f>
        <v>0</v>
      </c>
      <c r="E129" s="11" t="n">
        <f aca="false">E128*Assumptions!$D$112</f>
        <v>0</v>
      </c>
      <c r="F129" s="11" t="n">
        <f aca="false">F128*Assumptions!$D$112</f>
        <v>0</v>
      </c>
      <c r="G129" s="11" t="n">
        <f aca="false">G128*Assumptions!$D$112</f>
        <v>0</v>
      </c>
      <c r="H129" s="11" t="n">
        <f aca="false">H128*Assumptions!$D$112</f>
        <v>0</v>
      </c>
      <c r="I129" s="11" t="n">
        <f aca="false">I128*Assumptions!$D$112</f>
        <v>0</v>
      </c>
      <c r="J129" s="11" t="n">
        <f aca="false">J128*Assumptions!$D$112</f>
        <v>0</v>
      </c>
      <c r="K129" s="11" t="n">
        <f aca="false">K128*Assumptions!$D$112</f>
        <v>0</v>
      </c>
      <c r="L129" s="11" t="n">
        <f aca="false">L128*Assumptions!$D$112</f>
        <v>0</v>
      </c>
      <c r="M129" s="11" t="n">
        <f aca="false">M128*Assumptions!$D$112</f>
        <v>0</v>
      </c>
      <c r="N129" s="11" t="n">
        <f aca="false">N128*Assumptions!$D$112</f>
        <v>0</v>
      </c>
      <c r="O129" s="11" t="n">
        <f aca="false">O128*Assumptions!$D$112</f>
        <v>0</v>
      </c>
      <c r="P129" s="11" t="n">
        <f aca="false">P128*Assumptions!$D$112</f>
        <v>0</v>
      </c>
      <c r="Q129" s="11" t="n">
        <f aca="false">Q128*Assumptions!$D$112</f>
        <v>0</v>
      </c>
      <c r="R129" s="11" t="n">
        <f aca="false">R128*Assumptions!$D$112</f>
        <v>0</v>
      </c>
      <c r="S129" s="11" t="n">
        <f aca="false">S128*Assumptions!$D$112</f>
        <v>0</v>
      </c>
      <c r="T129" s="11" t="n">
        <f aca="false">T128*Assumptions!$D$112</f>
        <v>0</v>
      </c>
      <c r="U129" s="11" t="n">
        <f aca="false">U128*Assumptions!$D$112</f>
        <v>0</v>
      </c>
      <c r="V129" s="11" t="n">
        <f aca="false">V128*Assumptions!$D$112</f>
        <v>1061.64647637451</v>
      </c>
      <c r="W129" s="11" t="n">
        <f aca="false">W128*Assumptions!$D$112</f>
        <v>1154.08942391532</v>
      </c>
      <c r="X129" s="11" t="n">
        <f aca="false">X128*Assumptions!$D$112</f>
        <v>1331.25400867815</v>
      </c>
      <c r="Y129" s="11" t="n">
        <f aca="false">Y128*Assumptions!$D$112</f>
        <v>1685.75652489317</v>
      </c>
      <c r="Z129" s="11" t="n">
        <f aca="false">Z128*Assumptions!$D$112</f>
        <v>2094.58331319228</v>
      </c>
      <c r="AA129" s="11" t="n">
        <f aca="false">AA128*Assumptions!$D$112</f>
        <v>2340.42402242375</v>
      </c>
      <c r="AB129" s="11" t="n">
        <f aca="false">AB128*Assumptions!$D$112</f>
        <v>6428.11876575276</v>
      </c>
      <c r="AC129" s="11" t="n">
        <f aca="false">AC128*Assumptions!$D$112</f>
        <v>6876.62374759634</v>
      </c>
      <c r="AD129" s="11" t="n">
        <f aca="false">AD128*Assumptions!$D$112</f>
        <v>7734.90247246353</v>
      </c>
      <c r="AE129" s="11" t="n">
        <f aca="false">AE128*Assumptions!$D$112</f>
        <v>8295.22586868924</v>
      </c>
      <c r="AF129" s="11" t="n">
        <f aca="false">AF128*Assumptions!$D$112</f>
        <v>8786.36105213299</v>
      </c>
      <c r="AG129" s="11" t="n">
        <f aca="false">AG128*Assumptions!$D$112</f>
        <v>9126.89379137958</v>
      </c>
      <c r="AH129" s="11" t="n">
        <f aca="false">AH128*Assumptions!$D$112</f>
        <v>9627.66395451036</v>
      </c>
      <c r="AI129" s="11" t="n">
        <f aca="false">AI128*Assumptions!$D$112</f>
        <v>10138.1788389152</v>
      </c>
      <c r="AJ129" s="11" t="n">
        <f aca="false">AJ128*Assumptions!$D$112</f>
        <v>11070.8925263048</v>
      </c>
      <c r="AK129" s="11" t="n">
        <f aca="false">AK128*Assumptions!$D$112</f>
        <v>12808.609308575</v>
      </c>
      <c r="AL129" s="11" t="n">
        <f aca="false">AL128*Assumptions!$D$112</f>
        <v>14859.2486241611</v>
      </c>
      <c r="AM129" s="11" t="n">
        <f aca="false">AM128*Assumptions!$D$112</f>
        <v>16234.2883865032</v>
      </c>
    </row>
    <row r="131" customFormat="false" ht="15" hidden="false" customHeight="true" outlineLevel="0" collapsed="false">
      <c r="A131" s="8" t="s">
        <v>889</v>
      </c>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row>
    <row r="132" customFormat="false" ht="15" hidden="false" customHeight="true" outlineLevel="0" collapsed="false">
      <c r="A132" s="5" t="s">
        <v>63</v>
      </c>
      <c r="B132" s="10" t="s">
        <v>64</v>
      </c>
      <c r="C132" s="12" t="n">
        <f aca="false">SUM(D132:AM132)</f>
        <v>269607.897837759</v>
      </c>
      <c r="D132" s="11" t="n">
        <f aca="false">D30+D31</f>
        <v>125.333396875</v>
      </c>
      <c r="E132" s="11" t="n">
        <f aca="false">E30+E31</f>
        <v>195.854191375</v>
      </c>
      <c r="F132" s="11" t="n">
        <f aca="false">F30+F31</f>
        <v>539.675252315</v>
      </c>
      <c r="G132" s="11" t="n">
        <f aca="false">G30+G31</f>
        <v>745.6300302548</v>
      </c>
      <c r="H132" s="11" t="n">
        <f aca="false">H30+H31</f>
        <v>919.667117209416</v>
      </c>
      <c r="I132" s="11" t="n">
        <f aca="false">I30+I31</f>
        <v>1038.20376345766</v>
      </c>
      <c r="J132" s="11" t="n">
        <f aca="false">J30+J31</f>
        <v>1103.54103300605</v>
      </c>
      <c r="K132" s="11" t="n">
        <f aca="false">K30+K31</f>
        <v>1167.92926349057</v>
      </c>
      <c r="L132" s="11" t="n">
        <f aca="false">L30+L31</f>
        <v>1306.64441616132</v>
      </c>
      <c r="M132" s="11" t="n">
        <f aca="false">M30+M31</f>
        <v>1867.88230536841</v>
      </c>
      <c r="N132" s="11" t="n">
        <f aca="false">N30+N31</f>
        <v>2460.02217718894</v>
      </c>
      <c r="O132" s="11" t="n">
        <f aca="false">O30+O31</f>
        <v>2631.53061551383</v>
      </c>
      <c r="P132" s="11" t="n">
        <f aca="false">P30+P31</f>
        <v>2953.75626723626</v>
      </c>
      <c r="Q132" s="11" t="n">
        <f aca="false">Q30+Q31</f>
        <v>3104.57134461257</v>
      </c>
      <c r="R132" s="11" t="n">
        <f aca="false">R30+R31</f>
        <v>4142.70167782481</v>
      </c>
      <c r="S132" s="11" t="n">
        <f aca="false">S30+S31</f>
        <v>4738.53970131237</v>
      </c>
      <c r="T132" s="11" t="n">
        <f aca="false">T30+T31</f>
        <v>5234.86525244696</v>
      </c>
      <c r="U132" s="11" t="n">
        <f aca="false">U30+U31</f>
        <v>5555.53108218871</v>
      </c>
      <c r="V132" s="11" t="n">
        <f aca="false">V30+V31</f>
        <v>5708.13740497819</v>
      </c>
      <c r="W132" s="11" t="n">
        <f aca="false">W30+W31</f>
        <v>5861.44034848619</v>
      </c>
      <c r="X132" s="11" t="n">
        <f aca="false">X30+X31</f>
        <v>6258.03007863333</v>
      </c>
      <c r="Y132" s="11" t="n">
        <f aca="false">Y30+Y31</f>
        <v>8020.47001009267</v>
      </c>
      <c r="Z132" s="11" t="n">
        <f aca="false">Z30+Z31</f>
        <v>9881.10943667067</v>
      </c>
      <c r="AA132" s="11" t="n">
        <f aca="false">AA30+AA31</f>
        <v>10382.6695885599</v>
      </c>
      <c r="AB132" s="11" t="n">
        <f aca="false">AB30+AB31</f>
        <v>10771.0890333632</v>
      </c>
      <c r="AC132" s="11" t="n">
        <f aca="false">AC30+AC31</f>
        <v>10872.730763228</v>
      </c>
      <c r="AD132" s="11" t="n">
        <f aca="false">AD30+AD31</f>
        <v>12529.4585542478</v>
      </c>
      <c r="AE132" s="11" t="n">
        <f aca="false">AE30+AE31</f>
        <v>13422.101388671</v>
      </c>
      <c r="AF132" s="11" t="n">
        <f aca="false">AF30+AF31</f>
        <v>14148.9065986347</v>
      </c>
      <c r="AG132" s="11" t="n">
        <f aca="false">AG30+AG31</f>
        <v>14577.2905625876</v>
      </c>
      <c r="AH132" s="11" t="n">
        <f aca="false">AH30+AH31</f>
        <v>14720.8420934504</v>
      </c>
      <c r="AI132" s="11" t="n">
        <f aca="false">AI30+AI31</f>
        <v>14873.479275365</v>
      </c>
      <c r="AJ132" s="11" t="n">
        <f aca="false">AJ30+AJ31</f>
        <v>15456.5998206301</v>
      </c>
      <c r="AK132" s="11" t="n">
        <f aca="false">AK30+AK31</f>
        <v>18421.1070241047</v>
      </c>
      <c r="AL132" s="11" t="n">
        <f aca="false">AL30+AL31</f>
        <v>21553.2886686815</v>
      </c>
      <c r="AM132" s="11" t="n">
        <f aca="false">AM30+AM31</f>
        <v>22317.2682995359</v>
      </c>
    </row>
    <row r="133" customFormat="false" ht="15" hidden="false" customHeight="true" outlineLevel="0" collapsed="false">
      <c r="A133" s="5" t="s">
        <v>890</v>
      </c>
      <c r="B133" s="10" t="s">
        <v>64</v>
      </c>
      <c r="C133" s="12" t="n">
        <f aca="false">SUM(D133:AM133)</f>
        <v>2486813.83793333</v>
      </c>
      <c r="D133" s="11" t="n">
        <f aca="false">D66+D79+D94</f>
        <v>0</v>
      </c>
      <c r="E133" s="11" t="n">
        <f aca="false">E66+E79+E94</f>
        <v>0</v>
      </c>
      <c r="F133" s="11" t="n">
        <f aca="false">F66+F79+F94</f>
        <v>400</v>
      </c>
      <c r="G133" s="11" t="n">
        <f aca="false">G66+G79+G94</f>
        <v>733.333333333333</v>
      </c>
      <c r="H133" s="11" t="n">
        <f aca="false">H66+H79+H94</f>
        <v>1541.66666666667</v>
      </c>
      <c r="I133" s="11" t="n">
        <f aca="false">I66+I79+I94</f>
        <v>2381.94444444444</v>
      </c>
      <c r="J133" s="11" t="n">
        <f aca="false">J66+J79+J94</f>
        <v>3627.77777777778</v>
      </c>
      <c r="K133" s="11" t="n">
        <f aca="false">K66+K79+K94</f>
        <v>5041.66666666667</v>
      </c>
      <c r="L133" s="11" t="n">
        <f aca="false">L66+L79+L94</f>
        <v>7061.11111111111</v>
      </c>
      <c r="M133" s="11" t="n">
        <f aca="false">M66+M79+M94</f>
        <v>9027.77777777778</v>
      </c>
      <c r="N133" s="11" t="n">
        <f aca="false">N66+N79+N94</f>
        <v>10819.4444444444</v>
      </c>
      <c r="O133" s="11" t="n">
        <f aca="false">O66+O79+O94</f>
        <v>12298.6111111111</v>
      </c>
      <c r="P133" s="11" t="n">
        <f aca="false">P66+P79+P94</f>
        <v>13690.2777777778</v>
      </c>
      <c r="Q133" s="11" t="n">
        <f aca="false">Q66+Q79+Q94</f>
        <v>15152.7777777778</v>
      </c>
      <c r="R133" s="11" t="n">
        <f aca="false">R66+R79+R94</f>
        <v>17291.6666666667</v>
      </c>
      <c r="S133" s="11" t="n">
        <f aca="false">S66+S79+S94</f>
        <v>19277.7777777778</v>
      </c>
      <c r="T133" s="11" t="n">
        <f aca="false">T66+T79+T94</f>
        <v>22997</v>
      </c>
      <c r="U133" s="11" t="n">
        <f aca="false">U66+U79+U94</f>
        <v>26327.8333333333</v>
      </c>
      <c r="V133" s="11" t="n">
        <f aca="false">V66+V79+V94</f>
        <v>33191.3888888889</v>
      </c>
      <c r="W133" s="11" t="n">
        <f aca="false">W66+W79+W94</f>
        <v>40474.5833333333</v>
      </c>
      <c r="X133" s="11" t="n">
        <f aca="false">X66+X79+X94</f>
        <v>50999.6888888889</v>
      </c>
      <c r="Y133" s="11" t="n">
        <f aca="false">Y66+Y79+Y94</f>
        <v>62060.6888888889</v>
      </c>
      <c r="Z133" s="11" t="n">
        <f aca="false">Z66+Z79+Z94</f>
        <v>74334.2222222222</v>
      </c>
      <c r="AA133" s="11" t="n">
        <f aca="false">AA66+AA79+AA94</f>
        <v>86255.3888888889</v>
      </c>
      <c r="AB133" s="11" t="n">
        <f aca="false">AB66+AB79+AB94</f>
        <v>97289.4222222222</v>
      </c>
      <c r="AC133" s="11" t="n">
        <f aca="false">AC66+AC79+AC94</f>
        <v>107276.472222222</v>
      </c>
      <c r="AD133" s="11" t="n">
        <f aca="false">AD66+AD79+AD94</f>
        <v>115579.816666667</v>
      </c>
      <c r="AE133" s="11" t="n">
        <f aca="false">AE66+AE79+AE94</f>
        <v>122539.888888889</v>
      </c>
      <c r="AF133" s="11" t="n">
        <f aca="false">AF66+AF79+AF94</f>
        <v>131108.429333333</v>
      </c>
      <c r="AG133" s="11" t="n">
        <f aca="false">AG66+AG79+AG94</f>
        <v>139124.176</v>
      </c>
      <c r="AH133" s="11" t="n">
        <f aca="false">AH66+AH79+AH94</f>
        <v>154379.047777778</v>
      </c>
      <c r="AI133" s="11" t="n">
        <f aca="false">AI66+AI79+AI94</f>
        <v>170063.188333333</v>
      </c>
      <c r="AJ133" s="11" t="n">
        <f aca="false">AJ66+AJ79+AJ94</f>
        <v>193077.715911111</v>
      </c>
      <c r="AK133" s="11" t="n">
        <f aca="false">AK66+AK79+AK94</f>
        <v>217823.055911111</v>
      </c>
      <c r="AL133" s="11" t="n">
        <f aca="false">AL66+AL79+AL94</f>
        <v>247001.195111111</v>
      </c>
      <c r="AM133" s="11" t="n">
        <f aca="false">AM66+AM79+AM94</f>
        <v>276564.801777778</v>
      </c>
    </row>
    <row r="134" customFormat="false" ht="15" hidden="false" customHeight="true" outlineLevel="0" collapsed="false">
      <c r="A134" s="5" t="s">
        <v>66</v>
      </c>
      <c r="B134" s="10" t="s">
        <v>64</v>
      </c>
      <c r="C134" s="12" t="n">
        <f aca="false">SUM(D134:AM134)</f>
        <v>2605000</v>
      </c>
      <c r="D134" s="11" t="n">
        <f aca="false">D107</f>
        <v>0</v>
      </c>
      <c r="E134" s="11" t="n">
        <f aca="false">E107</f>
        <v>2000</v>
      </c>
      <c r="F134" s="11" t="n">
        <f aca="false">F107</f>
        <v>3666.66666666667</v>
      </c>
      <c r="G134" s="11" t="n">
        <f aca="false">G107</f>
        <v>5166.66666666667</v>
      </c>
      <c r="H134" s="11" t="n">
        <f aca="false">H107</f>
        <v>7250</v>
      </c>
      <c r="I134" s="11" t="n">
        <f aca="false">I107</f>
        <v>9166.66666666667</v>
      </c>
      <c r="J134" s="11" t="n">
        <f aca="false">J107</f>
        <v>11583.3333333333</v>
      </c>
      <c r="K134" s="11" t="n">
        <f aca="false">K107</f>
        <v>13333.3333333333</v>
      </c>
      <c r="L134" s="11" t="n">
        <f aca="false">L107</f>
        <v>14166.6666666667</v>
      </c>
      <c r="M134" s="11" t="n">
        <f aca="false">M107</f>
        <v>11833.3333333333</v>
      </c>
      <c r="N134" s="11" t="n">
        <f aca="false">N107</f>
        <v>7916.66666666667</v>
      </c>
      <c r="O134" s="11" t="n">
        <f aca="false">O107</f>
        <v>5250</v>
      </c>
      <c r="P134" s="11" t="n">
        <f aca="false">P107</f>
        <v>4583.33333333333</v>
      </c>
      <c r="Q134" s="11" t="n">
        <f aca="false">Q107</f>
        <v>13500</v>
      </c>
      <c r="R134" s="11" t="n">
        <f aca="false">R107</f>
        <v>20541.6666666667</v>
      </c>
      <c r="S134" s="11" t="n">
        <f aca="false">S107</f>
        <v>32583.3333333333</v>
      </c>
      <c r="T134" s="11" t="n">
        <f aca="false">T107</f>
        <v>46875</v>
      </c>
      <c r="U134" s="11" t="n">
        <f aca="false">U107</f>
        <v>62333.3333333333</v>
      </c>
      <c r="V134" s="11" t="n">
        <f aca="false">V107</f>
        <v>81416.6666666667</v>
      </c>
      <c r="W134" s="11" t="n">
        <f aca="false">W107</f>
        <v>95916.6666666667</v>
      </c>
      <c r="X134" s="11" t="n">
        <f aca="false">X107</f>
        <v>107208.333333333</v>
      </c>
      <c r="Y134" s="11" t="n">
        <f aca="false">Y107</f>
        <v>100041.666666667</v>
      </c>
      <c r="Z134" s="11" t="n">
        <f aca="false">Z107</f>
        <v>82708.3333333333</v>
      </c>
      <c r="AA134" s="11" t="n">
        <f aca="false">AA107</f>
        <v>64625</v>
      </c>
      <c r="AB134" s="11" t="n">
        <f aca="false">AB107</f>
        <v>52916.6666666667</v>
      </c>
      <c r="AC134" s="11" t="n">
        <f aca="false">AC107</f>
        <v>58000</v>
      </c>
      <c r="AD134" s="11" t="n">
        <f aca="false">AD107</f>
        <v>61791.6666666667</v>
      </c>
      <c r="AE134" s="11" t="n">
        <f aca="false">AE107</f>
        <v>83750</v>
      </c>
      <c r="AF134" s="11" t="n">
        <f aca="false">AF107</f>
        <v>111625</v>
      </c>
      <c r="AG134" s="11" t="n">
        <f aca="false">AG107</f>
        <v>147000</v>
      </c>
      <c r="AH134" s="11" t="n">
        <f aca="false">AH107</f>
        <v>189750</v>
      </c>
      <c r="AI134" s="11" t="n">
        <f aca="false">AI107</f>
        <v>224750</v>
      </c>
      <c r="AJ134" s="11" t="n">
        <f aca="false">AJ107</f>
        <v>254125</v>
      </c>
      <c r="AK134" s="11" t="n">
        <f aca="false">AK107</f>
        <v>242625</v>
      </c>
      <c r="AL134" s="11" t="n">
        <f aca="false">AL107</f>
        <v>208125</v>
      </c>
      <c r="AM134" s="11" t="n">
        <f aca="false">AM107</f>
        <v>166875</v>
      </c>
    </row>
    <row r="135" customFormat="false" ht="15" hidden="false" customHeight="true" outlineLevel="0" collapsed="false">
      <c r="A135" s="5" t="s">
        <v>891</v>
      </c>
      <c r="B135" s="10" t="s">
        <v>64</v>
      </c>
      <c r="C135" s="12" t="n">
        <f aca="false">SUM(D135:AM135)</f>
        <v>85950.3590182756</v>
      </c>
      <c r="D135" s="11" t="n">
        <f aca="false">D32+D122</f>
        <v>3.4033359375</v>
      </c>
      <c r="E135" s="11" t="n">
        <f aca="false">E32+E122</f>
        <v>5.35004409375</v>
      </c>
      <c r="F135" s="11" t="n">
        <f aca="false">F32+F122</f>
        <v>15.2553720745833</v>
      </c>
      <c r="G135" s="11" t="n">
        <f aca="false">G32+G122</f>
        <v>21.4153247030611</v>
      </c>
      <c r="H135" s="11" t="n">
        <f aca="false">H32+H122</f>
        <v>28.6648106219551</v>
      </c>
      <c r="I135" s="11" t="n">
        <f aca="false">I32+I122</f>
        <v>34.2700497312265</v>
      </c>
      <c r="J135" s="11" t="n">
        <f aca="false">J32+J122</f>
        <v>39.8404034992561</v>
      </c>
      <c r="K135" s="11" t="n">
        <f aca="false">K32+K122</f>
        <v>45.8254577408434</v>
      </c>
      <c r="L135" s="11" t="n">
        <f aca="false">L32+L122</f>
        <v>60.5708435361593</v>
      </c>
      <c r="M135" s="11" t="n">
        <f aca="false">M32+M122</f>
        <v>86.3279257338221</v>
      </c>
      <c r="N135" s="11" t="n">
        <f aca="false">N32+N122</f>
        <v>116.648442825116</v>
      </c>
      <c r="O135" s="11" t="n">
        <f aca="false">O32+O122</f>
        <v>135.905544475496</v>
      </c>
      <c r="P135" s="11" t="n">
        <f aca="false">P32+P122</f>
        <v>360.598730978142</v>
      </c>
      <c r="Q135" s="11" t="n">
        <f aca="false">Q32+Q122</f>
        <v>411.184591625064</v>
      </c>
      <c r="R135" s="11" t="n">
        <f aca="false">R32+R122</f>
        <v>515.1081570811</v>
      </c>
      <c r="S135" s="11" t="n">
        <f aca="false">S32+S122</f>
        <v>594.342449511731</v>
      </c>
      <c r="T135" s="11" t="n">
        <f aca="false">T32+T122</f>
        <v>681.852022667667</v>
      </c>
      <c r="U135" s="11" t="n">
        <f aca="false">U32+U122</f>
        <v>743.995252521059</v>
      </c>
      <c r="V135" s="11" t="n">
        <f aca="false">V32+V122</f>
        <v>856.967982509305</v>
      </c>
      <c r="W135" s="11" t="n">
        <f aca="false">W32+W122</f>
        <v>974.343391596547</v>
      </c>
      <c r="X135" s="11" t="n">
        <f aca="false">X32+X122</f>
        <v>1175.3080720408</v>
      </c>
      <c r="Y135" s="11" t="n">
        <f aca="false">Y32+Y122</f>
        <v>1459.64498738032</v>
      </c>
      <c r="Z135" s="11" t="n">
        <f aca="false">Z32+Z122</f>
        <v>1806.99653470496</v>
      </c>
      <c r="AA135" s="11" t="n">
        <f aca="false">AA32+AA122</f>
        <v>2093.75338741155</v>
      </c>
      <c r="AB135" s="11" t="n">
        <f aca="false">AB32+AB122</f>
        <v>3635.83681695319</v>
      </c>
      <c r="AC135" s="11" t="n">
        <f aca="false">AC32+AC122</f>
        <v>4027.43163810214</v>
      </c>
      <c r="AD135" s="11" t="n">
        <f aca="false">AD32+AD122</f>
        <v>4467.78562398189</v>
      </c>
      <c r="AE135" s="11" t="n">
        <f aca="false">AE32+AE122</f>
        <v>4809.34416680244</v>
      </c>
      <c r="AF135" s="11" t="n">
        <f aca="false">AF32+AF122</f>
        <v>5127.73695596894</v>
      </c>
      <c r="AG135" s="11" t="n">
        <f aca="false">AG32+AG122</f>
        <v>5380.37147899114</v>
      </c>
      <c r="AH135" s="11" t="n">
        <f aca="false">AH32+AH122</f>
        <v>5819.94527039199</v>
      </c>
      <c r="AI135" s="11" t="n">
        <f aca="false">AI32+AI122</f>
        <v>6267.20417859577</v>
      </c>
      <c r="AJ135" s="11" t="n">
        <f aca="false">AJ32+AJ122</f>
        <v>6983.03131343082</v>
      </c>
      <c r="AK135" s="11" t="n">
        <f aca="false">AK32+AK122</f>
        <v>7920.04666204191</v>
      </c>
      <c r="AL135" s="11" t="n">
        <f aca="false">AL32+AL122</f>
        <v>9090.40269220619</v>
      </c>
      <c r="AM135" s="11" t="n">
        <f aca="false">AM32+AM122</f>
        <v>10153.6491058082</v>
      </c>
    </row>
    <row r="136" customFormat="false" ht="15" hidden="false" customHeight="true" outlineLevel="0" collapsed="false">
      <c r="A136" s="5" t="s">
        <v>68</v>
      </c>
      <c r="B136" s="10" t="s">
        <v>64</v>
      </c>
      <c r="C136" s="12" t="n">
        <f aca="false">SUM(D136:AM136)</f>
        <v>131654.761106461</v>
      </c>
      <c r="D136" s="11" t="n">
        <f aca="false">D129</f>
        <v>0</v>
      </c>
      <c r="E136" s="11" t="n">
        <f aca="false">E129</f>
        <v>0</v>
      </c>
      <c r="F136" s="11" t="n">
        <f aca="false">F129</f>
        <v>0</v>
      </c>
      <c r="G136" s="11" t="n">
        <f aca="false">G129</f>
        <v>0</v>
      </c>
      <c r="H136" s="11" t="n">
        <f aca="false">H129</f>
        <v>0</v>
      </c>
      <c r="I136" s="11" t="n">
        <f aca="false">I129</f>
        <v>0</v>
      </c>
      <c r="J136" s="11" t="n">
        <f aca="false">J129</f>
        <v>0</v>
      </c>
      <c r="K136" s="11" t="n">
        <f aca="false">K129</f>
        <v>0</v>
      </c>
      <c r="L136" s="11" t="n">
        <f aca="false">L129</f>
        <v>0</v>
      </c>
      <c r="M136" s="11" t="n">
        <f aca="false">M129</f>
        <v>0</v>
      </c>
      <c r="N136" s="11" t="n">
        <f aca="false">N129</f>
        <v>0</v>
      </c>
      <c r="O136" s="11" t="n">
        <f aca="false">O129</f>
        <v>0</v>
      </c>
      <c r="P136" s="11" t="n">
        <f aca="false">P129</f>
        <v>0</v>
      </c>
      <c r="Q136" s="11" t="n">
        <f aca="false">Q129</f>
        <v>0</v>
      </c>
      <c r="R136" s="11" t="n">
        <f aca="false">R129</f>
        <v>0</v>
      </c>
      <c r="S136" s="11" t="n">
        <f aca="false">S129</f>
        <v>0</v>
      </c>
      <c r="T136" s="11" t="n">
        <f aca="false">T129</f>
        <v>0</v>
      </c>
      <c r="U136" s="11" t="n">
        <f aca="false">U129</f>
        <v>0</v>
      </c>
      <c r="V136" s="11" t="n">
        <f aca="false">V129</f>
        <v>1061.64647637451</v>
      </c>
      <c r="W136" s="11" t="n">
        <f aca="false">W129</f>
        <v>1154.08942391532</v>
      </c>
      <c r="X136" s="11" t="n">
        <f aca="false">X129</f>
        <v>1331.25400867815</v>
      </c>
      <c r="Y136" s="11" t="n">
        <f aca="false">Y129</f>
        <v>1685.75652489317</v>
      </c>
      <c r="Z136" s="11" t="n">
        <f aca="false">Z129</f>
        <v>2094.58331319228</v>
      </c>
      <c r="AA136" s="11" t="n">
        <f aca="false">AA129</f>
        <v>2340.42402242375</v>
      </c>
      <c r="AB136" s="11" t="n">
        <f aca="false">AB129</f>
        <v>6428.11876575276</v>
      </c>
      <c r="AC136" s="11" t="n">
        <f aca="false">AC129</f>
        <v>6876.62374759634</v>
      </c>
      <c r="AD136" s="11" t="n">
        <f aca="false">AD129</f>
        <v>7734.90247246353</v>
      </c>
      <c r="AE136" s="11" t="n">
        <f aca="false">AE129</f>
        <v>8295.22586868924</v>
      </c>
      <c r="AF136" s="11" t="n">
        <f aca="false">AF129</f>
        <v>8786.36105213299</v>
      </c>
      <c r="AG136" s="11" t="n">
        <f aca="false">AG129</f>
        <v>9126.89379137958</v>
      </c>
      <c r="AH136" s="11" t="n">
        <f aca="false">AH129</f>
        <v>9627.66395451036</v>
      </c>
      <c r="AI136" s="11" t="n">
        <f aca="false">AI129</f>
        <v>10138.1788389152</v>
      </c>
      <c r="AJ136" s="11" t="n">
        <f aca="false">AJ129</f>
        <v>11070.8925263048</v>
      </c>
      <c r="AK136" s="11" t="n">
        <f aca="false">AK129</f>
        <v>12808.609308575</v>
      </c>
      <c r="AL136" s="11" t="n">
        <f aca="false">AL129</f>
        <v>14859.2486241611</v>
      </c>
      <c r="AM136" s="11" t="n">
        <f aca="false">AM129</f>
        <v>16234.2883865032</v>
      </c>
    </row>
    <row r="137" customFormat="false" ht="15" hidden="false" customHeight="true" outlineLevel="0" collapsed="false">
      <c r="A137" s="5" t="s">
        <v>69</v>
      </c>
      <c r="B137" s="10" t="s">
        <v>64</v>
      </c>
      <c r="C137" s="12" t="n">
        <f aca="false">SUM(D137:AM137)</f>
        <v>657090</v>
      </c>
      <c r="D137" s="11" t="n">
        <f aca="false">D118</f>
        <v>0</v>
      </c>
      <c r="E137" s="11" t="n">
        <f aca="false">E118</f>
        <v>0</v>
      </c>
      <c r="F137" s="11" t="n">
        <f aca="false">F118</f>
        <v>0</v>
      </c>
      <c r="G137" s="11" t="n">
        <f aca="false">G118</f>
        <v>0</v>
      </c>
      <c r="H137" s="11" t="n">
        <f aca="false">H118</f>
        <v>0</v>
      </c>
      <c r="I137" s="11" t="n">
        <f aca="false">I118</f>
        <v>0</v>
      </c>
      <c r="J137" s="11" t="n">
        <f aca="false">J118</f>
        <v>0</v>
      </c>
      <c r="K137" s="11" t="n">
        <f aca="false">K118</f>
        <v>0</v>
      </c>
      <c r="L137" s="11" t="n">
        <f aca="false">L118</f>
        <v>0</v>
      </c>
      <c r="M137" s="11" t="n">
        <f aca="false">M118</f>
        <v>0</v>
      </c>
      <c r="N137" s="11" t="n">
        <f aca="false">N118</f>
        <v>0</v>
      </c>
      <c r="O137" s="11" t="n">
        <f aca="false">O118</f>
        <v>0</v>
      </c>
      <c r="P137" s="11" t="n">
        <f aca="false">P118</f>
        <v>1500</v>
      </c>
      <c r="Q137" s="11" t="n">
        <f aca="false">Q118</f>
        <v>3000</v>
      </c>
      <c r="R137" s="11" t="n">
        <f aca="false">R118</f>
        <v>4500</v>
      </c>
      <c r="S137" s="11" t="n">
        <f aca="false">S118</f>
        <v>6000</v>
      </c>
      <c r="T137" s="11" t="n">
        <f aca="false">T118</f>
        <v>7500</v>
      </c>
      <c r="U137" s="11" t="n">
        <f aca="false">U118</f>
        <v>9000</v>
      </c>
      <c r="V137" s="11" t="n">
        <f aca="false">V118</f>
        <v>10500</v>
      </c>
      <c r="W137" s="11" t="n">
        <f aca="false">W118</f>
        <v>12000</v>
      </c>
      <c r="X137" s="11" t="n">
        <f aca="false">X118</f>
        <v>13500</v>
      </c>
      <c r="Y137" s="11" t="n">
        <f aca="false">Y118</f>
        <v>15000</v>
      </c>
      <c r="Z137" s="11" t="n">
        <f aca="false">Z118</f>
        <v>16500</v>
      </c>
      <c r="AA137" s="11" t="n">
        <f aca="false">AA118</f>
        <v>18000</v>
      </c>
      <c r="AB137" s="11" t="n">
        <f aca="false">AB118</f>
        <v>22155</v>
      </c>
      <c r="AC137" s="11" t="n">
        <f aca="false">AC118</f>
        <v>26310</v>
      </c>
      <c r="AD137" s="11" t="n">
        <f aca="false">AD118</f>
        <v>30465</v>
      </c>
      <c r="AE137" s="11" t="n">
        <f aca="false">AE118</f>
        <v>34620</v>
      </c>
      <c r="AF137" s="11" t="n">
        <f aca="false">AF118</f>
        <v>38775</v>
      </c>
      <c r="AG137" s="11" t="n">
        <f aca="false">AG118</f>
        <v>42930</v>
      </c>
      <c r="AH137" s="11" t="n">
        <f aca="false">AH118</f>
        <v>47085</v>
      </c>
      <c r="AI137" s="11" t="n">
        <f aca="false">AI118</f>
        <v>51240</v>
      </c>
      <c r="AJ137" s="11" t="n">
        <f aca="false">AJ118</f>
        <v>55395</v>
      </c>
      <c r="AK137" s="11" t="n">
        <f aca="false">AK118</f>
        <v>59550</v>
      </c>
      <c r="AL137" s="11" t="n">
        <f aca="false">AL118</f>
        <v>63705</v>
      </c>
      <c r="AM137" s="11" t="n">
        <f aca="false">AM118</f>
        <v>67860</v>
      </c>
    </row>
    <row r="138" customFormat="false" ht="15" hidden="false" customHeight="true" outlineLevel="0" collapsed="false">
      <c r="A138" s="5" t="s">
        <v>70</v>
      </c>
      <c r="B138" s="10" t="s">
        <v>64</v>
      </c>
      <c r="C138" s="12" t="n">
        <f aca="false">SUM(D138:AM138)</f>
        <v>25590.4058333333</v>
      </c>
      <c r="D138" s="11" t="n">
        <f aca="false">D120</f>
        <v>0</v>
      </c>
      <c r="E138" s="11" t="n">
        <f aca="false">E120</f>
        <v>0</v>
      </c>
      <c r="F138" s="11" t="n">
        <f aca="false">F120</f>
        <v>0</v>
      </c>
      <c r="G138" s="11" t="n">
        <f aca="false">G120</f>
        <v>0</v>
      </c>
      <c r="H138" s="11" t="n">
        <f aca="false">H120</f>
        <v>0</v>
      </c>
      <c r="I138" s="11" t="n">
        <f aca="false">I120</f>
        <v>0</v>
      </c>
      <c r="J138" s="11" t="n">
        <f aca="false">J120</f>
        <v>0</v>
      </c>
      <c r="K138" s="11" t="n">
        <f aca="false">K120</f>
        <v>0</v>
      </c>
      <c r="L138" s="11" t="n">
        <f aca="false">L120</f>
        <v>0</v>
      </c>
      <c r="M138" s="11" t="n">
        <f aca="false">M120</f>
        <v>0</v>
      </c>
      <c r="N138" s="11" t="n">
        <f aca="false">N120</f>
        <v>0</v>
      </c>
      <c r="O138" s="11" t="n">
        <f aca="false">O120</f>
        <v>0</v>
      </c>
      <c r="P138" s="11" t="n">
        <f aca="false">P120</f>
        <v>36.6666666666667</v>
      </c>
      <c r="Q138" s="11" t="n">
        <f aca="false">Q120</f>
        <v>50</v>
      </c>
      <c r="R138" s="11" t="n">
        <f aca="false">R120</f>
        <v>65</v>
      </c>
      <c r="S138" s="11" t="n">
        <f aca="false">S120</f>
        <v>79.1666666666667</v>
      </c>
      <c r="T138" s="11" t="n">
        <f aca="false">T120</f>
        <v>87.5</v>
      </c>
      <c r="U138" s="11" t="n">
        <f aca="false">U120</f>
        <v>91.6666666666667</v>
      </c>
      <c r="V138" s="11" t="n">
        <f aca="false">V120</f>
        <v>113.75</v>
      </c>
      <c r="W138" s="11" t="n">
        <f aca="false">W120</f>
        <v>134.375</v>
      </c>
      <c r="X138" s="11" t="n">
        <f aca="false">X120</f>
        <v>174.6</v>
      </c>
      <c r="Y138" s="11" t="n">
        <f aca="false">Y120</f>
        <v>215.933333333333</v>
      </c>
      <c r="Z138" s="11" t="n">
        <f aca="false">Z120</f>
        <v>277.833333333333</v>
      </c>
      <c r="AA138" s="11" t="n">
        <f aca="false">AA120</f>
        <v>348</v>
      </c>
      <c r="AB138" s="11" t="n">
        <f aca="false">AB120</f>
        <v>1081.20833333333</v>
      </c>
      <c r="AC138" s="11" t="n">
        <f aca="false">AC120</f>
        <v>1294.6875</v>
      </c>
      <c r="AD138" s="11" t="n">
        <f aca="false">AD120</f>
        <v>1463.5625</v>
      </c>
      <c r="AE138" s="11" t="n">
        <f aca="false">AE120</f>
        <v>1588.33333333333</v>
      </c>
      <c r="AF138" s="11" t="n">
        <f aca="false">AF120</f>
        <v>1670</v>
      </c>
      <c r="AG138" s="11" t="n">
        <f aca="false">AG120</f>
        <v>1742.08333333333</v>
      </c>
      <c r="AH138" s="11" t="n">
        <f aca="false">AH120</f>
        <v>1899.125</v>
      </c>
      <c r="AI138" s="11" t="n">
        <f aca="false">AI120</f>
        <v>2043.4375</v>
      </c>
      <c r="AJ138" s="11" t="n">
        <f aca="false">AJ120</f>
        <v>2289.08</v>
      </c>
      <c r="AK138" s="11" t="n">
        <f aca="false">AK120</f>
        <v>2550.81333333333</v>
      </c>
      <c r="AL138" s="11" t="n">
        <f aca="false">AL120</f>
        <v>2930.68333333333</v>
      </c>
      <c r="AM138" s="11" t="n">
        <f aca="false">AM120</f>
        <v>3362.9</v>
      </c>
    </row>
    <row r="139" customFormat="false" ht="15" hidden="false" customHeight="true" outlineLevel="0" collapsed="false">
      <c r="A139" s="5" t="s">
        <v>71</v>
      </c>
      <c r="B139" s="10" t="s">
        <v>64</v>
      </c>
      <c r="C139" s="12" t="n">
        <f aca="false">SUM(D139:AM139)</f>
        <v>0</v>
      </c>
      <c r="D139" s="11" t="n">
        <f aca="false">-Scenario_Control!$M$24*Assumptions!$D$173*(D79+D94)*IF(AND(D$3&gt;Assumptions!$D$167,D$3&lt;=Assumptions!$D$167+3),1,0)</f>
        <v>-0</v>
      </c>
      <c r="E139" s="11" t="n">
        <f aca="false">-Scenario_Control!$M$24*Assumptions!$D$173*(E79+E94)*IF(AND(E$3&gt;Assumptions!$D$167,E$3&lt;=Assumptions!$D$167+3),1,0)</f>
        <v>-0</v>
      </c>
      <c r="F139" s="11" t="n">
        <f aca="false">-Scenario_Control!$M$24*Assumptions!$D$173*(F79+F94)*IF(AND(F$3&gt;Assumptions!$D$167,F$3&lt;=Assumptions!$D$167+3),1,0)</f>
        <v>-0</v>
      </c>
      <c r="G139" s="11" t="n">
        <f aca="false">-Scenario_Control!$M$24*Assumptions!$D$173*(G79+G94)*IF(AND(G$3&gt;Assumptions!$D$167,G$3&lt;=Assumptions!$D$167+3),1,0)</f>
        <v>-0</v>
      </c>
      <c r="H139" s="11" t="n">
        <f aca="false">-Scenario_Control!$M$24*Assumptions!$D$173*(H79+H94)*IF(AND(H$3&gt;Assumptions!$D$167,H$3&lt;=Assumptions!$D$167+3),1,0)</f>
        <v>-0</v>
      </c>
      <c r="I139" s="11" t="n">
        <f aca="false">-Scenario_Control!$M$24*Assumptions!$D$173*(I79+I94)*IF(AND(I$3&gt;Assumptions!$D$167,I$3&lt;=Assumptions!$D$167+3),1,0)</f>
        <v>-0</v>
      </c>
      <c r="J139" s="11" t="n">
        <f aca="false">-Scenario_Control!$M$24*Assumptions!$D$173*(J79+J94)*IF(AND(J$3&gt;Assumptions!$D$167,J$3&lt;=Assumptions!$D$167+3),1,0)</f>
        <v>-0</v>
      </c>
      <c r="K139" s="11" t="n">
        <f aca="false">-Scenario_Control!$M$24*Assumptions!$D$173*(K79+K94)*IF(AND(K$3&gt;Assumptions!$D$167,K$3&lt;=Assumptions!$D$167+3),1,0)</f>
        <v>-0</v>
      </c>
      <c r="L139" s="11" t="n">
        <f aca="false">-Scenario_Control!$M$24*Assumptions!$D$173*(L79+L94)*IF(AND(L$3&gt;Assumptions!$D$167,L$3&lt;=Assumptions!$D$167+3),1,0)</f>
        <v>-0</v>
      </c>
      <c r="M139" s="11" t="n">
        <f aca="false">-Scenario_Control!$M$24*Assumptions!$D$173*(M79+M94)*IF(AND(M$3&gt;Assumptions!$D$167,M$3&lt;=Assumptions!$D$167+3),1,0)</f>
        <v>-0</v>
      </c>
      <c r="N139" s="11" t="n">
        <f aca="false">-Scenario_Control!$M$24*Assumptions!$D$173*(N79+N94)*IF(AND(N$3&gt;Assumptions!$D$167,N$3&lt;=Assumptions!$D$167+3),1,0)</f>
        <v>-0</v>
      </c>
      <c r="O139" s="11" t="n">
        <f aca="false">-Scenario_Control!$M$24*Assumptions!$D$173*(O79+O94)*IF(AND(O$3&gt;Assumptions!$D$167,O$3&lt;=Assumptions!$D$167+3),1,0)</f>
        <v>-0</v>
      </c>
      <c r="P139" s="11" t="n">
        <f aca="false">-Scenario_Control!$M$24*Assumptions!$D$173*(P79+P94)*IF(AND(P$3&gt;Assumptions!$D$167,P$3&lt;=Assumptions!$D$167+3),1,0)</f>
        <v>-0</v>
      </c>
      <c r="Q139" s="11" t="n">
        <f aca="false">-Scenario_Control!$M$24*Assumptions!$D$173*(Q79+Q94)*IF(AND(Q$3&gt;Assumptions!$D$167,Q$3&lt;=Assumptions!$D$167+3),1,0)</f>
        <v>-0</v>
      </c>
      <c r="R139" s="11" t="n">
        <f aca="false">-Scenario_Control!$M$24*Assumptions!$D$173*(R79+R94)*IF(AND(R$3&gt;Assumptions!$D$167,R$3&lt;=Assumptions!$D$167+3),1,0)</f>
        <v>-0</v>
      </c>
      <c r="S139" s="11" t="n">
        <f aca="false">-Scenario_Control!$M$24*Assumptions!$D$173*(S79+S94)*IF(AND(S$3&gt;Assumptions!$D$167,S$3&lt;=Assumptions!$D$167+3),1,0)</f>
        <v>-0</v>
      </c>
      <c r="T139" s="11" t="n">
        <f aca="false">-Scenario_Control!$M$24*Assumptions!$D$173*(T79+T94)*IF(AND(T$3&gt;Assumptions!$D$167,T$3&lt;=Assumptions!$D$167+3),1,0)</f>
        <v>-0</v>
      </c>
      <c r="U139" s="11" t="n">
        <f aca="false">-Scenario_Control!$M$24*Assumptions!$D$173*(U79+U94)*IF(AND(U$3&gt;Assumptions!$D$167,U$3&lt;=Assumptions!$D$167+3),1,0)</f>
        <v>-0</v>
      </c>
      <c r="V139" s="11" t="n">
        <f aca="false">-Scenario_Control!$M$24*Assumptions!$D$173*(V79+V94)*IF(AND(V$3&gt;Assumptions!$D$167,V$3&lt;=Assumptions!$D$167+3),1,0)</f>
        <v>-0</v>
      </c>
      <c r="W139" s="11" t="n">
        <f aca="false">-Scenario_Control!$M$24*Assumptions!$D$173*(W79+W94)*IF(AND(W$3&gt;Assumptions!$D$167,W$3&lt;=Assumptions!$D$167+3),1,0)</f>
        <v>-0</v>
      </c>
      <c r="X139" s="11" t="n">
        <f aca="false">-Scenario_Control!$M$24*Assumptions!$D$173*(X79+X94)*IF(AND(X$3&gt;Assumptions!$D$167,X$3&lt;=Assumptions!$D$167+3),1,0)</f>
        <v>-0</v>
      </c>
      <c r="Y139" s="11" t="n">
        <f aca="false">-Scenario_Control!$M$24*Assumptions!$D$173*(Y79+Y94)*IF(AND(Y$3&gt;Assumptions!$D$167,Y$3&lt;=Assumptions!$D$167+3),1,0)</f>
        <v>-0</v>
      </c>
      <c r="Z139" s="11" t="n">
        <f aca="false">-Scenario_Control!$M$24*Assumptions!$D$173*(Z79+Z94)*IF(AND(Z$3&gt;Assumptions!$D$167,Z$3&lt;=Assumptions!$D$167+3),1,0)</f>
        <v>-0</v>
      </c>
      <c r="AA139" s="11" t="n">
        <f aca="false">-Scenario_Control!$M$24*Assumptions!$D$173*(AA79+AA94)*IF(AND(AA$3&gt;Assumptions!$D$167,AA$3&lt;=Assumptions!$D$167+3),1,0)</f>
        <v>-0</v>
      </c>
      <c r="AB139" s="11" t="n">
        <f aca="false">-Scenario_Control!$M$24*Assumptions!$D$173*(AB79+AB94)*IF(AND(AB$3&gt;Assumptions!$D$167,AB$3&lt;=Assumptions!$D$167+3),1,0)</f>
        <v>-0</v>
      </c>
      <c r="AC139" s="11" t="n">
        <f aca="false">-Scenario_Control!$M$24*Assumptions!$D$173*(AC79+AC94)*IF(AND(AC$3&gt;Assumptions!$D$167,AC$3&lt;=Assumptions!$D$167+3),1,0)</f>
        <v>-0</v>
      </c>
      <c r="AD139" s="11" t="n">
        <f aca="false">-Scenario_Control!$M$24*Assumptions!$D$173*(AD79+AD94)*IF(AND(AD$3&gt;Assumptions!$D$167,AD$3&lt;=Assumptions!$D$167+3),1,0)</f>
        <v>-0</v>
      </c>
      <c r="AE139" s="11" t="n">
        <f aca="false">-Scenario_Control!$M$24*Assumptions!$D$173*(AE79+AE94)*IF(AND(AE$3&gt;Assumptions!$D$167,AE$3&lt;=Assumptions!$D$167+3),1,0)</f>
        <v>-0</v>
      </c>
      <c r="AF139" s="11" t="n">
        <f aca="false">-Scenario_Control!$M$24*Assumptions!$D$173*(AF79+AF94)*IF(AND(AF$3&gt;Assumptions!$D$167,AF$3&lt;=Assumptions!$D$167+3),1,0)</f>
        <v>-0</v>
      </c>
      <c r="AG139" s="11" t="n">
        <f aca="false">-Scenario_Control!$M$24*Assumptions!$D$173*(AG79+AG94)*IF(AND(AG$3&gt;Assumptions!$D$167,AG$3&lt;=Assumptions!$D$167+3),1,0)</f>
        <v>-0</v>
      </c>
      <c r="AH139" s="11" t="n">
        <f aca="false">-Scenario_Control!$M$24*Assumptions!$D$173*(AH79+AH94)*IF(AND(AH$3&gt;Assumptions!$D$167,AH$3&lt;=Assumptions!$D$167+3),1,0)</f>
        <v>-0</v>
      </c>
      <c r="AI139" s="11" t="n">
        <f aca="false">-Scenario_Control!$M$24*Assumptions!$D$173*(AI79+AI94)*IF(AND(AI$3&gt;Assumptions!$D$167,AI$3&lt;=Assumptions!$D$167+3),1,0)</f>
        <v>-0</v>
      </c>
      <c r="AJ139" s="11" t="n">
        <f aca="false">-Scenario_Control!$M$24*Assumptions!$D$173*(AJ79+AJ94)*IF(AND(AJ$3&gt;Assumptions!$D$167,AJ$3&lt;=Assumptions!$D$167+3),1,0)</f>
        <v>-0</v>
      </c>
      <c r="AK139" s="11" t="n">
        <f aca="false">-Scenario_Control!$M$24*Assumptions!$D$173*(AK79+AK94)*IF(AND(AK$3&gt;Assumptions!$D$167,AK$3&lt;=Assumptions!$D$167+3),1,0)</f>
        <v>-0</v>
      </c>
      <c r="AL139" s="11" t="n">
        <f aca="false">-Scenario_Control!$M$24*Assumptions!$D$173*(AL79+AL94)*IF(AND(AL$3&gt;Assumptions!$D$167,AL$3&lt;=Assumptions!$D$167+3),1,0)</f>
        <v>-0</v>
      </c>
      <c r="AM139" s="11" t="n">
        <f aca="false">-Scenario_Control!$M$24*Assumptions!$D$173*(AM79+AM94)*IF(AND(AM$3&gt;Assumptions!$D$167,AM$3&lt;=Assumptions!$D$167+3),1,0)</f>
        <v>-0</v>
      </c>
    </row>
    <row r="140" customFormat="false" ht="15" hidden="false" customHeight="true" outlineLevel="0" collapsed="false">
      <c r="A140" s="13" t="s">
        <v>72</v>
      </c>
      <c r="B140" s="14" t="s">
        <v>64</v>
      </c>
      <c r="C140" s="15" t="n">
        <f aca="false">SUM(D140:AM140)</f>
        <v>6261707.26172916</v>
      </c>
      <c r="D140" s="15" t="n">
        <f aca="false">SUM(D132:D139)</f>
        <v>128.7367328125</v>
      </c>
      <c r="E140" s="15" t="n">
        <f aca="false">SUM(E132:E139)</f>
        <v>2201.20423546875</v>
      </c>
      <c r="F140" s="15" t="n">
        <f aca="false">SUM(F132:F139)</f>
        <v>4621.59729105625</v>
      </c>
      <c r="G140" s="15" t="n">
        <f aca="false">SUM(G132:G139)</f>
        <v>6667.04535495786</v>
      </c>
      <c r="H140" s="15" t="n">
        <f aca="false">SUM(H132:H139)</f>
        <v>9739.99859449804</v>
      </c>
      <c r="I140" s="15" t="n">
        <f aca="false">SUM(I132:I139)</f>
        <v>12621.0849243</v>
      </c>
      <c r="J140" s="15" t="n">
        <f aca="false">SUM(J132:J139)</f>
        <v>16354.4925476164</v>
      </c>
      <c r="K140" s="15" t="n">
        <f aca="false">SUM(K132:K139)</f>
        <v>19588.7547212314</v>
      </c>
      <c r="L140" s="15" t="n">
        <f aca="false">SUM(L132:L139)</f>
        <v>22594.9930374753</v>
      </c>
      <c r="M140" s="15" t="n">
        <f aca="false">SUM(M132:M139)</f>
        <v>22815.3213422134</v>
      </c>
      <c r="N140" s="15" t="n">
        <f aca="false">SUM(N132:N139)</f>
        <v>21312.7817311252</v>
      </c>
      <c r="O140" s="15" t="n">
        <f aca="false">SUM(O132:O139)</f>
        <v>20316.0472711004</v>
      </c>
      <c r="P140" s="15" t="n">
        <f aca="false">SUM(P132:P139)</f>
        <v>23124.6327759922</v>
      </c>
      <c r="Q140" s="15" t="n">
        <f aca="false">SUM(Q132:Q139)</f>
        <v>35218.5337140154</v>
      </c>
      <c r="R140" s="15" t="n">
        <f aca="false">SUM(R132:R139)</f>
        <v>47056.1431682393</v>
      </c>
      <c r="S140" s="15" t="n">
        <f aca="false">SUM(S132:S139)</f>
        <v>63273.1599286019</v>
      </c>
      <c r="T140" s="15" t="n">
        <f aca="false">SUM(T132:T139)</f>
        <v>83376.2172751146</v>
      </c>
      <c r="U140" s="15" t="n">
        <f aca="false">SUM(U132:U139)</f>
        <v>104052.359668043</v>
      </c>
      <c r="V140" s="15" t="n">
        <f aca="false">SUM(V132:V139)</f>
        <v>132848.557419418</v>
      </c>
      <c r="W140" s="15" t="n">
        <f aca="false">SUM(W132:W139)</f>
        <v>156515.498163998</v>
      </c>
      <c r="X140" s="15" t="n">
        <f aca="false">SUM(X132:X139)</f>
        <v>180647.214381574</v>
      </c>
      <c r="Y140" s="15" t="n">
        <f aca="false">SUM(Y132:Y139)</f>
        <v>188484.160411255</v>
      </c>
      <c r="Z140" s="15" t="n">
        <f aca="false">SUM(Z132:Z139)</f>
        <v>187603.078173457</v>
      </c>
      <c r="AA140" s="15" t="n">
        <f aca="false">SUM(AA132:AA139)</f>
        <v>184045.235887284</v>
      </c>
      <c r="AB140" s="15" t="n">
        <f aca="false">SUM(AB132:AB139)</f>
        <v>194277.341838291</v>
      </c>
      <c r="AC140" s="15" t="n">
        <f aca="false">SUM(AC132:AC139)</f>
        <v>214657.945871149</v>
      </c>
      <c r="AD140" s="15" t="n">
        <f aca="false">SUM(AD132:AD139)</f>
        <v>234032.192484027</v>
      </c>
      <c r="AE140" s="15" t="n">
        <f aca="false">SUM(AE132:AE139)</f>
        <v>269024.893646385</v>
      </c>
      <c r="AF140" s="15" t="n">
        <f aca="false">SUM(AF132:AF139)</f>
        <v>311241.43394007</v>
      </c>
      <c r="AG140" s="15" t="n">
        <f aca="false">SUM(AG132:AG139)</f>
        <v>359880.815166292</v>
      </c>
      <c r="AH140" s="15" t="n">
        <f aca="false">SUM(AH132:AH139)</f>
        <v>423281.624096131</v>
      </c>
      <c r="AI140" s="15" t="n">
        <f aca="false">SUM(AI132:AI139)</f>
        <v>479375.488126209</v>
      </c>
      <c r="AJ140" s="15" t="n">
        <f aca="false">SUM(AJ132:AJ139)</f>
        <v>538397.319571477</v>
      </c>
      <c r="AK140" s="15" t="n">
        <f aca="false">SUM(AK132:AK139)</f>
        <v>561698.632239166</v>
      </c>
      <c r="AL140" s="15" t="n">
        <f aca="false">SUM(AL132:AL139)</f>
        <v>567264.818429493</v>
      </c>
      <c r="AM140" s="15" t="n">
        <f aca="false">SUM(AM132:AM139)</f>
        <v>563367.907569625</v>
      </c>
    </row>
    <row r="142" customFormat="false" ht="15" hidden="false" customHeight="true" outlineLevel="0" collapsed="false">
      <c r="A142" s="8" t="s">
        <v>892</v>
      </c>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row>
    <row r="143" customFormat="false" ht="15" hidden="false" customHeight="true" outlineLevel="0" collapsed="false">
      <c r="A143" s="5" t="s">
        <v>893</v>
      </c>
      <c r="B143" s="10" t="s">
        <v>64</v>
      </c>
      <c r="C143" s="12" t="n">
        <f aca="false">AM143</f>
        <v>267807.219594431</v>
      </c>
      <c r="D143" s="11" t="n">
        <f aca="false">(D19*Assumptions!$D$195*12+D22*Assumptions!$D$196)*(1-Assumptions!$D$21)</f>
        <v>1504.0007625</v>
      </c>
      <c r="E143" s="11" t="n">
        <f aca="false">(E19*Assumptions!$D$195*12+E22*Assumptions!$D$196)*(1-Assumptions!$D$21)</f>
        <v>2350.2502965</v>
      </c>
      <c r="F143" s="11" t="n">
        <f aca="false">(F19*Assumptions!$D$195*12+F22*Assumptions!$D$196)*(1-Assumptions!$D$21)</f>
        <v>6476.10302778</v>
      </c>
      <c r="G143" s="11" t="n">
        <f aca="false">(G19*Assumptions!$D$195*12+G22*Assumptions!$D$196)*(1-Assumptions!$D$21)</f>
        <v>8947.5603630576</v>
      </c>
      <c r="H143" s="11" t="n">
        <f aca="false">(H19*Assumptions!$D$195*12+H22*Assumptions!$D$196)*(1-Assumptions!$D$21)</f>
        <v>11036.005406513</v>
      </c>
      <c r="I143" s="11" t="n">
        <f aca="false">(I19*Assumptions!$D$195*12+I22*Assumptions!$D$196)*(1-Assumptions!$D$21)</f>
        <v>12458.445161492</v>
      </c>
      <c r="J143" s="11" t="n">
        <f aca="false">(J19*Assumptions!$D$195*12+J22*Assumptions!$D$196)*(1-Assumptions!$D$21)</f>
        <v>13242.4923960726</v>
      </c>
      <c r="K143" s="11" t="n">
        <f aca="false">(K19*Assumptions!$D$195*12+K22*Assumptions!$D$196)*(1-Assumptions!$D$21)</f>
        <v>14015.1511618868</v>
      </c>
      <c r="L143" s="11" t="n">
        <f aca="false">(L19*Assumptions!$D$195*12+L22*Assumptions!$D$196)*(1-Assumptions!$D$21)</f>
        <v>15679.7329939358</v>
      </c>
      <c r="M143" s="11" t="n">
        <f aca="false">(M19*Assumptions!$D$195*12+M22*Assumptions!$D$196)*(1-Assumptions!$D$21)</f>
        <v>22414.587664421</v>
      </c>
      <c r="N143" s="11" t="n">
        <f aca="false">(N19*Assumptions!$D$195*12+N22*Assumptions!$D$196)*(1-Assumptions!$D$21)</f>
        <v>29520.2661262673</v>
      </c>
      <c r="O143" s="11" t="n">
        <f aca="false">(O19*Assumptions!$D$195*12+O22*Assumptions!$D$196)*(1-Assumptions!$D$21)</f>
        <v>31578.3673861659</v>
      </c>
      <c r="P143" s="11" t="n">
        <f aca="false">(P19*Assumptions!$D$195*12+P22*Assumptions!$D$196)*(1-Assumptions!$D$21)</f>
        <v>35445.0752068351</v>
      </c>
      <c r="Q143" s="11" t="n">
        <f aca="false">(Q19*Assumptions!$D$195*12+Q22*Assumptions!$D$196)*(1-Assumptions!$D$21)</f>
        <v>37254.8561353508</v>
      </c>
      <c r="R143" s="11" t="n">
        <f aca="false">(R19*Assumptions!$D$195*12+R22*Assumptions!$D$196)*(1-Assumptions!$D$21)</f>
        <v>49712.4201338978</v>
      </c>
      <c r="S143" s="11" t="n">
        <f aca="false">(S19*Assumptions!$D$195*12+S22*Assumptions!$D$196)*(1-Assumptions!$D$21)</f>
        <v>56862.4764157484</v>
      </c>
      <c r="T143" s="11" t="n">
        <f aca="false">(T19*Assumptions!$D$195*12+T22*Assumptions!$D$196)*(1-Assumptions!$D$21)</f>
        <v>62818.3830293636</v>
      </c>
      <c r="U143" s="11" t="n">
        <f aca="false">(U19*Assumptions!$D$195*12+U22*Assumptions!$D$196)*(1-Assumptions!$D$21)</f>
        <v>66666.3729862645</v>
      </c>
      <c r="V143" s="11" t="n">
        <f aca="false">(V19*Assumptions!$D$195*12+V22*Assumptions!$D$196)*(1-Assumptions!$D$21)</f>
        <v>68497.6488597383</v>
      </c>
      <c r="W143" s="11" t="n">
        <f aca="false">(W19*Assumptions!$D$195*12+W22*Assumptions!$D$196)*(1-Assumptions!$D$21)</f>
        <v>70337.2841818342</v>
      </c>
      <c r="X143" s="11" t="n">
        <f aca="false">(X19*Assumptions!$D$195*12+X22*Assumptions!$D$196)*(1-Assumptions!$D$21)</f>
        <v>75096.3609436</v>
      </c>
      <c r="Y143" s="11" t="n">
        <f aca="false">(Y19*Assumptions!$D$195*12+Y22*Assumptions!$D$196)*(1-Assumptions!$D$21)</f>
        <v>96245.640121112</v>
      </c>
      <c r="Z143" s="11" t="n">
        <f aca="false">(Z19*Assumptions!$D$195*12+Z22*Assumptions!$D$196)*(1-Assumptions!$D$21)</f>
        <v>118573.313240048</v>
      </c>
      <c r="AA143" s="11" t="n">
        <f aca="false">(AA19*Assumptions!$D$195*12+AA22*Assumptions!$D$196)*(1-Assumptions!$D$21)</f>
        <v>124592.035062719</v>
      </c>
      <c r="AB143" s="11" t="n">
        <f aca="false">(AB19*Assumptions!$D$195*12+AB22*Assumptions!$D$196)*(1-Assumptions!$D$21)</f>
        <v>129253.068400358</v>
      </c>
      <c r="AC143" s="11" t="n">
        <f aca="false">(AC19*Assumptions!$D$195*12+AC22*Assumptions!$D$196)*(1-Assumptions!$D$21)</f>
        <v>130472.769158736</v>
      </c>
      <c r="AD143" s="11" t="n">
        <f aca="false">(AD19*Assumptions!$D$195*12+AD22*Assumptions!$D$196)*(1-Assumptions!$D$21)</f>
        <v>150353.502650974</v>
      </c>
      <c r="AE143" s="11" t="n">
        <f aca="false">(AE19*Assumptions!$D$195*12+AE22*Assumptions!$D$196)*(1-Assumptions!$D$21)</f>
        <v>161065.216664053</v>
      </c>
      <c r="AF143" s="11" t="n">
        <f aca="false">(AF19*Assumptions!$D$195*12+AF22*Assumptions!$D$196)*(1-Assumptions!$D$21)</f>
        <v>169786.879183616</v>
      </c>
      <c r="AG143" s="11" t="n">
        <f aca="false">(AG19*Assumptions!$D$195*12+AG22*Assumptions!$D$196)*(1-Assumptions!$D$21)</f>
        <v>174927.486751052</v>
      </c>
      <c r="AH143" s="11" t="n">
        <f aca="false">(AH19*Assumptions!$D$195*12+AH22*Assumptions!$D$196)*(1-Assumptions!$D$21)</f>
        <v>176650.105121405</v>
      </c>
      <c r="AI143" s="11" t="n">
        <f aca="false">(AI19*Assumptions!$D$195*12+AI22*Assumptions!$D$196)*(1-Assumptions!$D$21)</f>
        <v>178481.75130438</v>
      </c>
      <c r="AJ143" s="11" t="n">
        <f aca="false">(AJ19*Assumptions!$D$195*12+AJ22*Assumptions!$D$196)*(1-Assumptions!$D$21)</f>
        <v>185479.197847561</v>
      </c>
      <c r="AK143" s="11" t="n">
        <f aca="false">(AK19*Assumptions!$D$195*12+AK22*Assumptions!$D$196)*(1-Assumptions!$D$21)</f>
        <v>221053.284289256</v>
      </c>
      <c r="AL143" s="11" t="n">
        <f aca="false">(AL19*Assumptions!$D$195*12+AL22*Assumptions!$D$196)*(1-Assumptions!$D$21)</f>
        <v>258639.464024178</v>
      </c>
      <c r="AM143" s="11" t="n">
        <f aca="false">(AM19*Assumptions!$D$195*12+AM22*Assumptions!$D$196)*(1-Assumptions!$D$21)</f>
        <v>267807.219594431</v>
      </c>
    </row>
    <row r="144" customFormat="false" ht="15" hidden="false" customHeight="true" outlineLevel="0" collapsed="false">
      <c r="A144" s="5" t="s">
        <v>894</v>
      </c>
      <c r="B144" s="10" t="s">
        <v>64</v>
      </c>
      <c r="C144" s="12" t="n">
        <f aca="false">AM144</f>
        <v>3094777.62133333</v>
      </c>
      <c r="D144" s="11" t="n">
        <f aca="false">D76+D91</f>
        <v>0</v>
      </c>
      <c r="E144" s="11" t="n">
        <f aca="false">E76+E91</f>
        <v>0</v>
      </c>
      <c r="F144" s="11" t="n">
        <f aca="false">F76+F91</f>
        <v>0</v>
      </c>
      <c r="G144" s="11" t="n">
        <f aca="false">G76+G91</f>
        <v>0</v>
      </c>
      <c r="H144" s="11" t="n">
        <f aca="false">H76+H91</f>
        <v>2500</v>
      </c>
      <c r="I144" s="11" t="n">
        <f aca="false">I76+I91</f>
        <v>4583.33333333333</v>
      </c>
      <c r="J144" s="11" t="n">
        <f aca="false">J76+J91</f>
        <v>8333.33333333333</v>
      </c>
      <c r="K144" s="11" t="n">
        <f aca="false">K76+K91</f>
        <v>12500</v>
      </c>
      <c r="L144" s="11" t="n">
        <f aca="false">L76+L91</f>
        <v>27133.3333333333</v>
      </c>
      <c r="M144" s="11" t="n">
        <f aca="false">M76+M91</f>
        <v>41133.3333333333</v>
      </c>
      <c r="N144" s="11" t="n">
        <f aca="false">N76+N91</f>
        <v>61833.3333333333</v>
      </c>
      <c r="O144" s="11" t="n">
        <f aca="false">O76+O91</f>
        <v>83583.3333333333</v>
      </c>
      <c r="P144" s="11" t="n">
        <f aca="false">P76+P91</f>
        <v>108283.333333333</v>
      </c>
      <c r="Q144" s="11" t="n">
        <f aca="false">Q76+Q91</f>
        <v>133833.333333333</v>
      </c>
      <c r="R144" s="11" t="n">
        <f aca="false">R76+R91</f>
        <v>161900</v>
      </c>
      <c r="S144" s="11" t="n">
        <f aca="false">S76+S91</f>
        <v>189333.333333333</v>
      </c>
      <c r="T144" s="11" t="n">
        <f aca="false">T76+T91</f>
        <v>223964</v>
      </c>
      <c r="U144" s="11" t="n">
        <f aca="false">U76+U91</f>
        <v>247934</v>
      </c>
      <c r="V144" s="11" t="n">
        <f aca="false">V76+V91</f>
        <v>305496.666666667</v>
      </c>
      <c r="W144" s="11" t="n">
        <f aca="false">W76+W91</f>
        <v>365695</v>
      </c>
      <c r="X144" s="11" t="n">
        <f aca="false">X76+X91</f>
        <v>467996.266666667</v>
      </c>
      <c r="Y144" s="11" t="n">
        <f aca="false">Y76+Y91</f>
        <v>576728.266666667</v>
      </c>
      <c r="Z144" s="11" t="n">
        <f aca="false">Z76+Z91</f>
        <v>722010.666666667</v>
      </c>
      <c r="AA144" s="11" t="n">
        <f aca="false">AA76+AA91</f>
        <v>875064.666666667</v>
      </c>
      <c r="AB144" s="11" t="n">
        <f aca="false">AB76+AB91</f>
        <v>1027473.06666667</v>
      </c>
      <c r="AC144" s="11" t="n">
        <f aca="false">AC76+AC91</f>
        <v>1167317.66666667</v>
      </c>
      <c r="AD144" s="11" t="n">
        <f aca="false">AD76+AD91</f>
        <v>1286157.8</v>
      </c>
      <c r="AE144" s="11" t="n">
        <f aca="false">AE76+AE91</f>
        <v>1389678.66666667</v>
      </c>
      <c r="AF144" s="11" t="n">
        <f aca="false">AF76+AF91</f>
        <v>1487301.152</v>
      </c>
      <c r="AG144" s="11" t="n">
        <f aca="false">AG76+AG91</f>
        <v>1565490.112</v>
      </c>
      <c r="AH144" s="11" t="n">
        <f aca="false">AH76+AH91</f>
        <v>1717348.57333333</v>
      </c>
      <c r="AI144" s="11" t="n">
        <f aca="false">AI76+AI91</f>
        <v>1872758.26</v>
      </c>
      <c r="AJ144" s="11" t="n">
        <f aca="false">AJ76+AJ91</f>
        <v>2115332.59093333</v>
      </c>
      <c r="AK144" s="11" t="n">
        <f aca="false">AK76+AK91</f>
        <v>2378676.67093333</v>
      </c>
      <c r="AL144" s="11" t="n">
        <f aca="false">AL76+AL91</f>
        <v>2726014.34133333</v>
      </c>
      <c r="AM144" s="11" t="n">
        <f aca="false">AM76+AM91</f>
        <v>3094777.62133333</v>
      </c>
    </row>
    <row r="145" customFormat="false" ht="15" hidden="false" customHeight="true" outlineLevel="0" collapsed="false">
      <c r="A145" s="5" t="s">
        <v>895</v>
      </c>
      <c r="B145" s="10" t="s">
        <v>64</v>
      </c>
      <c r="C145" s="12" t="n">
        <f aca="false">AM145</f>
        <v>121843.789269698</v>
      </c>
      <c r="D145" s="11" t="n">
        <f aca="false">(D32+D122)*12</f>
        <v>40.84003125</v>
      </c>
      <c r="E145" s="11" t="n">
        <f aca="false">(E32+E122)*12</f>
        <v>64.200529125</v>
      </c>
      <c r="F145" s="11" t="n">
        <f aca="false">(F32+F122)*12</f>
        <v>183.064464895</v>
      </c>
      <c r="G145" s="11" t="n">
        <f aca="false">(G32+G122)*12</f>
        <v>256.983896436733</v>
      </c>
      <c r="H145" s="11" t="n">
        <f aca="false">(H32+H122)*12</f>
        <v>343.977727463461</v>
      </c>
      <c r="I145" s="11" t="n">
        <f aca="false">(I32+I122)*12</f>
        <v>411.240596774718</v>
      </c>
      <c r="J145" s="11" t="n">
        <f aca="false">(J32+J122)*12</f>
        <v>478.084841991074</v>
      </c>
      <c r="K145" s="11" t="n">
        <f aca="false">(K32+K122)*12</f>
        <v>549.905492890121</v>
      </c>
      <c r="L145" s="11" t="n">
        <f aca="false">(L32+L122)*12</f>
        <v>726.850122433911</v>
      </c>
      <c r="M145" s="11" t="n">
        <f aca="false">(M32+M122)*12</f>
        <v>1035.93510880587</v>
      </c>
      <c r="N145" s="11" t="n">
        <f aca="false">(N32+N122)*12</f>
        <v>1399.7813139014</v>
      </c>
      <c r="O145" s="11" t="n">
        <f aca="false">(O32+O122)*12</f>
        <v>1630.86653370595</v>
      </c>
      <c r="P145" s="11" t="n">
        <f aca="false">(P32+P122)*12</f>
        <v>4327.1847717377</v>
      </c>
      <c r="Q145" s="11" t="n">
        <f aca="false">(Q32+Q122)*12</f>
        <v>4934.21509950077</v>
      </c>
      <c r="R145" s="11" t="n">
        <f aca="false">(R32+R122)*12</f>
        <v>6181.29788497321</v>
      </c>
      <c r="S145" s="11" t="n">
        <f aca="false">(S32+S122)*12</f>
        <v>7132.10939414077</v>
      </c>
      <c r="T145" s="11" t="n">
        <f aca="false">(T32+T122)*12</f>
        <v>8182.22427201201</v>
      </c>
      <c r="U145" s="11" t="n">
        <f aca="false">(U32+U122)*12</f>
        <v>8927.94303025271</v>
      </c>
      <c r="V145" s="11" t="n">
        <f aca="false">(V32+V122)*12</f>
        <v>10283.6157901117</v>
      </c>
      <c r="W145" s="11" t="n">
        <f aca="false">(W32+W122)*12</f>
        <v>11692.1206991586</v>
      </c>
      <c r="X145" s="11" t="n">
        <f aca="false">(X32+X122)*12</f>
        <v>14103.6968644896</v>
      </c>
      <c r="Y145" s="11" t="n">
        <f aca="false">(Y32+Y122)*12</f>
        <v>17515.7398485638</v>
      </c>
      <c r="Z145" s="11" t="n">
        <f aca="false">(Z32+Z122)*12</f>
        <v>21683.9584164595</v>
      </c>
      <c r="AA145" s="11" t="n">
        <f aca="false">(AA32+AA122)*12</f>
        <v>25125.0406489386</v>
      </c>
      <c r="AB145" s="11" t="n">
        <f aca="false">(AB32+AB122)*12</f>
        <v>43630.0418034383</v>
      </c>
      <c r="AC145" s="11" t="n">
        <f aca="false">(AC32+AC122)*12</f>
        <v>48329.1796572257</v>
      </c>
      <c r="AD145" s="11" t="n">
        <f aca="false">(AD32+AD122)*12</f>
        <v>53613.4274877827</v>
      </c>
      <c r="AE145" s="11" t="n">
        <f aca="false">(AE32+AE122)*12</f>
        <v>57712.1300016292</v>
      </c>
      <c r="AF145" s="11" t="n">
        <f aca="false">(AF32+AF122)*12</f>
        <v>61532.8434716272</v>
      </c>
      <c r="AG145" s="11" t="n">
        <f aca="false">(AG32+AG122)*12</f>
        <v>64564.4577478937</v>
      </c>
      <c r="AH145" s="11" t="n">
        <f aca="false">(AH32+AH122)*12</f>
        <v>69839.3432447039</v>
      </c>
      <c r="AI145" s="11" t="n">
        <f aca="false">(AI32+AI122)*12</f>
        <v>75206.4501431492</v>
      </c>
      <c r="AJ145" s="11" t="n">
        <f aca="false">(AJ32+AJ122)*12</f>
        <v>83796.3757611698</v>
      </c>
      <c r="AK145" s="11" t="n">
        <f aca="false">(AK32+AK122)*12</f>
        <v>95040.5599445029</v>
      </c>
      <c r="AL145" s="11" t="n">
        <f aca="false">(AL32+AL122)*12</f>
        <v>109084.832306474</v>
      </c>
      <c r="AM145" s="11" t="n">
        <f aca="false">(AM32+AM122)*12</f>
        <v>121843.789269698</v>
      </c>
    </row>
    <row r="146" customFormat="false" ht="15" hidden="false" customHeight="true" outlineLevel="0" collapsed="false">
      <c r="A146" s="5" t="s">
        <v>896</v>
      </c>
      <c r="B146" s="10" t="s">
        <v>64</v>
      </c>
      <c r="C146" s="12" t="n">
        <f aca="false">AM146</f>
        <v>814320</v>
      </c>
      <c r="D146" s="11" t="n">
        <f aca="false">D115</f>
        <v>0</v>
      </c>
      <c r="E146" s="11" t="n">
        <f aca="false">E115</f>
        <v>0</v>
      </c>
      <c r="F146" s="11" t="n">
        <f aca="false">F115</f>
        <v>0</v>
      </c>
      <c r="G146" s="11" t="n">
        <f aca="false">G115</f>
        <v>0</v>
      </c>
      <c r="H146" s="11" t="n">
        <f aca="false">H115</f>
        <v>0</v>
      </c>
      <c r="I146" s="11" t="n">
        <f aca="false">I115</f>
        <v>0</v>
      </c>
      <c r="J146" s="11" t="n">
        <f aca="false">J115</f>
        <v>0</v>
      </c>
      <c r="K146" s="11" t="n">
        <f aca="false">K115</f>
        <v>0</v>
      </c>
      <c r="L146" s="11" t="n">
        <f aca="false">L115</f>
        <v>0</v>
      </c>
      <c r="M146" s="11" t="n">
        <f aca="false">M115</f>
        <v>0</v>
      </c>
      <c r="N146" s="11" t="n">
        <f aca="false">N115</f>
        <v>0</v>
      </c>
      <c r="O146" s="11" t="n">
        <f aca="false">O115</f>
        <v>0</v>
      </c>
      <c r="P146" s="11" t="n">
        <f aca="false">P115</f>
        <v>18000</v>
      </c>
      <c r="Q146" s="11" t="n">
        <f aca="false">Q115</f>
        <v>36000</v>
      </c>
      <c r="R146" s="11" t="n">
        <f aca="false">R115</f>
        <v>54000</v>
      </c>
      <c r="S146" s="11" t="n">
        <f aca="false">S115</f>
        <v>72000</v>
      </c>
      <c r="T146" s="11" t="n">
        <f aca="false">T115</f>
        <v>90000</v>
      </c>
      <c r="U146" s="11" t="n">
        <f aca="false">U115</f>
        <v>108000</v>
      </c>
      <c r="V146" s="11" t="n">
        <f aca="false">V115</f>
        <v>126000</v>
      </c>
      <c r="W146" s="11" t="n">
        <f aca="false">W115</f>
        <v>144000</v>
      </c>
      <c r="X146" s="11" t="n">
        <f aca="false">X115</f>
        <v>162000</v>
      </c>
      <c r="Y146" s="11" t="n">
        <f aca="false">Y115</f>
        <v>180000</v>
      </c>
      <c r="Z146" s="11" t="n">
        <f aca="false">Z115</f>
        <v>198000</v>
      </c>
      <c r="AA146" s="11" t="n">
        <f aca="false">AA115</f>
        <v>216000</v>
      </c>
      <c r="AB146" s="11" t="n">
        <f aca="false">AB115</f>
        <v>265860</v>
      </c>
      <c r="AC146" s="11" t="n">
        <f aca="false">AC115</f>
        <v>315720</v>
      </c>
      <c r="AD146" s="11" t="n">
        <f aca="false">AD115</f>
        <v>365580</v>
      </c>
      <c r="AE146" s="11" t="n">
        <f aca="false">AE115</f>
        <v>415440</v>
      </c>
      <c r="AF146" s="11" t="n">
        <f aca="false">AF115</f>
        <v>465300</v>
      </c>
      <c r="AG146" s="11" t="n">
        <f aca="false">AG115</f>
        <v>515160</v>
      </c>
      <c r="AH146" s="11" t="n">
        <f aca="false">AH115</f>
        <v>565020</v>
      </c>
      <c r="AI146" s="11" t="n">
        <f aca="false">AI115</f>
        <v>614880</v>
      </c>
      <c r="AJ146" s="11" t="n">
        <f aca="false">AJ115</f>
        <v>664740</v>
      </c>
      <c r="AK146" s="11" t="n">
        <f aca="false">AK115</f>
        <v>714600</v>
      </c>
      <c r="AL146" s="11" t="n">
        <f aca="false">AL115</f>
        <v>764460</v>
      </c>
      <c r="AM146" s="11" t="n">
        <f aca="false">AM115</f>
        <v>814320</v>
      </c>
    </row>
    <row r="147" customFormat="false" ht="15" hidden="false" customHeight="true" outlineLevel="0" collapsed="false">
      <c r="A147" s="5" t="s">
        <v>897</v>
      </c>
      <c r="B147" s="10" t="s">
        <v>64</v>
      </c>
      <c r="C147" s="12" t="n">
        <f aca="false">AM147</f>
        <v>40354.8</v>
      </c>
      <c r="D147" s="11" t="n">
        <f aca="false">D120*12</f>
        <v>0</v>
      </c>
      <c r="E147" s="11" t="n">
        <f aca="false">E120*12</f>
        <v>0</v>
      </c>
      <c r="F147" s="11" t="n">
        <f aca="false">F120*12</f>
        <v>0</v>
      </c>
      <c r="G147" s="11" t="n">
        <f aca="false">G120*12</f>
        <v>0</v>
      </c>
      <c r="H147" s="11" t="n">
        <f aca="false">H120*12</f>
        <v>0</v>
      </c>
      <c r="I147" s="11" t="n">
        <f aca="false">I120*12</f>
        <v>0</v>
      </c>
      <c r="J147" s="11" t="n">
        <f aca="false">J120*12</f>
        <v>0</v>
      </c>
      <c r="K147" s="11" t="n">
        <f aca="false">K120*12</f>
        <v>0</v>
      </c>
      <c r="L147" s="11" t="n">
        <f aca="false">L120*12</f>
        <v>0</v>
      </c>
      <c r="M147" s="11" t="n">
        <f aca="false">M120*12</f>
        <v>0</v>
      </c>
      <c r="N147" s="11" t="n">
        <f aca="false">N120*12</f>
        <v>0</v>
      </c>
      <c r="O147" s="11" t="n">
        <f aca="false">O120*12</f>
        <v>0</v>
      </c>
      <c r="P147" s="11" t="n">
        <f aca="false">P120*12</f>
        <v>440</v>
      </c>
      <c r="Q147" s="11" t="n">
        <f aca="false">Q120*12</f>
        <v>600</v>
      </c>
      <c r="R147" s="11" t="n">
        <f aca="false">R120*12</f>
        <v>780</v>
      </c>
      <c r="S147" s="11" t="n">
        <f aca="false">S120*12</f>
        <v>950</v>
      </c>
      <c r="T147" s="11" t="n">
        <f aca="false">T120*12</f>
        <v>1050</v>
      </c>
      <c r="U147" s="11" t="n">
        <f aca="false">U120*12</f>
        <v>1100</v>
      </c>
      <c r="V147" s="11" t="n">
        <f aca="false">V120*12</f>
        <v>1365</v>
      </c>
      <c r="W147" s="11" t="n">
        <f aca="false">W120*12</f>
        <v>1612.5</v>
      </c>
      <c r="X147" s="11" t="n">
        <f aca="false">X120*12</f>
        <v>2095.2</v>
      </c>
      <c r="Y147" s="11" t="n">
        <f aca="false">Y120*12</f>
        <v>2591.2</v>
      </c>
      <c r="Z147" s="11" t="n">
        <f aca="false">Z120*12</f>
        <v>3334</v>
      </c>
      <c r="AA147" s="11" t="n">
        <f aca="false">AA120*12</f>
        <v>4176</v>
      </c>
      <c r="AB147" s="11" t="n">
        <f aca="false">AB120*12</f>
        <v>12974.5</v>
      </c>
      <c r="AC147" s="11" t="n">
        <f aca="false">AC120*12</f>
        <v>15536.25</v>
      </c>
      <c r="AD147" s="11" t="n">
        <f aca="false">AD120*12</f>
        <v>17562.75</v>
      </c>
      <c r="AE147" s="11" t="n">
        <f aca="false">AE120*12</f>
        <v>19060</v>
      </c>
      <c r="AF147" s="11" t="n">
        <f aca="false">AF120*12</f>
        <v>20040</v>
      </c>
      <c r="AG147" s="11" t="n">
        <f aca="false">AG120*12</f>
        <v>20905</v>
      </c>
      <c r="AH147" s="11" t="n">
        <f aca="false">AH120*12</f>
        <v>22789.5</v>
      </c>
      <c r="AI147" s="11" t="n">
        <f aca="false">AI120*12</f>
        <v>24521.25</v>
      </c>
      <c r="AJ147" s="11" t="n">
        <f aca="false">AJ120*12</f>
        <v>27468.96</v>
      </c>
      <c r="AK147" s="11" t="n">
        <f aca="false">AK120*12</f>
        <v>30609.76</v>
      </c>
      <c r="AL147" s="11" t="n">
        <f aca="false">AL120*12</f>
        <v>35168.2</v>
      </c>
      <c r="AM147" s="11" t="n">
        <f aca="false">AM120*12</f>
        <v>40354.8</v>
      </c>
    </row>
    <row r="148" customFormat="false" ht="15" hidden="false" customHeight="true" outlineLevel="0" collapsed="false">
      <c r="A148" s="13" t="s">
        <v>898</v>
      </c>
      <c r="B148" s="14" t="s">
        <v>64</v>
      </c>
      <c r="C148" s="15" t="n">
        <f aca="false">AM148</f>
        <v>4339103.43019746</v>
      </c>
      <c r="D148" s="15" t="n">
        <f aca="false">SUM(D143:D147)</f>
        <v>1544.84079375</v>
      </c>
      <c r="E148" s="15" t="n">
        <f aca="false">SUM(E143:E147)</f>
        <v>2414.450825625</v>
      </c>
      <c r="F148" s="15" t="n">
        <f aca="false">SUM(F143:F147)</f>
        <v>6659.167492675</v>
      </c>
      <c r="G148" s="15" t="n">
        <f aca="false">SUM(G143:G147)</f>
        <v>9204.54425949433</v>
      </c>
      <c r="H148" s="15" t="n">
        <f aca="false">SUM(H143:H147)</f>
        <v>13879.9831339765</v>
      </c>
      <c r="I148" s="15" t="n">
        <f aca="false">SUM(I143:I147)</f>
        <v>17453.0190916</v>
      </c>
      <c r="J148" s="15" t="n">
        <f aca="false">SUM(J143:J147)</f>
        <v>22053.910571397</v>
      </c>
      <c r="K148" s="15" t="n">
        <f aca="false">SUM(K143:K147)</f>
        <v>27065.0566547769</v>
      </c>
      <c r="L148" s="15" t="n">
        <f aca="false">SUM(L143:L147)</f>
        <v>43539.9164497031</v>
      </c>
      <c r="M148" s="15" t="n">
        <f aca="false">SUM(M143:M147)</f>
        <v>64583.8561065602</v>
      </c>
      <c r="N148" s="15" t="n">
        <f aca="false">SUM(N143:N147)</f>
        <v>92753.380773502</v>
      </c>
      <c r="O148" s="15" t="n">
        <f aca="false">SUM(O143:O147)</f>
        <v>116792.567253205</v>
      </c>
      <c r="P148" s="15" t="n">
        <f aca="false">SUM(P143:P147)</f>
        <v>166495.593311906</v>
      </c>
      <c r="Q148" s="15" t="n">
        <f aca="false">SUM(Q143:Q147)</f>
        <v>212622.404568185</v>
      </c>
      <c r="R148" s="15" t="n">
        <f aca="false">SUM(R143:R147)</f>
        <v>272573.718018871</v>
      </c>
      <c r="S148" s="15" t="n">
        <f aca="false">SUM(S143:S147)</f>
        <v>326277.919143223</v>
      </c>
      <c r="T148" s="15" t="n">
        <f aca="false">SUM(T143:T147)</f>
        <v>386014.607301376</v>
      </c>
      <c r="U148" s="15" t="n">
        <f aca="false">SUM(U143:U147)</f>
        <v>432628.316016517</v>
      </c>
      <c r="V148" s="15" t="n">
        <f aca="false">SUM(V143:V147)</f>
        <v>511642.931316517</v>
      </c>
      <c r="W148" s="15" t="n">
        <f aca="false">SUM(W143:W147)</f>
        <v>593336.904880993</v>
      </c>
      <c r="X148" s="15" t="n">
        <f aca="false">SUM(X143:X147)</f>
        <v>721291.524474756</v>
      </c>
      <c r="Y148" s="15" t="n">
        <f aca="false">SUM(Y143:Y147)</f>
        <v>873080.846636342</v>
      </c>
      <c r="Z148" s="15" t="n">
        <f aca="false">SUM(Z143:Z147)</f>
        <v>1063601.93832317</v>
      </c>
      <c r="AA148" s="15" t="n">
        <f aca="false">SUM(AA143:AA147)</f>
        <v>1244957.74237832</v>
      </c>
      <c r="AB148" s="15" t="n">
        <f aca="false">SUM(AB143:AB147)</f>
        <v>1479190.67687046</v>
      </c>
      <c r="AC148" s="15" t="n">
        <f aca="false">SUM(AC143:AC147)</f>
        <v>1677375.86548263</v>
      </c>
      <c r="AD148" s="15" t="n">
        <f aca="false">SUM(AD143:AD147)</f>
        <v>1873267.48013876</v>
      </c>
      <c r="AE148" s="15" t="n">
        <f aca="false">SUM(AE143:AE147)</f>
        <v>2042956.01333235</v>
      </c>
      <c r="AF148" s="15" t="n">
        <f aca="false">SUM(AF143:AF147)</f>
        <v>2203960.87465524</v>
      </c>
      <c r="AG148" s="15" t="n">
        <f aca="false">SUM(AG143:AG147)</f>
        <v>2341047.05649895</v>
      </c>
      <c r="AH148" s="15" t="n">
        <f aca="false">SUM(AH143:AH147)</f>
        <v>2551647.52169944</v>
      </c>
      <c r="AI148" s="15" t="n">
        <f aca="false">SUM(AI143:AI147)</f>
        <v>2765847.71144753</v>
      </c>
      <c r="AJ148" s="15" t="n">
        <f aca="false">SUM(AJ143:AJ147)</f>
        <v>3076817.12454206</v>
      </c>
      <c r="AK148" s="15" t="n">
        <f aca="false">SUM(AK143:AK147)</f>
        <v>3439980.27516709</v>
      </c>
      <c r="AL148" s="15" t="n">
        <f aca="false">SUM(AL143:AL147)</f>
        <v>3893366.83766399</v>
      </c>
      <c r="AM148" s="15" t="n">
        <f aca="false">SUM(AM143:AM147)</f>
        <v>4339103.43019746</v>
      </c>
    </row>
    <row r="149" customFormat="false" ht="15" hidden="false" customHeight="true" outlineLevel="0" collapsed="false">
      <c r="A149" s="5" t="s">
        <v>899</v>
      </c>
      <c r="B149" s="10" t="s">
        <v>64</v>
      </c>
      <c r="C149" s="12" t="n">
        <f aca="false">AM149</f>
        <v>5179103.43019746</v>
      </c>
      <c r="D149" s="11" t="n">
        <f aca="false">D148+D82+D97</f>
        <v>4044.84079375</v>
      </c>
      <c r="E149" s="11" t="n">
        <f aca="false">E148+E82+E97</f>
        <v>6997.78415895833</v>
      </c>
      <c r="F149" s="11" t="n">
        <f aca="false">F148+F82+F97</f>
        <v>14992.5008260083</v>
      </c>
      <c r="G149" s="11" t="n">
        <f aca="false">G148+G82+G97</f>
        <v>21704.5442594943</v>
      </c>
      <c r="H149" s="11" t="n">
        <f aca="false">H148+H82+H97</f>
        <v>29713.3164673098</v>
      </c>
      <c r="I149" s="11" t="n">
        <f aca="false">I148+I82+I97</f>
        <v>37869.6857582667</v>
      </c>
      <c r="J149" s="11" t="n">
        <f aca="false">J148+J82+J97</f>
        <v>46220.5772380637</v>
      </c>
      <c r="K149" s="11" t="n">
        <f aca="false">K148+K82+K97</f>
        <v>54148.3899881102</v>
      </c>
      <c r="L149" s="11" t="n">
        <f aca="false">L148+L82+L97</f>
        <v>68956.5831163698</v>
      </c>
      <c r="M149" s="11" t="n">
        <f aca="false">M148+M82+M97</f>
        <v>85417.1894398935</v>
      </c>
      <c r="N149" s="11" t="n">
        <f aca="false">N148+N82+N97</f>
        <v>107753.380773502</v>
      </c>
      <c r="O149" s="11" t="n">
        <f aca="false">O148+O82+O97</f>
        <v>127209.233919872</v>
      </c>
      <c r="P149" s="11" t="n">
        <f aca="false">P148+P82+P97</f>
        <v>214495.593311906</v>
      </c>
      <c r="Q149" s="11" t="n">
        <f aca="false">Q148+Q82+Q97</f>
        <v>293330.737901518</v>
      </c>
      <c r="R149" s="11" t="n">
        <f aca="false">R148+R82+R97</f>
        <v>414240.384685538</v>
      </c>
      <c r="S149" s="11" t="n">
        <f aca="false">S148+S82+S97</f>
        <v>535027.919143223</v>
      </c>
      <c r="T149" s="11" t="n">
        <f aca="false">T148+T82+T97</f>
        <v>672181.273968042</v>
      </c>
      <c r="U149" s="11" t="n">
        <f aca="false">U148+U82+U97</f>
        <v>813461.649349851</v>
      </c>
      <c r="V149" s="11" t="n">
        <f aca="false">V148+V82+V97</f>
        <v>965976.26464985</v>
      </c>
      <c r="W149" s="11" t="n">
        <f aca="false">W148+W82+W97</f>
        <v>1114503.57154766</v>
      </c>
      <c r="X149" s="11" t="n">
        <f aca="false">X148+X82+X97</f>
        <v>1232749.85780809</v>
      </c>
      <c r="Y149" s="11" t="n">
        <f aca="false">Y148+Y82+Y97</f>
        <v>1329747.51330301</v>
      </c>
      <c r="Z149" s="11" t="n">
        <f aca="false">Z148+Z82+Z97</f>
        <v>1437351.93832317</v>
      </c>
      <c r="AA149" s="11" t="n">
        <f aca="false">AA148+AA82+AA97</f>
        <v>1545791.07571166</v>
      </c>
      <c r="AB149" s="11" t="n">
        <f aca="false">AB148+AB82+AB97</f>
        <v>1791690.67687046</v>
      </c>
      <c r="AC149" s="11" t="n">
        <f aca="false">AC148+AC82+AC97</f>
        <v>2003459.19881596</v>
      </c>
      <c r="AD149" s="11" t="n">
        <f aca="false">AD148+AD82+AD97</f>
        <v>2315142.48013876</v>
      </c>
      <c r="AE149" s="11" t="n">
        <f aca="false">AE148+AE82+AE97</f>
        <v>2630456.01333235</v>
      </c>
      <c r="AF149" s="11" t="n">
        <f aca="false">AF148+AF82+AF97</f>
        <v>2989210.87465524</v>
      </c>
      <c r="AG149" s="11" t="n">
        <f aca="false">AG148+AG82+AG97</f>
        <v>3361047.05649895</v>
      </c>
      <c r="AH149" s="11" t="n">
        <f aca="false">AH148+AH82+AH97</f>
        <v>3769647.52169944</v>
      </c>
      <c r="AI149" s="11" t="n">
        <f aca="false">AI148+AI82+AI97</f>
        <v>4166847.71144753</v>
      </c>
      <c r="AJ149" s="11" t="n">
        <f aca="false">AJ148+AJ82+AJ97</f>
        <v>4458692.12454206</v>
      </c>
      <c r="AK149" s="11" t="n">
        <f aca="false">AK148+AK82+AK97</f>
        <v>4684980.27516709</v>
      </c>
      <c r="AL149" s="11" t="n">
        <f aca="false">AL148+AL82+AL97</f>
        <v>4924616.83766399</v>
      </c>
      <c r="AM149" s="11" t="n">
        <f aca="false">AM148+AM82+AM97</f>
        <v>5179103.43019746</v>
      </c>
    </row>
    <row r="151" customFormat="false" ht="15" hidden="false" customHeight="true" outlineLevel="0" collapsed="false">
      <c r="A151" s="8" t="s">
        <v>900</v>
      </c>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row>
    <row r="152" customFormat="false" ht="15" hidden="false" customHeight="true" outlineLevel="0" collapsed="false">
      <c r="A152" s="13" t="s">
        <v>901</v>
      </c>
      <c r="B152" s="14" t="s">
        <v>64</v>
      </c>
      <c r="C152" s="15" t="n">
        <f aca="false">SUM(D152:AM152)</f>
        <v>8085118.53962311</v>
      </c>
      <c r="D152" s="15" t="n">
        <f aca="false">D65+D78+D93+D106+D117+D120+D122</f>
        <v>2500</v>
      </c>
      <c r="E152" s="15" t="n">
        <f aca="false">E65+E78+E93+E106+E117+E120+E122</f>
        <v>2083.33333333333</v>
      </c>
      <c r="F152" s="15" t="n">
        <f aca="false">F65+F78+F93+F106+F117+F120+F122</f>
        <v>7650.52083333333</v>
      </c>
      <c r="G152" s="15" t="n">
        <f aca="false">G65+G78+G93+G106+G117+G120+G122</f>
        <v>7417.62152777778</v>
      </c>
      <c r="H152" s="15" t="n">
        <f aca="false">H65+H78+H93+H106+H117+H120+H122</f>
        <v>15186.6319444444</v>
      </c>
      <c r="I152" s="15" t="n">
        <f aca="false">I65+I78+I93+I106+I117+I120+I122</f>
        <v>16088.8020833333</v>
      </c>
      <c r="J152" s="15" t="n">
        <f aca="false">J65+J78+J93+J106+J117+J120+J122</f>
        <v>21859.0277777778</v>
      </c>
      <c r="K152" s="15" t="n">
        <f aca="false">K65+K78+K93+K106+K117+K120+K122</f>
        <v>23329.6875</v>
      </c>
      <c r="L152" s="15" t="n">
        <f aca="false">L65+L78+L93+L106+L117+L120+L122</f>
        <v>32857.0833333333</v>
      </c>
      <c r="M152" s="15" t="n">
        <f aca="false">M65+M78+M93+M106+M117+M120+M122</f>
        <v>29833.9930555556</v>
      </c>
      <c r="N152" s="15" t="n">
        <f aca="false">N65+N78+N93+N106+N117+N120+N122</f>
        <v>31914.4965277778</v>
      </c>
      <c r="O152" s="15" t="n">
        <f aca="false">O65+O78+O93+O106+O117+O120+O122</f>
        <v>30395.2256944444</v>
      </c>
      <c r="P152" s="15" t="n">
        <f aca="false">P65+P78+P93+P106+P117+P120+P122</f>
        <v>67947.6475694444</v>
      </c>
      <c r="Q152" s="15" t="n">
        <f aca="false">Q65+Q78+Q93+Q106+Q117+Q120+Q122</f>
        <v>65860.6770833333</v>
      </c>
      <c r="R152" s="15" t="n">
        <f aca="false">R65+R78+R93+R106+R117+R120+R122</f>
        <v>87956.2760416667</v>
      </c>
      <c r="S152" s="15" t="n">
        <f aca="false">S65+S78+S93+S106+S117+S120+S122</f>
        <v>89549.5008680556</v>
      </c>
      <c r="T152" s="15" t="n">
        <f aca="false">T65+T78+T93+T106+T117+T120+T122</f>
        <v>126647.580902778</v>
      </c>
      <c r="U152" s="15" t="n">
        <f aca="false">U65+U78+U93+U106+U117+U120+U122</f>
        <v>122825.669444444</v>
      </c>
      <c r="V152" s="15" t="n">
        <f aca="false">V65+V78+V93+V106+V117+V120+V122</f>
        <v>185959.736111111</v>
      </c>
      <c r="W152" s="15" t="n">
        <f aca="false">W65+W78+W93+W106+W117+W120+W122</f>
        <v>188764.71875</v>
      </c>
      <c r="X152" s="15" t="n">
        <f aca="false">X65+X78+X93+X106+X117+X120+X122</f>
        <v>231927.167916667</v>
      </c>
      <c r="Y152" s="15" t="n">
        <f aca="false">Y65+Y78+Y93+Y106+Y117+Y120+Y122</f>
        <v>223203.811319444</v>
      </c>
      <c r="Z152" s="15" t="n">
        <f aca="false">Z65+Z78+Z93+Z106+Z117+Z120+Z122</f>
        <v>260594.316145833</v>
      </c>
      <c r="AA152" s="15" t="n">
        <f aca="false">AA65+AA78+AA93+AA106+AA117+AA120+AA122</f>
        <v>270200.476736111</v>
      </c>
      <c r="AB152" s="15" t="n">
        <f aca="false">AB65+AB78+AB93+AB106+AB117+AB120+AB122</f>
        <v>345954.183</v>
      </c>
      <c r="AC152" s="15" t="n">
        <f aca="false">AC65+AC78+AC93+AC106+AC117+AC120+AC122</f>
        <v>321541.724166667</v>
      </c>
      <c r="AD152" s="15" t="n">
        <f aca="false">AD65+AD78+AD93+AD106+AD117+AD120+AD122</f>
        <v>329109.2985</v>
      </c>
      <c r="AE152" s="15" t="n">
        <f aca="false">AE65+AE78+AE93+AE106+AE117+AE120+AE122</f>
        <v>314821.578888889</v>
      </c>
      <c r="AF152" s="15" t="n">
        <f aca="false">AF65+AF78+AF93+AF106+AF117+AF120+AF122</f>
        <v>370063.662935556</v>
      </c>
      <c r="AG152" s="15" t="n">
        <f aca="false">AG65+AG78+AG93+AG106+AG117+AG120+AG122</f>
        <v>358866.16528</v>
      </c>
      <c r="AH152" s="15" t="n">
        <f aca="false">AH65+AH78+AH93+AH106+AH117+AH120+AH122</f>
        <v>524225.091155556</v>
      </c>
      <c r="AI152" s="15" t="n">
        <f aca="false">AI65+AI78+AI93+AI106+AI117+AI120+AI122</f>
        <v>526078.203566667</v>
      </c>
      <c r="AJ152" s="15" t="n">
        <f aca="false">AJ65+AJ78+AJ93+AJ106+AJ117+AJ120+AJ122</f>
        <v>642651.975242667</v>
      </c>
      <c r="AK152" s="15" t="n">
        <f aca="false">AK65+AK78+AK93+AK106+AK117+AK120+AK122</f>
        <v>636554.509091556</v>
      </c>
      <c r="AL152" s="15" t="n">
        <f aca="false">AL65+AL78+AL93+AL106+AL117+AL120+AL122</f>
        <v>764821.891526667</v>
      </c>
      <c r="AM152" s="15" t="n">
        <f aca="false">AM65+AM78+AM93+AM106+AM117+AM120+AM122</f>
        <v>807876.253768889</v>
      </c>
    </row>
    <row r="153" customFormat="false" ht="15" hidden="false" customHeight="true" outlineLevel="0" collapsed="false">
      <c r="A153" s="5" t="s">
        <v>902</v>
      </c>
      <c r="B153" s="10" t="s">
        <v>64</v>
      </c>
      <c r="C153" s="12" t="n">
        <f aca="false">SUM(D153:AM153)</f>
        <v>6493570.20475456</v>
      </c>
      <c r="D153" s="11" t="n">
        <f aca="false">(Assumptions!$D$62*IF(D$3-(0+Scenario_Control!$M$23)&lt;1,0,INDEX($D$152:$AM$152,1,D$3-(0+Scenario_Control!$M$23)))+Assumptions!$D$63*IF(D$3-(1+Scenario_Control!$M$23)&lt;1,0,INDEX($D$152:$AM$152,1,D$3-(1+Scenario_Control!$M$23)))+Assumptions!$D$64*IF(D$3-(2+Scenario_Control!$M$23)&lt;1,0,INDEX($D$152:$AM$152,1,D$3-(2+Scenario_Control!$M$23)))+Assumptions!$D$65*IF(D$3-(3+Scenario_Control!$M$23)&lt;1,0,INDEX($D$152:$AM$152,1,D$3-(3+Scenario_Control!$M$23)))+Assumptions!$D$66*IF(D$3-(4+Scenario_Control!$M$23)&lt;1,0,INDEX($D$152:$AM$152,1,D$3-(4+Scenario_Control!$M$23))))*(1-Assumptions!$D$67)</f>
        <v>123.75</v>
      </c>
      <c r="E153" s="11" t="n">
        <f aca="false">(Assumptions!$D$62*IF(E$3-(0+Scenario_Control!$M$23)&lt;1,0,INDEX($D$152:$AM$152,1,E$3-(0+Scenario_Control!$M$23)))+Assumptions!$D$63*IF(E$3-(1+Scenario_Control!$M$23)&lt;1,0,INDEX($D$152:$AM$152,1,E$3-(1+Scenario_Control!$M$23)))+Assumptions!$D$64*IF(E$3-(2+Scenario_Control!$M$23)&lt;1,0,INDEX($D$152:$AM$152,1,E$3-(2+Scenario_Control!$M$23)))+Assumptions!$D$65*IF(E$3-(3+Scenario_Control!$M$23)&lt;1,0,INDEX($D$152:$AM$152,1,E$3-(3+Scenario_Control!$M$23)))+Assumptions!$D$66*IF(E$3-(4+Scenario_Control!$M$23)&lt;1,0,INDEX($D$152:$AM$152,1,E$3-(4+Scenario_Control!$M$23))))*(1-Assumptions!$D$67)</f>
        <v>721.875</v>
      </c>
      <c r="F153" s="11" t="n">
        <f aca="false">(Assumptions!$D$62*IF(F$3-(0+Scenario_Control!$M$23)&lt;1,0,INDEX($D$152:$AM$152,1,F$3-(0+Scenario_Control!$M$23)))+Assumptions!$D$63*IF(F$3-(1+Scenario_Control!$M$23)&lt;1,0,INDEX($D$152:$AM$152,1,F$3-(1+Scenario_Control!$M$23)))+Assumptions!$D$64*IF(F$3-(2+Scenario_Control!$M$23)&lt;1,0,INDEX($D$152:$AM$152,1,F$3-(2+Scenario_Control!$M$23)))+Assumptions!$D$65*IF(F$3-(3+Scenario_Control!$M$23)&lt;1,0,INDEX($D$152:$AM$152,1,F$3-(3+Scenario_Control!$M$23)))+Assumptions!$D$66*IF(F$3-(4+Scenario_Control!$M$23)&lt;1,0,INDEX($D$152:$AM$152,1,F$3-(4+Scenario_Control!$M$23))))*(1-Assumptions!$D$67)</f>
        <v>1884.32578125</v>
      </c>
      <c r="G153" s="11" t="n">
        <f aca="false">(Assumptions!$D$62*IF(G$3-(0+Scenario_Control!$M$23)&lt;1,0,INDEX($D$152:$AM$152,1,G$3-(0+Scenario_Control!$M$23)))+Assumptions!$D$63*IF(G$3-(1+Scenario_Control!$M$23)&lt;1,0,INDEX($D$152:$AM$152,1,G$3-(1+Scenario_Control!$M$23)))+Assumptions!$D$64*IF(G$3-(2+Scenario_Control!$M$23)&lt;1,0,INDEX($D$152:$AM$152,1,G$3-(2+Scenario_Control!$M$23)))+Assumptions!$D$65*IF(G$3-(3+Scenario_Control!$M$23)&lt;1,0,INDEX($D$152:$AM$152,1,G$3-(3+Scenario_Control!$M$23)))+Assumptions!$D$66*IF(G$3-(4+Scenario_Control!$M$23)&lt;1,0,INDEX($D$152:$AM$152,1,G$3-(4+Scenario_Control!$M$23))))*(1-Assumptions!$D$67)</f>
        <v>3704.426171875</v>
      </c>
      <c r="H153" s="11" t="n">
        <f aca="false">(Assumptions!$D$62*IF(H$3-(0+Scenario_Control!$M$23)&lt;1,0,INDEX($D$152:$AM$152,1,H$3-(0+Scenario_Control!$M$23)))+Assumptions!$D$63*IF(H$3-(1+Scenario_Control!$M$23)&lt;1,0,INDEX($D$152:$AM$152,1,H$3-(1+Scenario_Control!$M$23)))+Assumptions!$D$64*IF(H$3-(2+Scenario_Control!$M$23)&lt;1,0,INDEX($D$152:$AM$152,1,H$3-(2+Scenario_Control!$M$23)))+Assumptions!$D$65*IF(H$3-(3+Scenario_Control!$M$23)&lt;1,0,INDEX($D$152:$AM$152,1,H$3-(3+Scenario_Control!$M$23)))+Assumptions!$D$66*IF(H$3-(4+Scenario_Control!$M$23)&lt;1,0,INDEX($D$152:$AM$152,1,H$3-(4+Scenario_Control!$M$23))))*(1-Assumptions!$D$67)</f>
        <v>6256.580859375</v>
      </c>
      <c r="I153" s="11" t="n">
        <f aca="false">(Assumptions!$D$62*IF(I$3-(0+Scenario_Control!$M$23)&lt;1,0,INDEX($D$152:$AM$152,1,I$3-(0+Scenario_Control!$M$23)))+Assumptions!$D$63*IF(I$3-(1+Scenario_Control!$M$23)&lt;1,0,INDEX($D$152:$AM$152,1,I$3-(1+Scenario_Control!$M$23)))+Assumptions!$D$64*IF(I$3-(2+Scenario_Control!$M$23)&lt;1,0,INDEX($D$152:$AM$152,1,I$3-(2+Scenario_Control!$M$23)))+Assumptions!$D$65*IF(I$3-(3+Scenario_Control!$M$23)&lt;1,0,INDEX($D$152:$AM$152,1,I$3-(3+Scenario_Control!$M$23)))+Assumptions!$D$66*IF(I$3-(4+Scenario_Control!$M$23)&lt;1,0,INDEX($D$152:$AM$152,1,I$3-(4+Scenario_Control!$M$23))))*(1-Assumptions!$D$67)</f>
        <v>9489.094140625</v>
      </c>
      <c r="J153" s="11" t="n">
        <f aca="false">(Assumptions!$D$62*IF(J$3-(0+Scenario_Control!$M$23)&lt;1,0,INDEX($D$152:$AM$152,1,J$3-(0+Scenario_Control!$M$23)))+Assumptions!$D$63*IF(J$3-(1+Scenario_Control!$M$23)&lt;1,0,INDEX($D$152:$AM$152,1,J$3-(1+Scenario_Control!$M$23)))+Assumptions!$D$64*IF(J$3-(2+Scenario_Control!$M$23)&lt;1,0,INDEX($D$152:$AM$152,1,J$3-(2+Scenario_Control!$M$23)))+Assumptions!$D$65*IF(J$3-(3+Scenario_Control!$M$23)&lt;1,0,INDEX($D$152:$AM$152,1,J$3-(3+Scenario_Control!$M$23)))+Assumptions!$D$66*IF(J$3-(4+Scenario_Control!$M$23)&lt;1,0,INDEX($D$152:$AM$152,1,J$3-(4+Scenario_Control!$M$23))))*(1-Assumptions!$D$67)</f>
        <v>13292.46875</v>
      </c>
      <c r="K153" s="11" t="n">
        <f aca="false">(Assumptions!$D$62*IF(K$3-(0+Scenario_Control!$M$23)&lt;1,0,INDEX($D$152:$AM$152,1,K$3-(0+Scenario_Control!$M$23)))+Assumptions!$D$63*IF(K$3-(1+Scenario_Control!$M$23)&lt;1,0,INDEX($D$152:$AM$152,1,K$3-(1+Scenario_Control!$M$23)))+Assumptions!$D$64*IF(K$3-(2+Scenario_Control!$M$23)&lt;1,0,INDEX($D$152:$AM$152,1,K$3-(2+Scenario_Control!$M$23)))+Assumptions!$D$65*IF(K$3-(3+Scenario_Control!$M$23)&lt;1,0,INDEX($D$152:$AM$152,1,K$3-(3+Scenario_Control!$M$23)))+Assumptions!$D$66*IF(K$3-(4+Scenario_Control!$M$23)&lt;1,0,INDEX($D$152:$AM$152,1,K$3-(4+Scenario_Control!$M$23))))*(1-Assumptions!$D$67)</f>
        <v>17061.958203125</v>
      </c>
      <c r="L153" s="11" t="n">
        <f aca="false">(Assumptions!$D$62*IF(L$3-(0+Scenario_Control!$M$23)&lt;1,0,INDEX($D$152:$AM$152,1,L$3-(0+Scenario_Control!$M$23)))+Assumptions!$D$63*IF(L$3-(1+Scenario_Control!$M$23)&lt;1,0,INDEX($D$152:$AM$152,1,L$3-(1+Scenario_Control!$M$23)))+Assumptions!$D$64*IF(L$3-(2+Scenario_Control!$M$23)&lt;1,0,INDEX($D$152:$AM$152,1,L$3-(2+Scenario_Control!$M$23)))+Assumptions!$D$65*IF(L$3-(3+Scenario_Control!$M$23)&lt;1,0,INDEX($D$152:$AM$152,1,L$3-(3+Scenario_Control!$M$23)))+Assumptions!$D$66*IF(L$3-(4+Scenario_Control!$M$23)&lt;1,0,INDEX($D$152:$AM$152,1,L$3-(4+Scenario_Control!$M$23))))*(1-Assumptions!$D$67)</f>
        <v>20790.415078125</v>
      </c>
      <c r="M153" s="11" t="n">
        <f aca="false">(Assumptions!$D$62*IF(M$3-(0+Scenario_Control!$M$23)&lt;1,0,INDEX($D$152:$AM$152,1,M$3-(0+Scenario_Control!$M$23)))+Assumptions!$D$63*IF(M$3-(1+Scenario_Control!$M$23)&lt;1,0,INDEX($D$152:$AM$152,1,M$3-(1+Scenario_Control!$M$23)))+Assumptions!$D$64*IF(M$3-(2+Scenario_Control!$M$23)&lt;1,0,INDEX($D$152:$AM$152,1,M$3-(2+Scenario_Control!$M$23)))+Assumptions!$D$65*IF(M$3-(3+Scenario_Control!$M$23)&lt;1,0,INDEX($D$152:$AM$152,1,M$3-(3+Scenario_Control!$M$23)))+Assumptions!$D$66*IF(M$3-(4+Scenario_Control!$M$23)&lt;1,0,INDEX($D$152:$AM$152,1,M$3-(4+Scenario_Control!$M$23))))*(1-Assumptions!$D$67)</f>
        <v>25053.972109375</v>
      </c>
      <c r="N153" s="11" t="n">
        <f aca="false">(Assumptions!$D$62*IF(N$3-(0+Scenario_Control!$M$23)&lt;1,0,INDEX($D$152:$AM$152,1,N$3-(0+Scenario_Control!$M$23)))+Assumptions!$D$63*IF(N$3-(1+Scenario_Control!$M$23)&lt;1,0,INDEX($D$152:$AM$152,1,N$3-(1+Scenario_Control!$M$23)))+Assumptions!$D$64*IF(N$3-(2+Scenario_Control!$M$23)&lt;1,0,INDEX($D$152:$AM$152,1,N$3-(2+Scenario_Control!$M$23)))+Assumptions!$D$65*IF(N$3-(3+Scenario_Control!$M$23)&lt;1,0,INDEX($D$152:$AM$152,1,N$3-(3+Scenario_Control!$M$23)))+Assumptions!$D$66*IF(N$3-(4+Scenario_Control!$M$23)&lt;1,0,INDEX($D$152:$AM$152,1,N$3-(4+Scenario_Control!$M$23))))*(1-Assumptions!$D$67)</f>
        <v>28831.205390625</v>
      </c>
      <c r="O153" s="11" t="n">
        <f aca="false">(Assumptions!$D$62*IF(O$3-(0+Scenario_Control!$M$23)&lt;1,0,INDEX($D$152:$AM$152,1,O$3-(0+Scenario_Control!$M$23)))+Assumptions!$D$63*IF(O$3-(1+Scenario_Control!$M$23)&lt;1,0,INDEX($D$152:$AM$152,1,O$3-(1+Scenario_Control!$M$23)))+Assumptions!$D$64*IF(O$3-(2+Scenario_Control!$M$23)&lt;1,0,INDEX($D$152:$AM$152,1,O$3-(2+Scenario_Control!$M$23)))+Assumptions!$D$65*IF(O$3-(3+Scenario_Control!$M$23)&lt;1,0,INDEX($D$152:$AM$152,1,O$3-(3+Scenario_Control!$M$23)))+Assumptions!$D$66*IF(O$3-(4+Scenario_Control!$M$23)&lt;1,0,INDEX($D$152:$AM$152,1,O$3-(4+Scenario_Control!$M$23))))*(1-Assumptions!$D$67)</f>
        <v>30504.61046875</v>
      </c>
      <c r="P153" s="11" t="n">
        <f aca="false">(Assumptions!$D$62*IF(P$3-(0+Scenario_Control!$M$23)&lt;1,0,INDEX($D$152:$AM$152,1,P$3-(0+Scenario_Control!$M$23)))+Assumptions!$D$63*IF(P$3-(1+Scenario_Control!$M$23)&lt;1,0,INDEX($D$152:$AM$152,1,P$3-(1+Scenario_Control!$M$23)))+Assumptions!$D$64*IF(P$3-(2+Scenario_Control!$M$23)&lt;1,0,INDEX($D$152:$AM$152,1,P$3-(2+Scenario_Control!$M$23)))+Assumptions!$D$65*IF(P$3-(3+Scenario_Control!$M$23)&lt;1,0,INDEX($D$152:$AM$152,1,P$3-(3+Scenario_Control!$M$23)))+Assumptions!$D$66*IF(P$3-(4+Scenario_Control!$M$23)&lt;1,0,INDEX($D$152:$AM$152,1,P$3-(4+Scenario_Control!$M$23))))*(1-Assumptions!$D$67)</f>
        <v>32534.7064453125</v>
      </c>
      <c r="Q153" s="11" t="n">
        <f aca="false">(Assumptions!$D$62*IF(Q$3-(0+Scenario_Control!$M$23)&lt;1,0,INDEX($D$152:$AM$152,1,Q$3-(0+Scenario_Control!$M$23)))+Assumptions!$D$63*IF(Q$3-(1+Scenario_Control!$M$23)&lt;1,0,INDEX($D$152:$AM$152,1,Q$3-(1+Scenario_Control!$M$23)))+Assumptions!$D$64*IF(Q$3-(2+Scenario_Control!$M$23)&lt;1,0,INDEX($D$152:$AM$152,1,Q$3-(2+Scenario_Control!$M$23)))+Assumptions!$D$65*IF(Q$3-(3+Scenario_Control!$M$23)&lt;1,0,INDEX($D$152:$AM$152,1,Q$3-(3+Scenario_Control!$M$23)))+Assumptions!$D$66*IF(Q$3-(4+Scenario_Control!$M$23)&lt;1,0,INDEX($D$152:$AM$152,1,Q$3-(4+Scenario_Control!$M$23))))*(1-Assumptions!$D$67)</f>
        <v>41489.2762109375</v>
      </c>
      <c r="R153" s="11" t="n">
        <f aca="false">(Assumptions!$D$62*IF(R$3-(0+Scenario_Control!$M$23)&lt;1,0,INDEX($D$152:$AM$152,1,R$3-(0+Scenario_Control!$M$23)))+Assumptions!$D$63*IF(R$3-(1+Scenario_Control!$M$23)&lt;1,0,INDEX($D$152:$AM$152,1,R$3-(1+Scenario_Control!$M$23)))+Assumptions!$D$64*IF(R$3-(2+Scenario_Control!$M$23)&lt;1,0,INDEX($D$152:$AM$152,1,R$3-(2+Scenario_Control!$M$23)))+Assumptions!$D$65*IF(R$3-(3+Scenario_Control!$M$23)&lt;1,0,INDEX($D$152:$AM$152,1,R$3-(3+Scenario_Control!$M$23)))+Assumptions!$D$66*IF(R$3-(4+Scenario_Control!$M$23)&lt;1,0,INDEX($D$152:$AM$152,1,R$3-(4+Scenario_Control!$M$23))))*(1-Assumptions!$D$67)</f>
        <v>56664.2076171875</v>
      </c>
      <c r="S153" s="11" t="n">
        <f aca="false">(Assumptions!$D$62*IF(S$3-(0+Scenario_Control!$M$23)&lt;1,0,INDEX($D$152:$AM$152,1,S$3-(0+Scenario_Control!$M$23)))+Assumptions!$D$63*IF(S$3-(1+Scenario_Control!$M$23)&lt;1,0,INDEX($D$152:$AM$152,1,S$3-(1+Scenario_Control!$M$23)))+Assumptions!$D$64*IF(S$3-(2+Scenario_Control!$M$23)&lt;1,0,INDEX($D$152:$AM$152,1,S$3-(2+Scenario_Control!$M$23)))+Assumptions!$D$65*IF(S$3-(3+Scenario_Control!$M$23)&lt;1,0,INDEX($D$152:$AM$152,1,S$3-(3+Scenario_Control!$M$23)))+Assumptions!$D$66*IF(S$3-(4+Scenario_Control!$M$23)&lt;1,0,INDEX($D$152:$AM$152,1,S$3-(4+Scenario_Control!$M$23))))*(1-Assumptions!$D$67)</f>
        <v>70604.3131835937</v>
      </c>
      <c r="T153" s="11" t="n">
        <f aca="false">(Assumptions!$D$62*IF(T$3-(0+Scenario_Control!$M$23)&lt;1,0,INDEX($D$152:$AM$152,1,T$3-(0+Scenario_Control!$M$23)))+Assumptions!$D$63*IF(T$3-(1+Scenario_Control!$M$23)&lt;1,0,INDEX($D$152:$AM$152,1,T$3-(1+Scenario_Control!$M$23)))+Assumptions!$D$64*IF(T$3-(2+Scenario_Control!$M$23)&lt;1,0,INDEX($D$152:$AM$152,1,T$3-(2+Scenario_Control!$M$23)))+Assumptions!$D$65*IF(T$3-(3+Scenario_Control!$M$23)&lt;1,0,INDEX($D$152:$AM$152,1,T$3-(3+Scenario_Control!$M$23)))+Assumptions!$D$66*IF(T$3-(4+Scenario_Control!$M$23)&lt;1,0,INDEX($D$152:$AM$152,1,T$3-(4+Scenario_Control!$M$23))))*(1-Assumptions!$D$67)</f>
        <v>82927.1681648437</v>
      </c>
      <c r="U153" s="11" t="n">
        <f aca="false">(Assumptions!$D$62*IF(U$3-(0+Scenario_Control!$M$23)&lt;1,0,INDEX($D$152:$AM$152,1,U$3-(0+Scenario_Control!$M$23)))+Assumptions!$D$63*IF(U$3-(1+Scenario_Control!$M$23)&lt;1,0,INDEX($D$152:$AM$152,1,U$3-(1+Scenario_Control!$M$23)))+Assumptions!$D$64*IF(U$3-(2+Scenario_Control!$M$23)&lt;1,0,INDEX($D$152:$AM$152,1,U$3-(2+Scenario_Control!$M$23)))+Assumptions!$D$65*IF(U$3-(3+Scenario_Control!$M$23)&lt;1,0,INDEX($D$152:$AM$152,1,U$3-(3+Scenario_Control!$M$23)))+Assumptions!$D$66*IF(U$3-(4+Scenario_Control!$M$23)&lt;1,0,INDEX($D$152:$AM$152,1,U$3-(4+Scenario_Control!$M$23))))*(1-Assumptions!$D$67)</f>
        <v>97916.031090625</v>
      </c>
      <c r="V153" s="11" t="n">
        <f aca="false">(Assumptions!$D$62*IF(V$3-(0+Scenario_Control!$M$23)&lt;1,0,INDEX($D$152:$AM$152,1,V$3-(0+Scenario_Control!$M$23)))+Assumptions!$D$63*IF(V$3-(1+Scenario_Control!$M$23)&lt;1,0,INDEX($D$152:$AM$152,1,V$3-(1+Scenario_Control!$M$23)))+Assumptions!$D$64*IF(V$3-(2+Scenario_Control!$M$23)&lt;1,0,INDEX($D$152:$AM$152,1,V$3-(2+Scenario_Control!$M$23)))+Assumptions!$D$65*IF(V$3-(3+Scenario_Control!$M$23)&lt;1,0,INDEX($D$152:$AM$152,1,V$3-(3+Scenario_Control!$M$23)))+Assumptions!$D$66*IF(V$3-(4+Scenario_Control!$M$23)&lt;1,0,INDEX($D$152:$AM$152,1,V$3-(4+Scenario_Control!$M$23))))*(1-Assumptions!$D$67)</f>
        <v>116274.139291406</v>
      </c>
      <c r="W153" s="11" t="n">
        <f aca="false">(Assumptions!$D$62*IF(W$3-(0+Scenario_Control!$M$23)&lt;1,0,INDEX($D$152:$AM$152,1,W$3-(0+Scenario_Control!$M$23)))+Assumptions!$D$63*IF(W$3-(1+Scenario_Control!$M$23)&lt;1,0,INDEX($D$152:$AM$152,1,W$3-(1+Scenario_Control!$M$23)))+Assumptions!$D$64*IF(W$3-(2+Scenario_Control!$M$23)&lt;1,0,INDEX($D$152:$AM$152,1,W$3-(2+Scenario_Control!$M$23)))+Assumptions!$D$65*IF(W$3-(3+Scenario_Control!$M$23)&lt;1,0,INDEX($D$152:$AM$152,1,W$3-(3+Scenario_Control!$M$23)))+Assumptions!$D$66*IF(W$3-(4+Scenario_Control!$M$23)&lt;1,0,INDEX($D$152:$AM$152,1,W$3-(4+Scenario_Control!$M$23))))*(1-Assumptions!$D$67)</f>
        <v>139785.829932031</v>
      </c>
      <c r="X153" s="11" t="n">
        <f aca="false">(Assumptions!$D$62*IF(X$3-(0+Scenario_Control!$M$23)&lt;1,0,INDEX($D$152:$AM$152,1,X$3-(0+Scenario_Control!$M$23)))+Assumptions!$D$63*IF(X$3-(1+Scenario_Control!$M$23)&lt;1,0,INDEX($D$152:$AM$152,1,X$3-(1+Scenario_Control!$M$23)))+Assumptions!$D$64*IF(X$3-(2+Scenario_Control!$M$23)&lt;1,0,INDEX($D$152:$AM$152,1,X$3-(2+Scenario_Control!$M$23)))+Assumptions!$D$65*IF(X$3-(3+Scenario_Control!$M$23)&lt;1,0,INDEX($D$152:$AM$152,1,X$3-(3+Scenario_Control!$M$23)))+Assumptions!$D$66*IF(X$3-(4+Scenario_Control!$M$23)&lt;1,0,INDEX($D$152:$AM$152,1,X$3-(4+Scenario_Control!$M$23))))*(1-Assumptions!$D$67)</f>
        <v>168508.126644688</v>
      </c>
      <c r="Y153" s="11" t="n">
        <f aca="false">(Assumptions!$D$62*IF(Y$3-(0+Scenario_Control!$M$23)&lt;1,0,INDEX($D$152:$AM$152,1,Y$3-(0+Scenario_Control!$M$23)))+Assumptions!$D$63*IF(Y$3-(1+Scenario_Control!$M$23)&lt;1,0,INDEX($D$152:$AM$152,1,Y$3-(1+Scenario_Control!$M$23)))+Assumptions!$D$64*IF(Y$3-(2+Scenario_Control!$M$23)&lt;1,0,INDEX($D$152:$AM$152,1,Y$3-(2+Scenario_Control!$M$23)))+Assumptions!$D$65*IF(Y$3-(3+Scenario_Control!$M$23)&lt;1,0,INDEX($D$152:$AM$152,1,Y$3-(3+Scenario_Control!$M$23)))+Assumptions!$D$66*IF(Y$3-(4+Scenario_Control!$M$23)&lt;1,0,INDEX($D$152:$AM$152,1,Y$3-(4+Scenario_Control!$M$23))))*(1-Assumptions!$D$67)</f>
        <v>195306.296669688</v>
      </c>
      <c r="Z153" s="11" t="n">
        <f aca="false">(Assumptions!$D$62*IF(Z$3-(0+Scenario_Control!$M$23)&lt;1,0,INDEX($D$152:$AM$152,1,Z$3-(0+Scenario_Control!$M$23)))+Assumptions!$D$63*IF(Z$3-(1+Scenario_Control!$M$23)&lt;1,0,INDEX($D$152:$AM$152,1,Z$3-(1+Scenario_Control!$M$23)))+Assumptions!$D$64*IF(Z$3-(2+Scenario_Control!$M$23)&lt;1,0,INDEX($D$152:$AM$152,1,Z$3-(2+Scenario_Control!$M$23)))+Assumptions!$D$65*IF(Z$3-(3+Scenario_Control!$M$23)&lt;1,0,INDEX($D$152:$AM$152,1,Z$3-(3+Scenario_Control!$M$23)))+Assumptions!$D$66*IF(Z$3-(4+Scenario_Control!$M$23)&lt;1,0,INDEX($D$152:$AM$152,1,Z$3-(4+Scenario_Control!$M$23))))*(1-Assumptions!$D$67)</f>
        <v>215909.795273906</v>
      </c>
      <c r="AA153" s="11" t="n">
        <f aca="false">(Assumptions!$D$62*IF(AA$3-(0+Scenario_Control!$M$23)&lt;1,0,INDEX($D$152:$AM$152,1,AA$3-(0+Scenario_Control!$M$23)))+Assumptions!$D$63*IF(AA$3-(1+Scenario_Control!$M$23)&lt;1,0,INDEX($D$152:$AM$152,1,AA$3-(1+Scenario_Control!$M$23)))+Assumptions!$D$64*IF(AA$3-(2+Scenario_Control!$M$23)&lt;1,0,INDEX($D$152:$AM$152,1,AA$3-(2+Scenario_Control!$M$23)))+Assumptions!$D$65*IF(AA$3-(3+Scenario_Control!$M$23)&lt;1,0,INDEX($D$152:$AM$152,1,AA$3-(3+Scenario_Control!$M$23)))+Assumptions!$D$66*IF(AA$3-(4+Scenario_Control!$M$23)&lt;1,0,INDEX($D$152:$AM$152,1,AA$3-(4+Scenario_Control!$M$23))))*(1-Assumptions!$D$67)</f>
        <v>233006.553764531</v>
      </c>
      <c r="AB153" s="11" t="n">
        <f aca="false">(Assumptions!$D$62*IF(AB$3-(0+Scenario_Control!$M$23)&lt;1,0,INDEX($D$152:$AM$152,1,AB$3-(0+Scenario_Control!$M$23)))+Assumptions!$D$63*IF(AB$3-(1+Scenario_Control!$M$23)&lt;1,0,INDEX($D$152:$AM$152,1,AB$3-(1+Scenario_Control!$M$23)))+Assumptions!$D$64*IF(AB$3-(2+Scenario_Control!$M$23)&lt;1,0,INDEX($D$152:$AM$152,1,AB$3-(2+Scenario_Control!$M$23)))+Assumptions!$D$65*IF(AB$3-(3+Scenario_Control!$M$23)&lt;1,0,INDEX($D$152:$AM$152,1,AB$3-(3+Scenario_Control!$M$23)))+Assumptions!$D$66*IF(AB$3-(4+Scenario_Control!$M$23)&lt;1,0,INDEX($D$152:$AM$152,1,AB$3-(4+Scenario_Control!$M$23))))*(1-Assumptions!$D$67)</f>
        <v>253918.037357875</v>
      </c>
      <c r="AC153" s="11" t="n">
        <f aca="false">(Assumptions!$D$62*IF(AC$3-(0+Scenario_Control!$M$23)&lt;1,0,INDEX($D$152:$AM$152,1,AC$3-(0+Scenario_Control!$M$23)))+Assumptions!$D$63*IF(AC$3-(1+Scenario_Control!$M$23)&lt;1,0,INDEX($D$152:$AM$152,1,AC$3-(1+Scenario_Control!$M$23)))+Assumptions!$D$64*IF(AC$3-(2+Scenario_Control!$M$23)&lt;1,0,INDEX($D$152:$AM$152,1,AC$3-(2+Scenario_Control!$M$23)))+Assumptions!$D$65*IF(AC$3-(3+Scenario_Control!$M$23)&lt;1,0,INDEX($D$152:$AM$152,1,AC$3-(3+Scenario_Control!$M$23)))+Assumptions!$D$66*IF(AC$3-(4+Scenario_Control!$M$23)&lt;1,0,INDEX($D$152:$AM$152,1,AC$3-(4+Scenario_Control!$M$23))))*(1-Assumptions!$D$67)</f>
        <v>284085.046332656</v>
      </c>
      <c r="AD153" s="11" t="n">
        <f aca="false">(Assumptions!$D$62*IF(AD$3-(0+Scenario_Control!$M$23)&lt;1,0,INDEX($D$152:$AM$152,1,AD$3-(0+Scenario_Control!$M$23)))+Assumptions!$D$63*IF(AD$3-(1+Scenario_Control!$M$23)&lt;1,0,INDEX($D$152:$AM$152,1,AD$3-(1+Scenario_Control!$M$23)))+Assumptions!$D$64*IF(AD$3-(2+Scenario_Control!$M$23)&lt;1,0,INDEX($D$152:$AM$152,1,AD$3-(2+Scenario_Control!$M$23)))+Assumptions!$D$65*IF(AD$3-(3+Scenario_Control!$M$23)&lt;1,0,INDEX($D$152:$AM$152,1,AD$3-(3+Scenario_Control!$M$23)))+Assumptions!$D$66*IF(AD$3-(4+Scenario_Control!$M$23)&lt;1,0,INDEX($D$152:$AM$152,1,AD$3-(4+Scenario_Control!$M$23))))*(1-Assumptions!$D$67)</f>
        <v>312644.380116406</v>
      </c>
      <c r="AE153" s="11" t="n">
        <f aca="false">(Assumptions!$D$62*IF(AE$3-(0+Scenario_Control!$M$23)&lt;1,0,INDEX($D$152:$AM$152,1,AE$3-(0+Scenario_Control!$M$23)))+Assumptions!$D$63*IF(AE$3-(1+Scenario_Control!$M$23)&lt;1,0,INDEX($D$152:$AM$152,1,AE$3-(1+Scenario_Control!$M$23)))+Assumptions!$D$64*IF(AE$3-(2+Scenario_Control!$M$23)&lt;1,0,INDEX($D$152:$AM$152,1,AE$3-(2+Scenario_Control!$M$23)))+Assumptions!$D$65*IF(AE$3-(3+Scenario_Control!$M$23)&lt;1,0,INDEX($D$152:$AM$152,1,AE$3-(3+Scenario_Control!$M$23)))+Assumptions!$D$66*IF(AE$3-(4+Scenario_Control!$M$23)&lt;1,0,INDEX($D$152:$AM$152,1,AE$3-(4+Scenario_Control!$M$23))))*(1-Assumptions!$D$67)</f>
        <v>323367.326194687</v>
      </c>
      <c r="AF153" s="11" t="n">
        <f aca="false">(Assumptions!$D$62*IF(AF$3-(0+Scenario_Control!$M$23)&lt;1,0,INDEX($D$152:$AM$152,1,AF$3-(0+Scenario_Control!$M$23)))+Assumptions!$D$63*IF(AF$3-(1+Scenario_Control!$M$23)&lt;1,0,INDEX($D$152:$AM$152,1,AF$3-(1+Scenario_Control!$M$23)))+Assumptions!$D$64*IF(AF$3-(2+Scenario_Control!$M$23)&lt;1,0,INDEX($D$152:$AM$152,1,AF$3-(2+Scenario_Control!$M$23)))+Assumptions!$D$65*IF(AF$3-(3+Scenario_Control!$M$23)&lt;1,0,INDEX($D$152:$AM$152,1,AF$3-(3+Scenario_Control!$M$23)))+Assumptions!$D$66*IF(AF$3-(4+Scenario_Control!$M$23)&lt;1,0,INDEX($D$152:$AM$152,1,AF$3-(4+Scenario_Control!$M$23))))*(1-Assumptions!$D$67)</f>
        <v>323270.08308606</v>
      </c>
      <c r="AG153" s="11" t="n">
        <f aca="false">(Assumptions!$D$62*IF(AG$3-(0+Scenario_Control!$M$23)&lt;1,0,INDEX($D$152:$AM$152,1,AG$3-(0+Scenario_Control!$M$23)))+Assumptions!$D$63*IF(AG$3-(1+Scenario_Control!$M$23)&lt;1,0,INDEX($D$152:$AM$152,1,AG$3-(1+Scenario_Control!$M$23)))+Assumptions!$D$64*IF(AG$3-(2+Scenario_Control!$M$23)&lt;1,0,INDEX($D$152:$AM$152,1,AG$3-(2+Scenario_Control!$M$23)))+Assumptions!$D$65*IF(AG$3-(3+Scenario_Control!$M$23)&lt;1,0,INDEX($D$152:$AM$152,1,AG$3-(3+Scenario_Control!$M$23)))+Assumptions!$D$66*IF(AG$3-(4+Scenario_Control!$M$23)&lt;1,0,INDEX($D$152:$AM$152,1,AG$3-(4+Scenario_Control!$M$23))))*(1-Assumptions!$D$67)</f>
        <v>331394.84372291</v>
      </c>
      <c r="AH153" s="11" t="n">
        <f aca="false">(Assumptions!$D$62*IF(AH$3-(0+Scenario_Control!$M$23)&lt;1,0,INDEX($D$152:$AM$152,1,AH$3-(0+Scenario_Control!$M$23)))+Assumptions!$D$63*IF(AH$3-(1+Scenario_Control!$M$23)&lt;1,0,INDEX($D$152:$AM$152,1,AH$3-(1+Scenario_Control!$M$23)))+Assumptions!$D$64*IF(AH$3-(2+Scenario_Control!$M$23)&lt;1,0,INDEX($D$152:$AM$152,1,AH$3-(2+Scenario_Control!$M$23)))+Assumptions!$D$65*IF(AH$3-(3+Scenario_Control!$M$23)&lt;1,0,INDEX($D$152:$AM$152,1,AH$3-(3+Scenario_Control!$M$23)))+Assumptions!$D$66*IF(AH$3-(4+Scenario_Control!$M$23)&lt;1,0,INDEX($D$152:$AM$152,1,AH$3-(4+Scenario_Control!$M$23))))*(1-Assumptions!$D$67)</f>
        <v>355522.97949223</v>
      </c>
      <c r="AI153" s="11" t="n">
        <f aca="false">(Assumptions!$D$62*IF(AI$3-(0+Scenario_Control!$M$23)&lt;1,0,INDEX($D$152:$AM$152,1,AI$3-(0+Scenario_Control!$M$23)))+Assumptions!$D$63*IF(AI$3-(1+Scenario_Control!$M$23)&lt;1,0,INDEX($D$152:$AM$152,1,AI$3-(1+Scenario_Control!$M$23)))+Assumptions!$D$64*IF(AI$3-(2+Scenario_Control!$M$23)&lt;1,0,INDEX($D$152:$AM$152,1,AI$3-(2+Scenario_Control!$M$23)))+Assumptions!$D$65*IF(AI$3-(3+Scenario_Control!$M$23)&lt;1,0,INDEX($D$152:$AM$152,1,AI$3-(3+Scenario_Control!$M$23)))+Assumptions!$D$66*IF(AI$3-(4+Scenario_Control!$M$23)&lt;1,0,INDEX($D$152:$AM$152,1,AI$3-(4+Scenario_Control!$M$23))))*(1-Assumptions!$D$67)</f>
        <v>405072.00731998</v>
      </c>
      <c r="AJ153" s="11" t="n">
        <f aca="false">(Assumptions!$D$62*IF(AJ$3-(0+Scenario_Control!$M$23)&lt;1,0,INDEX($D$152:$AM$152,1,AJ$3-(0+Scenario_Control!$M$23)))+Assumptions!$D$63*IF(AJ$3-(1+Scenario_Control!$M$23)&lt;1,0,INDEX($D$152:$AM$152,1,AJ$3-(1+Scenario_Control!$M$23)))+Assumptions!$D$64*IF(AJ$3-(2+Scenario_Control!$M$23)&lt;1,0,INDEX($D$152:$AM$152,1,AJ$3-(2+Scenario_Control!$M$23)))+Assumptions!$D$65*IF(AJ$3-(3+Scenario_Control!$M$23)&lt;1,0,INDEX($D$152:$AM$152,1,AJ$3-(3+Scenario_Control!$M$23)))+Assumptions!$D$66*IF(AJ$3-(4+Scenario_Control!$M$23)&lt;1,0,INDEX($D$152:$AM$152,1,AJ$3-(4+Scenario_Control!$M$23))))*(1-Assumptions!$D$67)</f>
        <v>476746.291476972</v>
      </c>
      <c r="AK153" s="11" t="n">
        <f aca="false">(Assumptions!$D$62*IF(AK$3-(0+Scenario_Control!$M$23)&lt;1,0,INDEX($D$152:$AM$152,1,AK$3-(0+Scenario_Control!$M$23)))+Assumptions!$D$63*IF(AK$3-(1+Scenario_Control!$M$23)&lt;1,0,INDEX($D$152:$AM$152,1,AK$3-(1+Scenario_Control!$M$23)))+Assumptions!$D$64*IF(AK$3-(2+Scenario_Control!$M$23)&lt;1,0,INDEX($D$152:$AM$152,1,AK$3-(2+Scenario_Control!$M$23)))+Assumptions!$D$65*IF(AK$3-(3+Scenario_Control!$M$23)&lt;1,0,INDEX($D$152:$AM$152,1,AK$3-(3+Scenario_Control!$M$23)))+Assumptions!$D$66*IF(AK$3-(4+Scenario_Control!$M$23)&lt;1,0,INDEX($D$152:$AM$152,1,AK$3-(4+Scenario_Control!$M$23))))*(1-Assumptions!$D$67)</f>
        <v>546402.365927352</v>
      </c>
      <c r="AL153" s="11" t="n">
        <f aca="false">(Assumptions!$D$62*IF(AL$3-(0+Scenario_Control!$M$23)&lt;1,0,INDEX($D$152:$AM$152,1,AL$3-(0+Scenario_Control!$M$23)))+Assumptions!$D$63*IF(AL$3-(1+Scenario_Control!$M$23)&lt;1,0,INDEX($D$152:$AM$152,1,AL$3-(1+Scenario_Control!$M$23)))+Assumptions!$D$64*IF(AL$3-(2+Scenario_Control!$M$23)&lt;1,0,INDEX($D$152:$AM$152,1,AL$3-(2+Scenario_Control!$M$23)))+Assumptions!$D$65*IF(AL$3-(3+Scenario_Control!$M$23)&lt;1,0,INDEX($D$152:$AM$152,1,AL$3-(3+Scenario_Control!$M$23)))+Assumptions!$D$66*IF(AL$3-(4+Scenario_Control!$M$23)&lt;1,0,INDEX($D$152:$AM$152,1,AL$3-(4+Scenario_Control!$M$23))))*(1-Assumptions!$D$67)</f>
        <v>606049.604221776</v>
      </c>
      <c r="AM153" s="11" t="n">
        <f aca="false">(Assumptions!$D$62*IF(AM$3-(0+Scenario_Control!$M$23)&lt;1,0,INDEX($D$152:$AM$152,1,AM$3-(0+Scenario_Control!$M$23)))+Assumptions!$D$63*IF(AM$3-(1+Scenario_Control!$M$23)&lt;1,0,INDEX($D$152:$AM$152,1,AM$3-(1+Scenario_Control!$M$23)))+Assumptions!$D$64*IF(AM$3-(2+Scenario_Control!$M$23)&lt;1,0,INDEX($D$152:$AM$152,1,AM$3-(2+Scenario_Control!$M$23)))+Assumptions!$D$65*IF(AM$3-(3+Scenario_Control!$M$23)&lt;1,0,INDEX($D$152:$AM$152,1,AM$3-(3+Scenario_Control!$M$23)))+Assumptions!$D$66*IF(AM$3-(4+Scenario_Control!$M$23)&lt;1,0,INDEX($D$152:$AM$152,1,AM$3-(4+Scenario_Control!$M$23))))*(1-Assumptions!$D$67)</f>
        <v>666456.113263776</v>
      </c>
    </row>
    <row r="154" customFormat="false" ht="15" hidden="false" customHeight="true" outlineLevel="0" collapsed="false">
      <c r="A154" s="5" t="s">
        <v>903</v>
      </c>
      <c r="B154" s="10" t="s">
        <v>64</v>
      </c>
      <c r="C154" s="12" t="n">
        <f aca="false">AM154</f>
        <v>1510697.14947232</v>
      </c>
      <c r="D154" s="11" t="n">
        <f aca="false">0+D152*(1-Assumptions!$D$67)-D153</f>
        <v>2351.25</v>
      </c>
      <c r="E154" s="11" t="n">
        <f aca="false">D154+E152*(1-Assumptions!$D$67)-E153</f>
        <v>3691.875</v>
      </c>
      <c r="F154" s="11" t="n">
        <f aca="false">E154+F152*(1-Assumptions!$D$67)-F153</f>
        <v>9381.56484375</v>
      </c>
      <c r="G154" s="11" t="n">
        <f aca="false">F154+G152*(1-Assumptions!$D$67)-G153</f>
        <v>13020.583984375</v>
      </c>
      <c r="H154" s="11" t="n">
        <f aca="false">G154+H152*(1-Assumptions!$D$67)-H153</f>
        <v>21798.76875</v>
      </c>
      <c r="I154" s="11" t="n">
        <f aca="false">H154+I152*(1-Assumptions!$D$67)-I153</f>
        <v>28237.588671875</v>
      </c>
      <c r="J154" s="11" t="n">
        <f aca="false">I154+J152*(1-Assumptions!$D$67)-J153</f>
        <v>36585.557421875</v>
      </c>
      <c r="K154" s="11" t="n">
        <f aca="false">J154+K152*(1-Assumptions!$D$67)-K153</f>
        <v>42619.98984375</v>
      </c>
      <c r="L154" s="11" t="n">
        <f aca="false">K154+L152*(1-Assumptions!$D$67)-L153</f>
        <v>54358.087265625</v>
      </c>
      <c r="M154" s="11" t="n">
        <f aca="false">L154+M152*(1-Assumptions!$D$67)-M153</f>
        <v>58839.76828125</v>
      </c>
      <c r="N154" s="11" t="n">
        <f aca="false">M154+N152*(1-Assumptions!$D$67)-N153</f>
        <v>61603.914453125</v>
      </c>
      <c r="O154" s="11" t="n">
        <f aca="false">N154+O152*(1-Assumptions!$D$67)-O153</f>
        <v>61190.577421875</v>
      </c>
      <c r="P154" s="11" t="n">
        <f aca="false">O154+P152*(1-Assumptions!$D$67)-P153</f>
        <v>95924.0420703125</v>
      </c>
      <c r="Q154" s="11" t="n">
        <f aca="false">P154+Q152*(1-Assumptions!$D$67)-Q153</f>
        <v>119636.836171875</v>
      </c>
      <c r="R154" s="11" t="n">
        <f aca="false">Q154+R152*(1-Assumptions!$D$67)-R153</f>
        <v>150049.341835938</v>
      </c>
      <c r="S154" s="11" t="n">
        <f aca="false">R154+S152*(1-Assumptions!$D$67)-S153</f>
        <v>168099.034511719</v>
      </c>
      <c r="T154" s="11" t="n">
        <f aca="false">S154+T152*(1-Assumptions!$D$67)-T153</f>
        <v>210552.971440625</v>
      </c>
      <c r="U154" s="11" t="n">
        <f aca="false">T154+U152*(1-Assumptions!$D$67)-U153</f>
        <v>234234.3531</v>
      </c>
      <c r="V154" s="11" t="n">
        <f aca="false">U154+V152*(1-Assumptions!$D$67)-V153</f>
        <v>302060.352558594</v>
      </c>
      <c r="W154" s="11" t="n">
        <f aca="false">V154+W152*(1-Assumptions!$D$67)-W153</f>
        <v>349151.594189063</v>
      </c>
      <c r="X154" s="11" t="n">
        <f aca="false">W154+X152*(1-Assumptions!$D$67)-X153</f>
        <v>410251.363781875</v>
      </c>
      <c r="Y154" s="11" t="n">
        <f aca="false">X154+Y152*(1-Assumptions!$D$67)-Y153</f>
        <v>435916.840318438</v>
      </c>
      <c r="Z154" s="11" t="n">
        <f aca="false">Y154+Z152*(1-Assumptions!$D$67)-Z153</f>
        <v>477995.418028906</v>
      </c>
      <c r="AA154" s="11" t="n">
        <f aca="false">Z154+AA152*(1-Assumptions!$D$67)-AA153</f>
        <v>512487.336233125</v>
      </c>
      <c r="AB154" s="11" t="n">
        <f aca="false">AA154+AB152*(1-Assumptions!$D$67)-AB153</f>
        <v>601063.94004525</v>
      </c>
      <c r="AC154" s="11" t="n">
        <f aca="false">AB154+AC152*(1-Assumptions!$D$67)-AC153</f>
        <v>635305.200637594</v>
      </c>
      <c r="AD154" s="11" t="n">
        <f aca="false">AC154+AD152*(1-Assumptions!$D$67)-AD153</f>
        <v>648479.026036188</v>
      </c>
      <c r="AE154" s="11" t="n">
        <f aca="false">AD154+AE152*(1-Assumptions!$D$67)-AE153</f>
        <v>636785.0629415</v>
      </c>
      <c r="AF154" s="11" t="n">
        <f aca="false">AE154+AF152*(1-Assumptions!$D$67)-AF153</f>
        <v>679878.00616164</v>
      </c>
      <c r="AG154" s="11" t="n">
        <f aca="false">AF154+AG152*(1-Assumptions!$D$67)-AG153</f>
        <v>703760.66606593</v>
      </c>
      <c r="AH154" s="11" t="n">
        <f aca="false">AG154+AH152*(1-Assumptions!$D$67)-AH153</f>
        <v>867220.526817701</v>
      </c>
      <c r="AI154" s="11" t="n">
        <f aca="false">AH154+AI152*(1-Assumptions!$D$67)-AI153</f>
        <v>982965.941028721</v>
      </c>
      <c r="AJ154" s="11" t="n">
        <f aca="false">AI154+AJ152*(1-Assumptions!$D$67)-AJ153</f>
        <v>1142445.10504199</v>
      </c>
      <c r="AK154" s="11" t="n">
        <f aca="false">AJ154+AK152*(1-Assumptions!$D$67)-AK153</f>
        <v>1226231.70311528</v>
      </c>
      <c r="AL154" s="11" t="n">
        <f aca="false">AK154+AL152*(1-Assumptions!$D$67)-AL153</f>
        <v>1377355.7715049</v>
      </c>
      <c r="AM154" s="11" t="n">
        <f aca="false">AL154+AM152*(1-Assumptions!$D$67)-AM153</f>
        <v>1510697.14947232</v>
      </c>
    </row>
    <row r="155" customFormat="false" ht="15" hidden="false" customHeight="true" outlineLevel="0" collapsed="false">
      <c r="A155" s="5" t="s">
        <v>904</v>
      </c>
      <c r="B155" s="10" t="s">
        <v>64</v>
      </c>
      <c r="C155" s="12" t="n">
        <f aca="false">SUM(D155:AM155)</f>
        <v>80851.1853962311</v>
      </c>
      <c r="D155" s="11" t="n">
        <f aca="false">Assumptions!$D$67*D152</f>
        <v>25</v>
      </c>
      <c r="E155" s="11" t="n">
        <f aca="false">Assumptions!$D$67*E152</f>
        <v>20.8333333333333</v>
      </c>
      <c r="F155" s="11" t="n">
        <f aca="false">Assumptions!$D$67*F152</f>
        <v>76.5052083333333</v>
      </c>
      <c r="G155" s="11" t="n">
        <f aca="false">Assumptions!$D$67*G152</f>
        <v>74.1762152777778</v>
      </c>
      <c r="H155" s="11" t="n">
        <f aca="false">Assumptions!$D$67*H152</f>
        <v>151.866319444444</v>
      </c>
      <c r="I155" s="11" t="n">
        <f aca="false">Assumptions!$D$67*I152</f>
        <v>160.888020833333</v>
      </c>
      <c r="J155" s="11" t="n">
        <f aca="false">Assumptions!$D$67*J152</f>
        <v>218.590277777778</v>
      </c>
      <c r="K155" s="11" t="n">
        <f aca="false">Assumptions!$D$67*K152</f>
        <v>233.296875</v>
      </c>
      <c r="L155" s="11" t="n">
        <f aca="false">Assumptions!$D$67*L152</f>
        <v>328.570833333333</v>
      </c>
      <c r="M155" s="11" t="n">
        <f aca="false">Assumptions!$D$67*M152</f>
        <v>298.339930555556</v>
      </c>
      <c r="N155" s="11" t="n">
        <f aca="false">Assumptions!$D$67*N152</f>
        <v>319.144965277778</v>
      </c>
      <c r="O155" s="11" t="n">
        <f aca="false">Assumptions!$D$67*O152</f>
        <v>303.952256944444</v>
      </c>
      <c r="P155" s="11" t="n">
        <f aca="false">Assumptions!$D$67*P152</f>
        <v>679.476475694444</v>
      </c>
      <c r="Q155" s="11" t="n">
        <f aca="false">Assumptions!$D$67*Q152</f>
        <v>658.606770833333</v>
      </c>
      <c r="R155" s="11" t="n">
        <f aca="false">Assumptions!$D$67*R152</f>
        <v>879.562760416667</v>
      </c>
      <c r="S155" s="11" t="n">
        <f aca="false">Assumptions!$D$67*S152</f>
        <v>895.495008680556</v>
      </c>
      <c r="T155" s="11" t="n">
        <f aca="false">Assumptions!$D$67*T152</f>
        <v>1266.47580902778</v>
      </c>
      <c r="U155" s="11" t="n">
        <f aca="false">Assumptions!$D$67*U152</f>
        <v>1228.25669444444</v>
      </c>
      <c r="V155" s="11" t="n">
        <f aca="false">Assumptions!$D$67*V152</f>
        <v>1859.59736111111</v>
      </c>
      <c r="W155" s="11" t="n">
        <f aca="false">Assumptions!$D$67*W152</f>
        <v>1887.6471875</v>
      </c>
      <c r="X155" s="11" t="n">
        <f aca="false">Assumptions!$D$67*X152</f>
        <v>2319.27167916667</v>
      </c>
      <c r="Y155" s="11" t="n">
        <f aca="false">Assumptions!$D$67*Y152</f>
        <v>2232.03811319444</v>
      </c>
      <c r="Z155" s="11" t="n">
        <f aca="false">Assumptions!$D$67*Z152</f>
        <v>2605.94316145833</v>
      </c>
      <c r="AA155" s="11" t="n">
        <f aca="false">Assumptions!$D$67*AA152</f>
        <v>2702.00476736111</v>
      </c>
      <c r="AB155" s="11" t="n">
        <f aca="false">Assumptions!$D$67*AB152</f>
        <v>3459.54183</v>
      </c>
      <c r="AC155" s="11" t="n">
        <f aca="false">Assumptions!$D$67*AC152</f>
        <v>3215.41724166667</v>
      </c>
      <c r="AD155" s="11" t="n">
        <f aca="false">Assumptions!$D$67*AD152</f>
        <v>3291.092985</v>
      </c>
      <c r="AE155" s="11" t="n">
        <f aca="false">Assumptions!$D$67*AE152</f>
        <v>3148.21578888889</v>
      </c>
      <c r="AF155" s="11" t="n">
        <f aca="false">Assumptions!$D$67*AF152</f>
        <v>3700.63662935556</v>
      </c>
      <c r="AG155" s="11" t="n">
        <f aca="false">Assumptions!$D$67*AG152</f>
        <v>3588.6616528</v>
      </c>
      <c r="AH155" s="11" t="n">
        <f aca="false">Assumptions!$D$67*AH152</f>
        <v>5242.25091155556</v>
      </c>
      <c r="AI155" s="11" t="n">
        <f aca="false">Assumptions!$D$67*AI152</f>
        <v>5260.78203566667</v>
      </c>
      <c r="AJ155" s="11" t="n">
        <f aca="false">Assumptions!$D$67*AJ152</f>
        <v>6426.51975242667</v>
      </c>
      <c r="AK155" s="11" t="n">
        <f aca="false">Assumptions!$D$67*AK152</f>
        <v>6365.54509091556</v>
      </c>
      <c r="AL155" s="11" t="n">
        <f aca="false">Assumptions!$D$67*AL152</f>
        <v>7648.21891526667</v>
      </c>
      <c r="AM155" s="11" t="n">
        <f aca="false">Assumptions!$D$67*AM152</f>
        <v>8078.76253768889</v>
      </c>
    </row>
    <row r="156" customFormat="false" ht="15" hidden="false" customHeight="true" outlineLevel="0" collapsed="false">
      <c r="A156" s="13" t="s">
        <v>905</v>
      </c>
      <c r="B156" s="14" t="s">
        <v>64</v>
      </c>
      <c r="C156" s="15" t="n">
        <f aca="false">AM156</f>
        <v>2339125.57666836</v>
      </c>
      <c r="D156" s="15" t="n">
        <f aca="false">D33+D67+D80+D95+D108+D119</f>
        <v>3235.2713671875</v>
      </c>
      <c r="E156" s="15" t="n">
        <f aca="false">E33+E67+E80+E95+E108+E119</f>
        <v>3692.92466927083</v>
      </c>
      <c r="F156" s="15" t="n">
        <f aca="false">F33+F67+F80+F95+F108+F119</f>
        <v>9228.06926822917</v>
      </c>
      <c r="G156" s="15" t="n">
        <f aca="false">G33+G67+G80+G95+G108+G119</f>
        <v>11774.1158489583</v>
      </c>
      <c r="H156" s="15" t="n">
        <f aca="false">H33+H67+H80+H95+H108+H119</f>
        <v>18927.7910234375</v>
      </c>
      <c r="I156" s="15" t="n">
        <f aca="false">I33+I67+I80+I95+I108+I119</f>
        <v>23823.4646440972</v>
      </c>
      <c r="J156" s="15" t="n">
        <f aca="false">J33+J67+J80+J95+J108+J119</f>
        <v>30448.9849626736</v>
      </c>
      <c r="K156" s="15" t="n">
        <f aca="false">K33+K67+K80+K95+K108+K119</f>
        <v>35323.8087777778</v>
      </c>
      <c r="L156" s="15" t="n">
        <f aca="false">L33+L67+L80+L95+L108+L119</f>
        <v>47250.2100208333</v>
      </c>
      <c r="M156" s="15" t="n">
        <f aca="false">M33+M67+M80+M95+M108+M119</f>
        <v>58916.2872534722</v>
      </c>
      <c r="N156" s="15" t="n">
        <f aca="false">N33+N67+N80+N95+N108+N119</f>
        <v>74747.2940121528</v>
      </c>
      <c r="O156" s="15" t="n">
        <f aca="false">O33+O67+O80+O95+O108+O119</f>
        <v>87532.016234375</v>
      </c>
      <c r="P156" s="15" t="n">
        <f aca="false">P33+P67+P80+P95+P108+P119</f>
        <v>136891.02619553</v>
      </c>
      <c r="Q156" s="15" t="n">
        <f aca="false">Q33+Q67+Q80+Q95+Q108+Q119</f>
        <v>170819.487083898</v>
      </c>
      <c r="R156" s="15" t="n">
        <f aca="false">R33+R67+R80+R95+R108+R119</f>
        <v>222624.142443533</v>
      </c>
      <c r="S156" s="15" t="n">
        <f aca="false">S33+S67+S80+S95+S108+S119</f>
        <v>256849.571229427</v>
      </c>
      <c r="T156" s="15" t="n">
        <f aca="false">T33+T67+T80+T95+T108+T119</f>
        <v>307627.784540495</v>
      </c>
      <c r="U156" s="15" t="n">
        <f aca="false">U33+U67+U80+U95+U108+U119</f>
        <v>332717.129884115</v>
      </c>
      <c r="V156" s="15" t="n">
        <f aca="false">V33+V67+V80+V95+V108+V119</f>
        <v>391918.875412283</v>
      </c>
      <c r="W156" s="15" t="n">
        <f aca="false">W33+W67+W80+W95+W108+W119</f>
        <v>430353.44574757</v>
      </c>
      <c r="X156" s="15" t="n">
        <f aca="false">X33+X67+X80+X95+X108+X119</f>
        <v>490066.639484722</v>
      </c>
      <c r="Y156" s="15" t="n">
        <f aca="false">Y33+Y67+Y80+Y95+Y108+Y119</f>
        <v>545419.221911979</v>
      </c>
      <c r="Z156" s="15" t="n">
        <f aca="false">Z33+Z67+Z80+Z95+Z108+Z119</f>
        <v>641655.526319184</v>
      </c>
      <c r="AA156" s="15" t="n">
        <f aca="false">AA33+AA67+AA80+AA95+AA108+AA119</f>
        <v>741120.804096962</v>
      </c>
      <c r="AB156" s="15" t="n">
        <f aca="false">AB33+AB67+AB80+AB95+AB108+AB119</f>
        <v>911125.052919987</v>
      </c>
      <c r="AC156" s="15" t="n">
        <f aca="false">AC33+AC67+AC80+AC95+AC108+AC119</f>
        <v>1033874.14692407</v>
      </c>
      <c r="AD156" s="15" t="n">
        <f aca="false">AD33+AD67+AD80+AD95+AD108+AD119</f>
        <v>1162125.2164492</v>
      </c>
      <c r="AE156" s="15" t="n">
        <f aca="false">AE33+AE67+AE80+AE95+AE108+AE119</f>
        <v>1234959.7642247</v>
      </c>
      <c r="AF156" s="15" t="n">
        <f aca="false">AF33+AF67+AF80+AF95+AF108+AF119</f>
        <v>1320164.74762164</v>
      </c>
      <c r="AG156" s="15" t="n">
        <f aca="false">AG33+AG67+AG80+AG95+AG108+AG119</f>
        <v>1343120.97923954</v>
      </c>
      <c r="AH156" s="15" t="n">
        <f aca="false">AH33+AH67+AH80+AH95+AH108+AH119</f>
        <v>1465607.58838513</v>
      </c>
      <c r="AI156" s="15" t="n">
        <f aca="false">AI33+AI67+AI80+AI95+AI108+AI119</f>
        <v>1534276.49347283</v>
      </c>
      <c r="AJ156" s="15" t="n">
        <f aca="false">AJ33+AJ67+AJ80+AJ95+AJ108+AJ119</f>
        <v>1665857.34624193</v>
      </c>
      <c r="AK156" s="15" t="n">
        <f aca="false">AK33+AK67+AK80+AK95+AK108+AK119</f>
        <v>1795479.71219722</v>
      </c>
      <c r="AL156" s="15" t="n">
        <f aca="false">AL33+AL67+AL80+AL95+AL108+AL119</f>
        <v>2054373.09844614</v>
      </c>
      <c r="AM156" s="15" t="n">
        <f aca="false">AM33+AM67+AM80+AM95+AM108+AM119</f>
        <v>2339125.57666836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906</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907</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908</v>
      </c>
      <c r="B10" s="10" t="s">
        <v>100</v>
      </c>
      <c r="C10" s="21" t="n">
        <f aca="false">AM10</f>
        <v>54434.715835512</v>
      </c>
      <c r="D10" s="20" t="n">
        <f aca="false">Revenue!D18</f>
        <v>367.1875</v>
      </c>
      <c r="E10" s="20" t="n">
        <f aca="false">Revenue!E18</f>
        <v>569.140625</v>
      </c>
      <c r="F10" s="20" t="n">
        <f aca="false">Revenue!F18</f>
        <v>1568.80859375</v>
      </c>
      <c r="G10" s="20" t="n">
        <f aca="false">Revenue!G18</f>
        <v>2151.3056640625</v>
      </c>
      <c r="H10" s="20" t="n">
        <f aca="false">Revenue!H18</f>
        <v>2631.24038085938</v>
      </c>
      <c r="I10" s="20" t="n">
        <f aca="false">Revenue!I18</f>
        <v>2940.30336181641</v>
      </c>
      <c r="J10" s="20" t="n">
        <f aca="false">Revenue!J18</f>
        <v>3087.03819372559</v>
      </c>
      <c r="K10" s="20" t="n">
        <f aca="false">Revenue!K18</f>
        <v>3226.43628403931</v>
      </c>
      <c r="L10" s="20" t="n">
        <f aca="false">Revenue!L18</f>
        <v>3579.17696983734</v>
      </c>
      <c r="M10" s="20" t="n">
        <f aca="false">Revenue!M18</f>
        <v>5162.71812134547</v>
      </c>
      <c r="N10" s="20" t="n">
        <f aca="false">Revenue!N18</f>
        <v>6813.9572152782</v>
      </c>
      <c r="O10" s="20" t="n">
        <f aca="false">Revenue!O18</f>
        <v>7207.63435451429</v>
      </c>
      <c r="P10" s="20" t="n">
        <f aca="false">Revenue!P18</f>
        <v>8016.00263678857</v>
      </c>
      <c r="Q10" s="20" t="n">
        <f aca="false">Revenue!Q18</f>
        <v>8316.45250494915</v>
      </c>
      <c r="R10" s="20" t="n">
        <f aca="false">Revenue!R18</f>
        <v>11173.1298797017</v>
      </c>
      <c r="S10" s="20" t="n">
        <f aca="false">Revenue!S18</f>
        <v>12718.2233857166</v>
      </c>
      <c r="T10" s="20" t="n">
        <f aca="false">Revenue!T18</f>
        <v>13952.3122164308</v>
      </c>
      <c r="U10" s="20" t="n">
        <f aca="false">Revenue!U18</f>
        <v>14657.1966056092</v>
      </c>
      <c r="V10" s="20" t="n">
        <f aca="false">Revenue!V18</f>
        <v>14859.3367753288</v>
      </c>
      <c r="W10" s="20" t="n">
        <f aca="false">Revenue!W18</f>
        <v>15051.3699365623</v>
      </c>
      <c r="X10" s="20" t="n">
        <f aca="false">Revenue!X18</f>
        <v>15935.0514397342</v>
      </c>
      <c r="Y10" s="20" t="n">
        <f aca="false">Revenue!Y18</f>
        <v>20748.2988677475</v>
      </c>
      <c r="Z10" s="20" t="n">
        <f aca="false">Revenue!Z18</f>
        <v>25788.3839243601</v>
      </c>
      <c r="AA10" s="20" t="n">
        <f aca="false">Revenue!AA18</f>
        <v>26836.4647281421</v>
      </c>
      <c r="AB10" s="20" t="n">
        <f aca="false">Revenue!AB18</f>
        <v>27529.016491735</v>
      </c>
      <c r="AC10" s="20" t="n">
        <f aca="false">Revenue!AC18</f>
        <v>27373.1906671483</v>
      </c>
      <c r="AD10" s="20" t="n">
        <f aca="false">Revenue!AD18</f>
        <v>31700.7811337908</v>
      </c>
      <c r="AE10" s="20" t="n">
        <f aca="false">Revenue!AE18</f>
        <v>33777.6170771013</v>
      </c>
      <c r="AF10" s="20" t="n">
        <f aca="false">Revenue!AF18</f>
        <v>35343.7362232462</v>
      </c>
      <c r="AG10" s="20" t="n">
        <f aca="false">Revenue!AG18</f>
        <v>36017.7994120839</v>
      </c>
      <c r="AH10" s="20" t="n">
        <f aca="false">Revenue!AH18</f>
        <v>35844.4094414797</v>
      </c>
      <c r="AI10" s="20" t="n">
        <f aca="false">Revenue!AI18</f>
        <v>35679.6889694057</v>
      </c>
      <c r="AJ10" s="20" t="n">
        <f aca="false">Revenue!AJ18</f>
        <v>36743.8295209354</v>
      </c>
      <c r="AK10" s="20" t="n">
        <f aca="false">Revenue!AK18</f>
        <v>44671.6380448887</v>
      </c>
      <c r="AL10" s="20" t="n">
        <f aca="false">Revenue!AL18</f>
        <v>53016.8061426442</v>
      </c>
      <c r="AM10" s="20" t="n">
        <f aca="false">Revenue!AM18</f>
        <v>54434.715835512</v>
      </c>
    </row>
    <row r="11" customFormat="false" ht="15" hidden="false" customHeight="true" outlineLevel="0" collapsed="false">
      <c r="A11" s="5" t="s">
        <v>909</v>
      </c>
      <c r="B11" s="10" t="s">
        <v>100</v>
      </c>
      <c r="C11" s="21" t="n">
        <f aca="false">AM11</f>
        <v>4371.04966871702</v>
      </c>
      <c r="D11" s="20" t="n">
        <f aca="false">Revenue!D23</f>
        <v>23.4375</v>
      </c>
      <c r="E11" s="20" t="n">
        <f aca="false">Revenue!E23</f>
        <v>36.84375</v>
      </c>
      <c r="F11" s="20" t="n">
        <f aca="false">Revenue!F23</f>
        <v>101.47125</v>
      </c>
      <c r="G11" s="20" t="n">
        <f aca="false">Revenue!G23</f>
        <v>140.90355</v>
      </c>
      <c r="H11" s="20" t="n">
        <f aca="false">Revenue!H23</f>
        <v>174.687516</v>
      </c>
      <c r="I11" s="20" t="n">
        <f aca="false">Revenue!I23</f>
        <v>198.34376472</v>
      </c>
      <c r="J11" s="20" t="n">
        <f aca="false">Revenue!J23</f>
        <v>212.1950135424</v>
      </c>
      <c r="K11" s="20" t="n">
        <f aca="false">Revenue!K23</f>
        <v>225.913162459008</v>
      </c>
      <c r="L11" s="20" t="n">
        <f aca="false">Revenue!L23</f>
        <v>253.571359462287</v>
      </c>
      <c r="M11" s="20" t="n">
        <f aca="false">Revenue!M23</f>
        <v>360.410650705304</v>
      </c>
      <c r="N11" s="20" t="n">
        <f aca="false">Revenue!N23</f>
        <v>473.92779864888</v>
      </c>
      <c r="O11" s="20" t="n">
        <f aca="false">Revenue!O23</f>
        <v>509.70107475697</v>
      </c>
      <c r="P11" s="20" t="n">
        <f aca="false">Revenue!P23</f>
        <v>572.569520026412</v>
      </c>
      <c r="Q11" s="20" t="n">
        <f aca="false">Revenue!Q23</f>
        <v>604.327239674299</v>
      </c>
      <c r="R11" s="20" t="n">
        <f aca="false">Revenue!R23</f>
        <v>799.418248000355</v>
      </c>
      <c r="S11" s="20" t="n">
        <f aca="false">Revenue!S23</f>
        <v>914.801819410327</v>
      </c>
      <c r="T11" s="20" t="n">
        <f aca="false">Revenue!T23</f>
        <v>1012.6936113575</v>
      </c>
      <c r="U11" s="20" t="n">
        <f aca="false">Revenue!U23</f>
        <v>1078.8787474489</v>
      </c>
      <c r="V11" s="20" t="n">
        <f aca="false">Revenue!V23</f>
        <v>1114.42313515299</v>
      </c>
      <c r="W11" s="20" t="n">
        <f aca="false">Revenue!W23</f>
        <v>1150.06522184075</v>
      </c>
      <c r="X11" s="20" t="n">
        <f aca="false">Revenue!X23</f>
        <v>1230.43391034349</v>
      </c>
      <c r="Y11" s="20" t="n">
        <f aca="false">Revenue!Y23</f>
        <v>1562.46169751601</v>
      </c>
      <c r="Z11" s="20" t="n">
        <f aca="false">Revenue!Z23</f>
        <v>1915.33257421473</v>
      </c>
      <c r="AA11" s="20" t="n">
        <f aca="false">Revenue!AA23</f>
        <v>2021.02940577755</v>
      </c>
      <c r="AB11" s="20" t="n">
        <f aca="false">Revenue!AB23</f>
        <v>2103.68025644035</v>
      </c>
      <c r="AC11" s="20" t="n">
        <f aca="false">Revenue!AC23</f>
        <v>2134.84091405012</v>
      </c>
      <c r="AD11" s="20" t="n">
        <f aca="false">Revenue!AD23</f>
        <v>2446.08535967611</v>
      </c>
      <c r="AE11" s="20" t="n">
        <f aca="false">Revenue!AE23</f>
        <v>2621.99298402702</v>
      </c>
      <c r="AF11" s="20" t="n">
        <f aca="false">Revenue!AF23</f>
        <v>2769.00713905486</v>
      </c>
      <c r="AG11" s="20" t="n">
        <f aca="false">Revenue!AG23</f>
        <v>2862.89813043047</v>
      </c>
      <c r="AH11" s="20" t="n">
        <f aca="false">Revenue!AH23</f>
        <v>2905.57174874603</v>
      </c>
      <c r="AI11" s="20" t="n">
        <f aca="false">Revenue!AI23</f>
        <v>2949.51960259635</v>
      </c>
      <c r="AJ11" s="20" t="n">
        <f aca="false">Revenue!AJ23</f>
        <v>3070.74717501364</v>
      </c>
      <c r="AK11" s="20" t="n">
        <f aca="false">Revenue!AK23</f>
        <v>3621.75615101255</v>
      </c>
      <c r="AL11" s="20" t="n">
        <f aca="false">Revenue!AL23</f>
        <v>4207.55144018155</v>
      </c>
      <c r="AM11" s="20" t="n">
        <f aca="false">Revenue!AM23</f>
        <v>4371.04966871702</v>
      </c>
    </row>
    <row r="12" customFormat="false" ht="15" hidden="false" customHeight="true" outlineLevel="0" collapsed="false">
      <c r="A12" s="5" t="s">
        <v>910</v>
      </c>
      <c r="B12" s="10" t="s">
        <v>100</v>
      </c>
      <c r="C12" s="21" t="n">
        <f aca="false">AM12</f>
        <v>101532.885226667</v>
      </c>
      <c r="D12" s="20" t="n">
        <f aca="false">Revenue!D121</f>
        <v>0</v>
      </c>
      <c r="E12" s="20" t="n">
        <f aca="false">Revenue!E121</f>
        <v>0</v>
      </c>
      <c r="F12" s="20" t="n">
        <f aca="false">Revenue!F121</f>
        <v>25</v>
      </c>
      <c r="G12" s="20" t="n">
        <f aca="false">Revenue!G121</f>
        <v>45.8333333333333</v>
      </c>
      <c r="H12" s="20" t="n">
        <f aca="false">Revenue!H121</f>
        <v>158.333333333333</v>
      </c>
      <c r="I12" s="20" t="n">
        <f aca="false">Revenue!I121</f>
        <v>262.5</v>
      </c>
      <c r="J12" s="20" t="n">
        <f aca="false">Revenue!J121</f>
        <v>433.333333333333</v>
      </c>
      <c r="K12" s="20" t="n">
        <f aca="false">Revenue!K121</f>
        <v>625</v>
      </c>
      <c r="L12" s="20" t="n">
        <f aca="false">Revenue!L121</f>
        <v>1140</v>
      </c>
      <c r="M12" s="20" t="n">
        <f aca="false">Revenue!M121</f>
        <v>1631.66666666667</v>
      </c>
      <c r="N12" s="20" t="n">
        <f aca="false">Revenue!N121</f>
        <v>2295.83333333333</v>
      </c>
      <c r="O12" s="20" t="n">
        <f aca="false">Revenue!O121</f>
        <v>2970.83333333333</v>
      </c>
      <c r="P12" s="20" t="n">
        <f aca="false">Revenue!P121</f>
        <v>3730.83333333333</v>
      </c>
      <c r="Q12" s="20" t="n">
        <f aca="false">Revenue!Q121</f>
        <v>4525</v>
      </c>
      <c r="R12" s="20" t="n">
        <f aca="false">Revenue!R121</f>
        <v>5432.5</v>
      </c>
      <c r="S12" s="20" t="n">
        <f aca="false">Revenue!S121</f>
        <v>6310.41666666667</v>
      </c>
      <c r="T12" s="20" t="n">
        <f aca="false">Revenue!T121</f>
        <v>7444.75333333333</v>
      </c>
      <c r="U12" s="20" t="n">
        <f aca="false">Revenue!U121</f>
        <v>8268.85333333333</v>
      </c>
      <c r="V12" s="20" t="n">
        <f aca="false">Revenue!V121</f>
        <v>10239.7333333333</v>
      </c>
      <c r="W12" s="20" t="n">
        <f aca="false">Revenue!W121</f>
        <v>12294.6</v>
      </c>
      <c r="X12" s="20" t="n">
        <f aca="false">Revenue!X121</f>
        <v>15704.984</v>
      </c>
      <c r="Y12" s="20" t="n">
        <f aca="false">Revenue!Y121</f>
        <v>19312.8573333333</v>
      </c>
      <c r="Z12" s="20" t="n">
        <f aca="false">Revenue!Z121</f>
        <v>24014.39</v>
      </c>
      <c r="AA12" s="20" t="n">
        <f aca="false">Revenue!AA121</f>
        <v>28930.7533333333</v>
      </c>
      <c r="AB12" s="20" t="n">
        <f aca="false">Revenue!AB121</f>
        <v>33854.896</v>
      </c>
      <c r="AC12" s="20" t="n">
        <f aca="false">Revenue!AC121</f>
        <v>38409.24</v>
      </c>
      <c r="AD12" s="20" t="n">
        <f aca="false">Revenue!AD121</f>
        <v>42247.232</v>
      </c>
      <c r="AE12" s="20" t="n">
        <f aca="false">Revenue!AE121</f>
        <v>45528.5466666667</v>
      </c>
      <c r="AF12" s="20" t="n">
        <f aca="false">Revenue!AF121</f>
        <v>48666.1312266667</v>
      </c>
      <c r="AG12" s="20" t="n">
        <f aca="false">Revenue!AG121</f>
        <v>51261.46336</v>
      </c>
      <c r="AH12" s="20" t="n">
        <f aca="false">Revenue!AH121</f>
        <v>56338.0578666667</v>
      </c>
      <c r="AI12" s="20" t="n">
        <f aca="false">Revenue!AI121</f>
        <v>61500.9528</v>
      </c>
      <c r="AJ12" s="20" t="n">
        <f aca="false">Revenue!AJ121</f>
        <v>69527.571712</v>
      </c>
      <c r="AK12" s="20" t="n">
        <f aca="false">Revenue!AK121</f>
        <v>78211.3890986667</v>
      </c>
      <c r="AL12" s="20" t="n">
        <f aca="false">Revenue!AL121</f>
        <v>89533.65352</v>
      </c>
      <c r="AM12" s="20" t="n">
        <f aca="false">Revenue!AM121</f>
        <v>101532.885226667</v>
      </c>
    </row>
    <row r="13" customFormat="false" ht="15" hidden="false" customHeight="true" outlineLevel="0" collapsed="false">
      <c r="A13" s="13" t="s">
        <v>99</v>
      </c>
      <c r="B13" s="14" t="s">
        <v>100</v>
      </c>
      <c r="C13" s="35" t="n">
        <f aca="false">AM13</f>
        <v>160338.650730896</v>
      </c>
      <c r="D13" s="35" t="n">
        <f aca="false">D10+D11+D12</f>
        <v>390.625</v>
      </c>
      <c r="E13" s="35" t="n">
        <f aca="false">E10+E11+E12</f>
        <v>605.984375</v>
      </c>
      <c r="F13" s="35" t="n">
        <f aca="false">F10+F11+F12</f>
        <v>1695.27984375</v>
      </c>
      <c r="G13" s="35" t="n">
        <f aca="false">G10+G11+G12</f>
        <v>2338.04254739583</v>
      </c>
      <c r="H13" s="35" t="n">
        <f aca="false">H10+H11+H12</f>
        <v>2964.26123019271</v>
      </c>
      <c r="I13" s="35" t="n">
        <f aca="false">I10+I11+I12</f>
        <v>3401.14712653641</v>
      </c>
      <c r="J13" s="35" t="n">
        <f aca="false">J10+J11+J12</f>
        <v>3732.56654060132</v>
      </c>
      <c r="K13" s="35" t="n">
        <f aca="false">K10+K11+K12</f>
        <v>4077.34944649831</v>
      </c>
      <c r="L13" s="35" t="n">
        <f aca="false">L10+L11+L12</f>
        <v>4972.74832929963</v>
      </c>
      <c r="M13" s="35" t="n">
        <f aca="false">M10+M11+M12</f>
        <v>7154.79543871744</v>
      </c>
      <c r="N13" s="35" t="n">
        <f aca="false">N10+N11+N12</f>
        <v>9583.71834726041</v>
      </c>
      <c r="O13" s="35" t="n">
        <f aca="false">O10+O11+O12</f>
        <v>10688.1687626046</v>
      </c>
      <c r="P13" s="35" t="n">
        <f aca="false">P10+P11+P12</f>
        <v>12319.4054901483</v>
      </c>
      <c r="Q13" s="35" t="n">
        <f aca="false">Q10+Q11+Q12</f>
        <v>13445.7797446234</v>
      </c>
      <c r="R13" s="35" t="n">
        <f aca="false">R10+R11+R12</f>
        <v>17405.048127702</v>
      </c>
      <c r="S13" s="35" t="n">
        <f aca="false">S10+S11+S12</f>
        <v>19943.4418717936</v>
      </c>
      <c r="T13" s="35" t="n">
        <f aca="false">T10+T11+T12</f>
        <v>22409.7591611216</v>
      </c>
      <c r="U13" s="35" t="n">
        <f aca="false">U10+U11+U12</f>
        <v>24004.9286863915</v>
      </c>
      <c r="V13" s="35" t="n">
        <f aca="false">V10+V11+V12</f>
        <v>26213.4932438151</v>
      </c>
      <c r="W13" s="35" t="n">
        <f aca="false">W10+W11+W12</f>
        <v>28496.0351584031</v>
      </c>
      <c r="X13" s="35" t="n">
        <f aca="false">X10+X11+X12</f>
        <v>32870.4693500777</v>
      </c>
      <c r="Y13" s="35" t="n">
        <f aca="false">Y10+Y11+Y12</f>
        <v>41623.6178985968</v>
      </c>
      <c r="Z13" s="35" t="n">
        <f aca="false">Z10+Z11+Z12</f>
        <v>51718.1064985749</v>
      </c>
      <c r="AA13" s="35" t="n">
        <f aca="false">AA10+AA11+AA12</f>
        <v>57788.247467253</v>
      </c>
      <c r="AB13" s="35" t="n">
        <f aca="false">AB10+AB11+AB12</f>
        <v>63487.5927481754</v>
      </c>
      <c r="AC13" s="35" t="n">
        <f aca="false">AC10+AC11+AC12</f>
        <v>67917.2715811984</v>
      </c>
      <c r="AD13" s="35" t="n">
        <f aca="false">AD10+AD11+AD12</f>
        <v>76394.098493467</v>
      </c>
      <c r="AE13" s="35" t="n">
        <f aca="false">AE10+AE11+AE12</f>
        <v>81928.156727795</v>
      </c>
      <c r="AF13" s="35" t="n">
        <f aca="false">AF10+AF11+AF12</f>
        <v>86778.8745889678</v>
      </c>
      <c r="AG13" s="35" t="n">
        <f aca="false">AG10+AG11+AG12</f>
        <v>90142.1609025144</v>
      </c>
      <c r="AH13" s="35" t="n">
        <f aca="false">AH10+AH11+AH12</f>
        <v>95088.0390568924</v>
      </c>
      <c r="AI13" s="35" t="n">
        <f aca="false">AI10+AI11+AI12</f>
        <v>100130.161372002</v>
      </c>
      <c r="AJ13" s="35" t="n">
        <f aca="false">AJ10+AJ11+AJ12</f>
        <v>109342.148407949</v>
      </c>
      <c r="AK13" s="35" t="n">
        <f aca="false">AK10+AK11+AK12</f>
        <v>126504.783294568</v>
      </c>
      <c r="AL13" s="35" t="n">
        <f aca="false">AL10+AL11+AL12</f>
        <v>146758.011102826</v>
      </c>
      <c r="AM13" s="35" t="n">
        <f aca="false">AM10+AM11+AM12</f>
        <v>160338.650730896</v>
      </c>
    </row>
    <row r="14" customFormat="false" ht="15" hidden="false" customHeight="true" outlineLevel="0" collapsed="false">
      <c r="A14" s="5" t="s">
        <v>911</v>
      </c>
      <c r="B14" s="10" t="s">
        <v>100</v>
      </c>
      <c r="C14" s="21" t="n">
        <f aca="false">SUM(D14:AM14)</f>
        <v>18433506.6843369</v>
      </c>
      <c r="D14" s="20" t="n">
        <f aca="false">D10*Assumptions!$D$88+D11*Assumptions!$D$89+D11*INDEX(Assumptions!$D$30:$F$30,1,D$5)*Scenario_Control!$M$22*(Assumptions!$D$90-Assumptions!$D$89)+D12*Assumptions!$D$91</f>
        <v>3952.34375</v>
      </c>
      <c r="E14" s="20" t="n">
        <f aca="false">E10*Assumptions!$D$88+E11*Assumptions!$D$89+E11*INDEX(Assumptions!$D$30:$F$30,1,E$5)*Scenario_Control!$M$22*(Assumptions!$D$90-Assumptions!$D$89)+E12*Assumptions!$D$91</f>
        <v>6148.459375</v>
      </c>
      <c r="F14" s="20" t="n">
        <f aca="false">F10*Assumptions!$D$88+F11*Assumptions!$D$89+F11*INDEX(Assumptions!$D$30:$F$30,1,F$5)*Scenario_Control!$M$22*(Assumptions!$D$90-Assumptions!$D$89)+F12*Assumptions!$D$91</f>
        <v>17244.173875</v>
      </c>
      <c r="G14" s="20" t="n">
        <f aca="false">G10*Assumptions!$D$88+G11*Assumptions!$D$89+G11*INDEX(Assumptions!$D$30:$F$30,1,G$5)*Scenario_Control!$M$22*(Assumptions!$D$90-Assumptions!$D$89)+G12*Assumptions!$D$91</f>
        <v>23861.5690275</v>
      </c>
      <c r="H14" s="20" t="n">
        <f aca="false">H10*Assumptions!$D$88+H11*Assumptions!$D$89+H11*INDEX(Assumptions!$D$30:$F$30,1,H$5)*Scenario_Control!$M$22*(Assumptions!$D$90-Assumptions!$D$89)+H12*Assumptions!$D$91</f>
        <v>30513.892489675</v>
      </c>
      <c r="I14" s="20" t="n">
        <f aca="false">I10*Assumptions!$D$88+I11*Assumptions!$D$89+I11*INDEX(Assumptions!$D$30:$F$30,1,I$5)*Scenario_Control!$M$22*(Assumptions!$D$90-Assumptions!$D$89)+I12*Assumptions!$D$91</f>
        <v>35260.7119069072</v>
      </c>
      <c r="J14" s="20" t="n">
        <f aca="false">J10*Assumptions!$D$88+J11*Assumptions!$D$89+J11*INDEX(Assumptions!$D$30:$F$30,1,J$5)*Scenario_Control!$M$22*(Assumptions!$D$90-Assumptions!$D$89)+J12*Assumptions!$D$91</f>
        <v>39084.3496361906</v>
      </c>
      <c r="K14" s="20" t="n">
        <f aca="false">K10*Assumptions!$D$88+K11*Assumptions!$D$89+K11*INDEX(Assumptions!$D$30:$F$30,1,K$5)*Scenario_Control!$M$22*(Assumptions!$D$90-Assumptions!$D$89)+K12*Assumptions!$D$91</f>
        <v>43093.5302067895</v>
      </c>
      <c r="L14" s="20" t="n">
        <f aca="false">L10*Assumptions!$D$88+L11*Assumptions!$D$89+L11*INDEX(Assumptions!$D$30:$F$30,1,L$5)*Scenario_Control!$M$22*(Assumptions!$D$90-Assumptions!$D$89)+L12*Assumptions!$D$91</f>
        <v>53293.0556234158</v>
      </c>
      <c r="M14" s="20" t="n">
        <f aca="false">M10*Assumptions!$D$88+M11*Assumptions!$D$89+M11*INDEX(Assumptions!$D$30:$F$30,1,M$5)*Scenario_Control!$M$22*(Assumptions!$D$90-Assumptions!$D$89)+M12*Assumptions!$D$91</f>
        <v>76487.5261463035</v>
      </c>
      <c r="N14" s="20" t="n">
        <f aca="false">N10*Assumptions!$D$88+N11*Assumptions!$D$89+N11*INDEX(Assumptions!$D$30:$F$30,1,N$5)*Scenario_Control!$M$22*(Assumptions!$D$90-Assumptions!$D$89)+N12*Assumptions!$D$91</f>
        <v>102582.731403722</v>
      </c>
      <c r="O14" s="20" t="n">
        <f aca="false">O10*Assumptions!$D$88+O11*Assumptions!$D$89+O11*INDEX(Assumptions!$D$30:$F$30,1,O$5)*Scenario_Control!$M$22*(Assumptions!$D$90-Assumptions!$D$89)+O12*Assumptions!$D$91</f>
        <v>115381.131373091</v>
      </c>
      <c r="P14" s="20" t="n">
        <f aca="false">P10*Assumptions!$D$88+P11*Assumptions!$D$89+P11*INDEX(Assumptions!$D$30:$F$30,1,P$5)*Scenario_Control!$M$22*(Assumptions!$D$90-Assumptions!$D$89)+P12*Assumptions!$D$91</f>
        <v>135579.760727539</v>
      </c>
      <c r="Q14" s="20" t="n">
        <f aca="false">Q10*Assumptions!$D$88+Q11*Assumptions!$D$89+Q11*INDEX(Assumptions!$D$30:$F$30,1,Q$5)*Scenario_Control!$M$22*(Assumptions!$D$90-Assumptions!$D$89)+Q12*Assumptions!$D$91</f>
        <v>148993.269408416</v>
      </c>
      <c r="R14" s="20" t="n">
        <f aca="false">R10*Assumptions!$D$88+R11*Assumptions!$D$89+R11*INDEX(Assumptions!$D$30:$F$30,1,R$5)*Scenario_Control!$M$22*(Assumptions!$D$90-Assumptions!$D$89)+R12*Assumptions!$D$91</f>
        <v>191827.92939443</v>
      </c>
      <c r="S14" s="20" t="n">
        <f aca="false">S10*Assumptions!$D$88+S11*Assumptions!$D$89+S11*INDEX(Assumptions!$D$30:$F$30,1,S$5)*Scenario_Control!$M$22*(Assumptions!$D$90-Assumptions!$D$89)+S12*Assumptions!$D$91</f>
        <v>220100.551870254</v>
      </c>
      <c r="T14" s="20" t="n">
        <f aca="false">T10*Assumptions!$D$88+T11*Assumptions!$D$89+T11*INDEX(Assumptions!$D$30:$F$30,1,T$5)*Scenario_Control!$M$22*(Assumptions!$D$90-Assumptions!$D$89)+T12*Assumptions!$D$91</f>
        <v>248147.060020706</v>
      </c>
      <c r="U14" s="20" t="n">
        <f aca="false">U10*Assumptions!$D$88+U11*Assumptions!$D$89+U11*INDEX(Assumptions!$D$30:$F$30,1,U$5)*Scenario_Control!$M$22*(Assumptions!$D$90-Assumptions!$D$89)+U12*Assumptions!$D$91</f>
        <v>266759.562475993</v>
      </c>
      <c r="V14" s="20" t="n">
        <f aca="false">V10*Assumptions!$D$88+V11*Assumptions!$D$89+V11*INDEX(Assumptions!$D$30:$F$30,1,V$5)*Scenario_Control!$M$22*(Assumptions!$D$90-Assumptions!$D$89)+V12*Assumptions!$D$91</f>
        <v>293683.612300759</v>
      </c>
      <c r="W14" s="20" t="n">
        <f aca="false">W10*Assumptions!$D$88+W11*Assumptions!$D$89+W11*INDEX(Assumptions!$D$30:$F$30,1,W$5)*Scenario_Control!$M$22*(Assumptions!$D$90-Assumptions!$D$89)+W12*Assumptions!$D$91</f>
        <v>321539.198830278</v>
      </c>
      <c r="X14" s="20" t="n">
        <f aca="false">X10*Assumptions!$D$88+X11*Assumptions!$D$89+X11*INDEX(Assumptions!$D$30:$F$30,1,X$5)*Scenario_Control!$M$22*(Assumptions!$D$90-Assumptions!$D$89)+X12*Assumptions!$D$91</f>
        <v>373278.43973988</v>
      </c>
      <c r="Y14" s="20" t="n">
        <f aca="false">Y10*Assumptions!$D$88+Y11*Assumptions!$D$89+Y11*INDEX(Assumptions!$D$30:$F$30,1,Y$5)*Scenario_Control!$M$22*(Assumptions!$D$90-Assumptions!$D$89)+Y12*Assumptions!$D$91</f>
        <v>470551.394046226</v>
      </c>
      <c r="Z14" s="20" t="n">
        <f aca="false">Z10*Assumptions!$D$88+Z11*Assumptions!$D$89+Z11*INDEX(Assumptions!$D$30:$F$30,1,Z$5)*Scenario_Control!$M$22*(Assumptions!$D$90-Assumptions!$D$89)+Z12*Assumptions!$D$91</f>
        <v>583734.249353287</v>
      </c>
      <c r="AA14" s="20" t="n">
        <f aca="false">AA10*Assumptions!$D$88+AA11*Assumptions!$D$89+AA11*INDEX(Assumptions!$D$30:$F$30,1,AA$5)*Scenario_Control!$M$22*(Assumptions!$D$90-Assumptions!$D$89)+AA12*Assumptions!$D$91</f>
        <v>656040.728134371</v>
      </c>
      <c r="AB14" s="20" t="n">
        <f aca="false">AB10*Assumptions!$D$88+AB11*Assumptions!$D$89+AB11*INDEX(Assumptions!$D$30:$F$30,1,AB$5)*Scenario_Control!$M$22*(Assumptions!$D$90-Assumptions!$D$89)+AB12*Assumptions!$D$91</f>
        <v>729150.480448169</v>
      </c>
      <c r="AC14" s="20" t="n">
        <f aca="false">AC10*Assumptions!$D$88+AC11*Assumptions!$D$89+AC11*INDEX(Assumptions!$D$30:$F$30,1,AC$5)*Scenario_Control!$M$22*(Assumptions!$D$90-Assumptions!$D$89)+AC12*Assumptions!$D$91</f>
        <v>784076.641942832</v>
      </c>
      <c r="AD14" s="20" t="n">
        <f aca="false">AD10*Assumptions!$D$88+AD11*Assumptions!$D$89+AD11*INDEX(Assumptions!$D$30:$F$30,1,AD$5)*Scenario_Control!$M$22*(Assumptions!$D$90-Assumptions!$D$89)+AD12*Assumptions!$D$91</f>
        <v>879941.998622521</v>
      </c>
      <c r="AE14" s="20" t="n">
        <f aca="false">AE10*Assumptions!$D$88+AE11*Assumptions!$D$89+AE11*INDEX(Assumptions!$D$30:$F$30,1,AE$5)*Scenario_Control!$M$22*(Assumptions!$D$90-Assumptions!$D$89)+AE12*Assumptions!$D$91</f>
        <v>944516.754237329</v>
      </c>
      <c r="AF14" s="20" t="n">
        <f aca="false">AF10*Assumptions!$D$88+AF11*Assumptions!$D$89+AF11*INDEX(Assumptions!$D$30:$F$30,1,AF$5)*Scenario_Control!$M$22*(Assumptions!$D$90-Assumptions!$D$89)+AF12*Assumptions!$D$91</f>
        <v>1001871.01289185</v>
      </c>
      <c r="AG14" s="20" t="n">
        <f aca="false">AG10*Assumptions!$D$88+AG11*Assumptions!$D$89+AG11*INDEX(Assumptions!$D$30:$F$30,1,AG$5)*Scenario_Control!$M$22*(Assumptions!$D$90-Assumptions!$D$89)+AG12*Assumptions!$D$91</f>
        <v>1042989.38438168</v>
      </c>
      <c r="AH14" s="20" t="n">
        <f aca="false">AH10*Assumptions!$D$88+AH11*Assumptions!$D$89+AH11*INDEX(Assumptions!$D$30:$F$30,1,AH$5)*Scenario_Control!$M$22*(Assumptions!$D$90-Assumptions!$D$89)+AH12*Assumptions!$D$91</f>
        <v>1104603.87127064</v>
      </c>
      <c r="AI14" s="20" t="n">
        <f aca="false">AI10*Assumptions!$D$88+AI11*Assumptions!$D$89+AI11*INDEX(Assumptions!$D$30:$F$30,1,AI$5)*Scenario_Control!$M$22*(Assumptions!$D$90-Assumptions!$D$89)+AI12*Assumptions!$D$91</f>
        <v>1167385.50196195</v>
      </c>
      <c r="AJ14" s="20" t="n">
        <f aca="false">AJ10*Assumptions!$D$88+AJ11*Assumptions!$D$89+AJ11*INDEX(Assumptions!$D$30:$F$30,1,AJ$5)*Scenario_Control!$M$22*(Assumptions!$D$90-Assumptions!$D$89)+AJ12*Assumptions!$D$91</f>
        <v>1278133.95885215</v>
      </c>
      <c r="AK14" s="20" t="n">
        <f aca="false">AK10*Assumptions!$D$88+AK11*Assumptions!$D$89+AK11*INDEX(Assumptions!$D$30:$F$30,1,AK$5)*Scenario_Control!$M$22*(Assumptions!$D$90-Assumptions!$D$89)+AK12*Assumptions!$D$91</f>
        <v>1472651.47371252</v>
      </c>
      <c r="AL14" s="20" t="n">
        <f aca="false">AL10*Assumptions!$D$88+AL11*Assumptions!$D$89+AL11*INDEX(Assumptions!$D$30:$F$30,1,AL$5)*Scenario_Control!$M$22*(Assumptions!$D$90-Assumptions!$D$89)+AL12*Assumptions!$D$91</f>
        <v>1703866.80166201</v>
      </c>
      <c r="AM14" s="20" t="n">
        <f aca="false">AM10*Assumptions!$D$88+AM11*Assumptions!$D$89+AM11*INDEX(Assumptions!$D$30:$F$30,1,AM$5)*Scenario_Control!$M$22*(Assumptions!$D$90-Assumptions!$D$89)+AM12*Assumptions!$D$91</f>
        <v>1867179.57323749</v>
      </c>
    </row>
    <row r="15" customFormat="false" ht="15" hidden="false" customHeight="true" outlineLevel="0" collapsed="false">
      <c r="A15" s="5" t="s">
        <v>912</v>
      </c>
      <c r="B15" s="10" t="s">
        <v>100</v>
      </c>
      <c r="C15" s="21" t="n">
        <f aca="false">SUM(D15:AM15)</f>
        <v>27731.0092364855</v>
      </c>
      <c r="D15" s="20" t="n">
        <f aca="false">(D10+D11)*Assumptions!$D$133/100+D12*Assumptions!$D$134/100</f>
        <v>7.8125</v>
      </c>
      <c r="E15" s="20" t="n">
        <f aca="false">(E10+E11)*Assumptions!$D$133/100+E12*Assumptions!$D$134/100</f>
        <v>12.1196875</v>
      </c>
      <c r="F15" s="20" t="n">
        <f aca="false">(F10+F11)*Assumptions!$D$133/100+F12*Assumptions!$D$134/100</f>
        <v>33.780596875</v>
      </c>
      <c r="G15" s="20" t="n">
        <f aca="false">(G10+G11)*Assumptions!$D$133/100+G12*Assumptions!$D$134/100</f>
        <v>46.53168428125</v>
      </c>
      <c r="H15" s="20" t="n">
        <f aca="false">(H10+H11)*Assumptions!$D$133/100+H12*Assumptions!$D$134/100</f>
        <v>58.4935579371875</v>
      </c>
      <c r="I15" s="20" t="n">
        <f aca="false">(I10+I11)*Assumptions!$D$133/100+I12*Assumptions!$D$134/100</f>
        <v>66.7104425307281</v>
      </c>
      <c r="J15" s="20" t="n">
        <f aca="false">(J10+J11)*Assumptions!$D$133/100+J12*Assumptions!$D$134/100</f>
        <v>72.4846641453597</v>
      </c>
      <c r="K15" s="20" t="n">
        <f aca="false">(K10+K11)*Assumptions!$D$133/100+K12*Assumptions!$D$134/100</f>
        <v>78.4219889299663</v>
      </c>
      <c r="L15" s="20" t="n">
        <f aca="false">(L10+L11)*Assumptions!$D$133/100+L12*Assumptions!$D$134/100</f>
        <v>93.7549665859926</v>
      </c>
      <c r="M15" s="20" t="n">
        <f aca="false">(M10+M11)*Assumptions!$D$133/100+M12*Assumptions!$D$134/100</f>
        <v>134.937575441016</v>
      </c>
      <c r="N15" s="20" t="n">
        <f aca="false">(N10+N11)*Assumptions!$D$133/100+N12*Assumptions!$D$134/100</f>
        <v>180.195200278542</v>
      </c>
      <c r="O15" s="20" t="n">
        <f aca="false">(O10+O11)*Assumptions!$D$133/100+O12*Assumptions!$D$134/100</f>
        <v>198.909208585425</v>
      </c>
      <c r="P15" s="20" t="n">
        <f aca="false">(P10+P11)*Assumptions!$D$133/100+P12*Assumptions!$D$134/100</f>
        <v>227.7339431363</v>
      </c>
      <c r="Q15" s="20" t="n">
        <f aca="false">(Q10+Q11)*Assumptions!$D$133/100+Q12*Assumptions!$D$134/100</f>
        <v>246.290594892469</v>
      </c>
      <c r="R15" s="20" t="n">
        <f aca="false">(R10+R11)*Assumptions!$D$133/100+R12*Assumptions!$D$134/100</f>
        <v>320.938462554041</v>
      </c>
      <c r="S15" s="20" t="n">
        <f aca="false">(S10+S11)*Assumptions!$D$133/100+S12*Assumptions!$D$134/100</f>
        <v>367.316754102539</v>
      </c>
      <c r="T15" s="20" t="n">
        <f aca="false">(T10+T11)*Assumptions!$D$133/100+T12*Assumptions!$D$134/100</f>
        <v>410.971416555766</v>
      </c>
      <c r="U15" s="20" t="n">
        <f aca="false">(U10+U11)*Assumptions!$D$133/100+U12*Assumptions!$D$134/100</f>
        <v>438.754307061163</v>
      </c>
      <c r="V15" s="20" t="n">
        <f aca="false">(V10+V11)*Assumptions!$D$133/100+V12*Assumptions!$D$134/100</f>
        <v>473.071198209635</v>
      </c>
      <c r="W15" s="20" t="n">
        <f aca="false">(W10+W11)*Assumptions!$D$133/100+W12*Assumptions!$D$134/100</f>
        <v>508.447703168062</v>
      </c>
      <c r="X15" s="20" t="n">
        <f aca="false">(X10+X11)*Assumptions!$D$133/100+X12*Assumptions!$D$134/100</f>
        <v>578.884467001554</v>
      </c>
      <c r="Y15" s="20" t="n">
        <f aca="false">(Y10+Y11)*Assumptions!$D$133/100+Y12*Assumptions!$D$134/100</f>
        <v>735.90807130527</v>
      </c>
      <c r="Z15" s="20" t="n">
        <f aca="false">(Z10+Z11)*Assumptions!$D$133/100+Z12*Assumptions!$D$134/100</f>
        <v>914.290179971497</v>
      </c>
      <c r="AA15" s="20" t="n">
        <f aca="false">(AA10+AA11)*Assumptions!$D$133/100+AA12*Assumptions!$D$134/100</f>
        <v>1011.11118267839</v>
      </c>
      <c r="AB15" s="20" t="n">
        <f aca="false">(AB10+AB11)*Assumptions!$D$133/100+AB12*Assumptions!$D$134/100</f>
        <v>1100.47737496351</v>
      </c>
      <c r="AC15" s="20" t="n">
        <f aca="false">(AC10+AC11)*Assumptions!$D$133/100+AC12*Assumptions!$D$134/100</f>
        <v>1166.29923162397</v>
      </c>
      <c r="AD15" s="20" t="n">
        <f aca="false">(AD10+AD11)*Assumptions!$D$133/100+AD12*Assumptions!$D$134/100</f>
        <v>1316.64580986934</v>
      </c>
      <c r="AE15" s="20" t="n">
        <f aca="false">(AE10+AE11)*Assumptions!$D$133/100+AE12*Assumptions!$D$134/100</f>
        <v>1410.92040122257</v>
      </c>
      <c r="AF15" s="20" t="n">
        <f aca="false">(AF10+AF11)*Assumptions!$D$133/100+AF12*Assumptions!$D$134/100</f>
        <v>1492.24683564602</v>
      </c>
      <c r="AG15" s="20" t="n">
        <f aca="false">(AG10+AG11)*Assumptions!$D$133/100+AG12*Assumptions!$D$134/100</f>
        <v>1546.53590125029</v>
      </c>
      <c r="AH15" s="20" t="n">
        <f aca="false">(AH10+AH11)*Assumptions!$D$133/100+AH12*Assumptions!$D$134/100</f>
        <v>1620.07049180452</v>
      </c>
      <c r="AI15" s="20" t="n">
        <f aca="false">(AI10+AI11)*Assumptions!$D$133/100+AI12*Assumptions!$D$134/100</f>
        <v>1695.09846344004</v>
      </c>
      <c r="AJ15" s="20" t="n">
        <f aca="false">(AJ10+AJ11)*Assumptions!$D$133/100+AJ12*Assumptions!$D$134/100</f>
        <v>1839.20510959898</v>
      </c>
      <c r="AK15" s="20" t="n">
        <f aca="false">(AK10+AK11)*Assumptions!$D$133/100+AK12*Assumptions!$D$134/100</f>
        <v>2139.03872039802</v>
      </c>
      <c r="AL15" s="20" t="n">
        <f aca="false">(AL10+AL11)*Assumptions!$D$133/100+AL12*Assumptions!$D$134/100</f>
        <v>2487.49195445652</v>
      </c>
      <c r="AM15" s="20" t="n">
        <f aca="false">(AM10+AM11)*Assumptions!$D$133/100+AM12*Assumptions!$D$134/100</f>
        <v>2699.10858848458</v>
      </c>
    </row>
    <row r="16" customFormat="false" ht="15" hidden="false" customHeight="true" outlineLevel="0" collapsed="false">
      <c r="A16" s="5" t="s">
        <v>913</v>
      </c>
      <c r="B16" s="10" t="s">
        <v>100</v>
      </c>
      <c r="C16" s="57" t="n">
        <f aca="false">AM16</f>
        <v>47.3653333333333</v>
      </c>
      <c r="D16" s="53" t="n">
        <f aca="false">Revenue!D61+Revenue!D77+Revenue!D92</f>
        <v>0</v>
      </c>
      <c r="E16" s="53" t="n">
        <f aca="false">Revenue!E61+Revenue!E77+Revenue!E92</f>
        <v>0</v>
      </c>
      <c r="F16" s="53" t="n">
        <f aca="false">Revenue!F61+Revenue!F77+Revenue!F92</f>
        <v>0.2</v>
      </c>
      <c r="G16" s="53" t="n">
        <f aca="false">Revenue!G61+Revenue!G77+Revenue!G92</f>
        <v>0.366666666666667</v>
      </c>
      <c r="H16" s="53" t="n">
        <f aca="false">Revenue!H61+Revenue!H77+Revenue!H92</f>
        <v>0.716666666666667</v>
      </c>
      <c r="I16" s="53" t="n">
        <f aca="false">Revenue!I61+Revenue!I77+Revenue!I92</f>
        <v>1.09166666666667</v>
      </c>
      <c r="J16" s="53" t="n">
        <f aca="false">Revenue!J61+Revenue!J77+Revenue!J92</f>
        <v>1.63333333333333</v>
      </c>
      <c r="K16" s="53" t="n">
        <f aca="false">Revenue!K61+Revenue!K77+Revenue!K92</f>
        <v>2.25</v>
      </c>
      <c r="L16" s="53" t="n">
        <f aca="false">Revenue!L61+Revenue!L77+Revenue!L92</f>
        <v>2.86666666666667</v>
      </c>
      <c r="M16" s="53" t="n">
        <f aca="false">Revenue!M61+Revenue!M77+Revenue!M92</f>
        <v>3.48333333333333</v>
      </c>
      <c r="N16" s="53" t="n">
        <f aca="false">Revenue!N61+Revenue!N77+Revenue!N92</f>
        <v>3.81666666666667</v>
      </c>
      <c r="O16" s="53" t="n">
        <f aca="false">Revenue!O61+Revenue!O77+Revenue!O92</f>
        <v>3.95833333333333</v>
      </c>
      <c r="P16" s="53" t="n">
        <f aca="false">Revenue!P61+Revenue!P77+Revenue!P92</f>
        <v>3.94166666666667</v>
      </c>
      <c r="Q16" s="53" t="n">
        <f aca="false">Revenue!Q61+Revenue!Q77+Revenue!Q92</f>
        <v>3.91666666666667</v>
      </c>
      <c r="R16" s="53" t="n">
        <f aca="false">Revenue!R61+Revenue!R77+Revenue!R92</f>
        <v>4.15</v>
      </c>
      <c r="S16" s="53" t="n">
        <f aca="false">Revenue!S61+Revenue!S77+Revenue!S92</f>
        <v>4.33333333333333</v>
      </c>
      <c r="T16" s="53" t="n">
        <f aca="false">Revenue!T61+Revenue!T77+Revenue!T92</f>
        <v>5.31066666666667</v>
      </c>
      <c r="U16" s="53" t="n">
        <f aca="false">Revenue!U61+Revenue!U77+Revenue!U92</f>
        <v>6.389</v>
      </c>
      <c r="V16" s="53" t="n">
        <f aca="false">Revenue!V61+Revenue!V77+Revenue!V92</f>
        <v>8.23</v>
      </c>
      <c r="W16" s="53" t="n">
        <f aca="false">Revenue!W61+Revenue!W77+Revenue!W92</f>
        <v>10.245</v>
      </c>
      <c r="X16" s="53" t="n">
        <f aca="false">Revenue!X61+Revenue!X77+Revenue!X92</f>
        <v>12.6289333333333</v>
      </c>
      <c r="Y16" s="53" t="n">
        <f aca="false">Revenue!Y61+Revenue!Y77+Revenue!Y92</f>
        <v>15.1292666666667</v>
      </c>
      <c r="Z16" s="53" t="n">
        <f aca="false">Revenue!Z61+Revenue!Z77+Revenue!Z92</f>
        <v>17.104</v>
      </c>
      <c r="AA16" s="53" t="n">
        <f aca="false">Revenue!AA61+Revenue!AA77+Revenue!AA92</f>
        <v>18.603</v>
      </c>
      <c r="AB16" s="53" t="n">
        <f aca="false">Revenue!AB61+Revenue!AB77+Revenue!AB92</f>
        <v>19.4354</v>
      </c>
      <c r="AC16" s="53" t="n">
        <f aca="false">Revenue!AC61+Revenue!AC77+Revenue!AC92</f>
        <v>19.9943333333333</v>
      </c>
      <c r="AD16" s="53" t="n">
        <f aca="false">Revenue!AD61+Revenue!AD77+Revenue!AD92</f>
        <v>20.4258</v>
      </c>
      <c r="AE16" s="53" t="n">
        <f aca="false">Revenue!AE61+Revenue!AE77+Revenue!AE92</f>
        <v>20.7903333333333</v>
      </c>
      <c r="AF16" s="53" t="n">
        <f aca="false">Revenue!AF61+Revenue!AF77+Revenue!AF92</f>
        <v>22.3530533333333</v>
      </c>
      <c r="AG16" s="53" t="n">
        <f aca="false">Revenue!AG61+Revenue!AG77+Revenue!AG92</f>
        <v>24.15832</v>
      </c>
      <c r="AH16" s="53" t="n">
        <f aca="false">Revenue!AH61+Revenue!AH77+Revenue!AH92</f>
        <v>27.3261333333333</v>
      </c>
      <c r="AI16" s="53" t="n">
        <f aca="false">Revenue!AI61+Revenue!AI77+Revenue!AI92</f>
        <v>30.7086</v>
      </c>
      <c r="AJ16" s="53" t="n">
        <f aca="false">Revenue!AJ61+Revenue!AJ77+Revenue!AJ92</f>
        <v>35.056</v>
      </c>
      <c r="AK16" s="53" t="n">
        <f aca="false">Revenue!AK61+Revenue!AK77+Revenue!AK92</f>
        <v>39.7061866666667</v>
      </c>
      <c r="AL16" s="53" t="n">
        <f aca="false">Revenue!AL61+Revenue!AL77+Revenue!AL92</f>
        <v>43.8570933333333</v>
      </c>
      <c r="AM16" s="53" t="n">
        <f aca="false">Revenue!AM61+Revenue!AM77+Revenue!AM92</f>
        <v>47.3653333333333</v>
      </c>
    </row>
    <row r="17" customFormat="false" ht="15" hidden="false" customHeight="true" outlineLevel="0" collapsed="false">
      <c r="A17" s="5" t="s">
        <v>162</v>
      </c>
      <c r="B17" s="10" t="s">
        <v>163</v>
      </c>
      <c r="C17" s="21" t="n">
        <f aca="false">SUM(D17:AM17)</f>
        <v>19239.25</v>
      </c>
      <c r="D17" s="20" t="n">
        <f aca="false">Revenue!D46*Assumptions!$D$38*Scenario_Control!$M$16/Assumptions!$D$207+Revenue!D52*Assumptions!$D$47*Scenario_Control!$M$16/Assumptions!$D$208+Revenue!D58*Assumptions!$D$57*Scenario_Control!$M$16/Assumptions!$D$209</f>
        <v>0</v>
      </c>
      <c r="E17" s="20" t="n">
        <f aca="false">Revenue!E46*Assumptions!$D$38*Scenario_Control!$M$16/Assumptions!$D$207+Revenue!E52*Assumptions!$D$47*Scenario_Control!$M$16/Assumptions!$D$208+Revenue!E58*Assumptions!$D$57*Scenario_Control!$M$16/Assumptions!$D$209</f>
        <v>15.75</v>
      </c>
      <c r="F17" s="20" t="n">
        <f aca="false">Revenue!F46*Assumptions!$D$38*Scenario_Control!$M$16/Assumptions!$D$207+Revenue!F52*Assumptions!$D$47*Scenario_Control!$M$16/Assumptions!$D$208+Revenue!F58*Assumptions!$D$57*Scenario_Control!$M$16/Assumptions!$D$209</f>
        <v>28.875</v>
      </c>
      <c r="G17" s="20" t="n">
        <f aca="false">Revenue!G46*Assumptions!$D$38*Scenario_Control!$M$16/Assumptions!$D$207+Revenue!G52*Assumptions!$D$47*Scenario_Control!$M$16/Assumptions!$D$208+Revenue!G58*Assumptions!$D$57*Scenario_Control!$M$16/Assumptions!$D$209</f>
        <v>40.5</v>
      </c>
      <c r="H17" s="20" t="n">
        <f aca="false">Revenue!H46*Assumptions!$D$38*Scenario_Control!$M$16/Assumptions!$D$207+Revenue!H52*Assumptions!$D$47*Scenario_Control!$M$16/Assumptions!$D$208+Revenue!H58*Assumptions!$D$57*Scenario_Control!$M$16/Assumptions!$D$209</f>
        <v>56.75</v>
      </c>
      <c r="I17" s="20" t="n">
        <f aca="false">Revenue!I46*Assumptions!$D$38*Scenario_Control!$M$16/Assumptions!$D$207+Revenue!I52*Assumptions!$D$47*Scenario_Control!$M$16/Assumptions!$D$208+Revenue!I58*Assumptions!$D$57*Scenario_Control!$M$16/Assumptions!$D$209</f>
        <v>71.75</v>
      </c>
      <c r="J17" s="20" t="n">
        <f aca="false">Revenue!J46*Assumptions!$D$38*Scenario_Control!$M$16/Assumptions!$D$207+Revenue!J52*Assumptions!$D$47*Scenario_Control!$M$16/Assumptions!$D$208+Revenue!J58*Assumptions!$D$57*Scenario_Control!$M$16/Assumptions!$D$209</f>
        <v>90.625</v>
      </c>
      <c r="K17" s="20" t="n">
        <f aca="false">Revenue!K46*Assumptions!$D$38*Scenario_Control!$M$16/Assumptions!$D$207+Revenue!K52*Assumptions!$D$47*Scenario_Control!$M$16/Assumptions!$D$208+Revenue!K58*Assumptions!$D$57*Scenario_Control!$M$16/Assumptions!$D$209</f>
        <v>104.25</v>
      </c>
      <c r="L17" s="20" t="n">
        <f aca="false">Revenue!L46*Assumptions!$D$38*Scenario_Control!$M$16/Assumptions!$D$207+Revenue!L52*Assumptions!$D$47*Scenario_Control!$M$16/Assumptions!$D$208+Revenue!L58*Assumptions!$D$57*Scenario_Control!$M$16/Assumptions!$D$209</f>
        <v>110.625</v>
      </c>
      <c r="M17" s="20" t="n">
        <f aca="false">Revenue!M46*Assumptions!$D$38*Scenario_Control!$M$16/Assumptions!$D$207+Revenue!M52*Assumptions!$D$47*Scenario_Control!$M$16/Assumptions!$D$208+Revenue!M58*Assumptions!$D$57*Scenario_Control!$M$16/Assumptions!$D$209</f>
        <v>92.125</v>
      </c>
      <c r="N17" s="20" t="n">
        <f aca="false">Revenue!N46*Assumptions!$D$38*Scenario_Control!$M$16/Assumptions!$D$207+Revenue!N52*Assumptions!$D$47*Scenario_Control!$M$16/Assumptions!$D$208+Revenue!N58*Assumptions!$D$57*Scenario_Control!$M$16/Assumptions!$D$209</f>
        <v>61.25</v>
      </c>
      <c r="O17" s="20" t="n">
        <f aca="false">Revenue!O46*Assumptions!$D$38*Scenario_Control!$M$16/Assumptions!$D$207+Revenue!O52*Assumptions!$D$47*Scenario_Control!$M$16/Assumptions!$D$208+Revenue!O58*Assumptions!$D$57*Scenario_Control!$M$16/Assumptions!$D$209</f>
        <v>40.5</v>
      </c>
      <c r="P17" s="20" t="n">
        <f aca="false">Revenue!P46*Assumptions!$D$38*Scenario_Control!$M$16/Assumptions!$D$207+Revenue!P52*Assumptions!$D$47*Scenario_Control!$M$16/Assumptions!$D$208+Revenue!P58*Assumptions!$D$57*Scenario_Control!$M$16/Assumptions!$D$209</f>
        <v>35.625</v>
      </c>
      <c r="Q17" s="20" t="n">
        <f aca="false">Revenue!Q46*Assumptions!$D$38*Scenario_Control!$M$16/Assumptions!$D$207+Revenue!Q52*Assumptions!$D$47*Scenario_Control!$M$16/Assumptions!$D$208+Revenue!Q58*Assumptions!$D$57*Scenario_Control!$M$16/Assumptions!$D$209</f>
        <v>102.625</v>
      </c>
      <c r="R17" s="20" t="n">
        <f aca="false">Revenue!R46*Assumptions!$D$38*Scenario_Control!$M$16/Assumptions!$D$207+Revenue!R52*Assumptions!$D$47*Scenario_Control!$M$16/Assumptions!$D$208+Revenue!R58*Assumptions!$D$57*Scenario_Control!$M$16/Assumptions!$D$209</f>
        <v>155.208333333333</v>
      </c>
      <c r="S17" s="20" t="n">
        <f aca="false">Revenue!S46*Assumptions!$D$38*Scenario_Control!$M$16/Assumptions!$D$207+Revenue!S52*Assumptions!$D$47*Scenario_Control!$M$16/Assumptions!$D$208+Revenue!S58*Assumptions!$D$57*Scenario_Control!$M$16/Assumptions!$D$209</f>
        <v>244.583333333333</v>
      </c>
      <c r="T17" s="20" t="n">
        <f aca="false">Revenue!T46*Assumptions!$D$38*Scenario_Control!$M$16/Assumptions!$D$207+Revenue!T52*Assumptions!$D$47*Scenario_Control!$M$16/Assumptions!$D$208+Revenue!T58*Assumptions!$D$57*Scenario_Control!$M$16/Assumptions!$D$209</f>
        <v>351.25</v>
      </c>
      <c r="U17" s="20" t="n">
        <f aca="false">Revenue!U46*Assumptions!$D$38*Scenario_Control!$M$16/Assumptions!$D$207+Revenue!U52*Assumptions!$D$47*Scenario_Control!$M$16/Assumptions!$D$208+Revenue!U58*Assumptions!$D$57*Scenario_Control!$M$16/Assumptions!$D$209</f>
        <v>465.833333333333</v>
      </c>
      <c r="V17" s="20" t="n">
        <f aca="false">Revenue!V46*Assumptions!$D$38*Scenario_Control!$M$16/Assumptions!$D$207+Revenue!V52*Assumptions!$D$47*Scenario_Control!$M$16/Assumptions!$D$208+Revenue!V58*Assumptions!$D$57*Scenario_Control!$M$16/Assumptions!$D$209</f>
        <v>607.5</v>
      </c>
      <c r="W17" s="20" t="n">
        <f aca="false">Revenue!W46*Assumptions!$D$38*Scenario_Control!$M$16/Assumptions!$D$207+Revenue!W52*Assumptions!$D$47*Scenario_Control!$M$16/Assumptions!$D$208+Revenue!W58*Assumptions!$D$57*Scenario_Control!$M$16/Assumptions!$D$209</f>
        <v>715</v>
      </c>
      <c r="X17" s="20" t="n">
        <f aca="false">Revenue!X46*Assumptions!$D$38*Scenario_Control!$M$16/Assumptions!$D$207+Revenue!X52*Assumptions!$D$47*Scenario_Control!$M$16/Assumptions!$D$208+Revenue!X58*Assumptions!$D$57*Scenario_Control!$M$16/Assumptions!$D$209</f>
        <v>797.5</v>
      </c>
      <c r="Y17" s="20" t="n">
        <f aca="false">Revenue!Y46*Assumptions!$D$38*Scenario_Control!$M$16/Assumptions!$D$207+Revenue!Y52*Assumptions!$D$47*Scenario_Control!$M$16/Assumptions!$D$208+Revenue!Y58*Assumptions!$D$57*Scenario_Control!$M$16/Assumptions!$D$209</f>
        <v>741.041666666667</v>
      </c>
      <c r="Z17" s="20" t="n">
        <f aca="false">Revenue!Z46*Assumptions!$D$38*Scenario_Control!$M$16/Assumptions!$D$207+Revenue!Z52*Assumptions!$D$47*Scenario_Control!$M$16/Assumptions!$D$208+Revenue!Z58*Assumptions!$D$57*Scenario_Control!$M$16/Assumptions!$D$209</f>
        <v>608.333333333333</v>
      </c>
      <c r="AA17" s="20" t="n">
        <f aca="false">Revenue!AA46*Assumptions!$D$38*Scenario_Control!$M$16/Assumptions!$D$207+Revenue!AA52*Assumptions!$D$47*Scenario_Control!$M$16/Assumptions!$D$208+Revenue!AA58*Assumptions!$D$57*Scenario_Control!$M$16/Assumptions!$D$209</f>
        <v>472.916666666667</v>
      </c>
      <c r="AB17" s="20" t="n">
        <f aca="false">Revenue!AB46*Assumptions!$D$38*Scenario_Control!$M$16/Assumptions!$D$207+Revenue!AB52*Assumptions!$D$47*Scenario_Control!$M$16/Assumptions!$D$208+Revenue!AB58*Assumptions!$D$57*Scenario_Control!$M$16/Assumptions!$D$209</f>
        <v>387.5</v>
      </c>
      <c r="AC17" s="20" t="n">
        <f aca="false">Revenue!AC46*Assumptions!$D$38*Scenario_Control!$M$16/Assumptions!$D$207+Revenue!AC52*Assumptions!$D$47*Scenario_Control!$M$16/Assumptions!$D$208+Revenue!AC58*Assumptions!$D$57*Scenario_Control!$M$16/Assumptions!$D$209</f>
        <v>427</v>
      </c>
      <c r="AD17" s="20" t="n">
        <f aca="false">Revenue!AD46*Assumptions!$D$38*Scenario_Control!$M$16/Assumptions!$D$207+Revenue!AD52*Assumptions!$D$47*Scenario_Control!$M$16/Assumptions!$D$208+Revenue!AD58*Assumptions!$D$57*Scenario_Control!$M$16/Assumptions!$D$209</f>
        <v>456.166666666667</v>
      </c>
      <c r="AE17" s="20" t="n">
        <f aca="false">Revenue!AE46*Assumptions!$D$38*Scenario_Control!$M$16/Assumptions!$D$207+Revenue!AE52*Assumptions!$D$47*Scenario_Control!$M$16/Assumptions!$D$208+Revenue!AE58*Assumptions!$D$57*Scenario_Control!$M$16/Assumptions!$D$209</f>
        <v>618.625</v>
      </c>
      <c r="AF17" s="20" t="n">
        <f aca="false">Revenue!AF46*Assumptions!$D$38*Scenario_Control!$M$16/Assumptions!$D$207+Revenue!AF52*Assumptions!$D$47*Scenario_Control!$M$16/Assumptions!$D$208+Revenue!AF58*Assumptions!$D$57*Scenario_Control!$M$16/Assumptions!$D$209</f>
        <v>824.666666666667</v>
      </c>
      <c r="AG17" s="20" t="n">
        <f aca="false">Revenue!AG46*Assumptions!$D$38*Scenario_Control!$M$16/Assumptions!$D$207+Revenue!AG52*Assumptions!$D$47*Scenario_Control!$M$16/Assumptions!$D$208+Revenue!AG58*Assumptions!$D$57*Scenario_Control!$M$16/Assumptions!$D$209</f>
        <v>1084.25</v>
      </c>
      <c r="AH17" s="20" t="n">
        <f aca="false">Revenue!AH46*Assumptions!$D$38*Scenario_Control!$M$16/Assumptions!$D$207+Revenue!AH52*Assumptions!$D$47*Scenario_Control!$M$16/Assumptions!$D$208+Revenue!AH58*Assumptions!$D$57*Scenario_Control!$M$16/Assumptions!$D$209</f>
        <v>1398.75</v>
      </c>
      <c r="AI17" s="20" t="n">
        <f aca="false">Revenue!AI46*Assumptions!$D$38*Scenario_Control!$M$16/Assumptions!$D$207+Revenue!AI52*Assumptions!$D$47*Scenario_Control!$M$16/Assumptions!$D$208+Revenue!AI58*Assumptions!$D$57*Scenario_Control!$M$16/Assumptions!$D$209</f>
        <v>1655.5</v>
      </c>
      <c r="AJ17" s="20" t="n">
        <f aca="false">Revenue!AJ46*Assumptions!$D$38*Scenario_Control!$M$16/Assumptions!$D$207+Revenue!AJ52*Assumptions!$D$47*Scenario_Control!$M$16/Assumptions!$D$208+Revenue!AJ58*Assumptions!$D$57*Scenario_Control!$M$16/Assumptions!$D$209</f>
        <v>1868.75</v>
      </c>
      <c r="AK17" s="20" t="n">
        <f aca="false">Revenue!AK46*Assumptions!$D$38*Scenario_Control!$M$16/Assumptions!$D$207+Revenue!AK52*Assumptions!$D$47*Scenario_Control!$M$16/Assumptions!$D$208+Revenue!AK58*Assumptions!$D$57*Scenario_Control!$M$16/Assumptions!$D$209</f>
        <v>1778.375</v>
      </c>
      <c r="AL17" s="20" t="n">
        <f aca="false">Revenue!AL46*Assumptions!$D$38*Scenario_Control!$M$16/Assumptions!$D$207+Revenue!AL52*Assumptions!$D$47*Scenario_Control!$M$16/Assumptions!$D$208+Revenue!AL58*Assumptions!$D$57*Scenario_Control!$M$16/Assumptions!$D$209</f>
        <v>1517.5</v>
      </c>
      <c r="AM17" s="20" t="n">
        <f aca="false">Revenue!AM46*Assumptions!$D$38*Scenario_Control!$M$16/Assumptions!$D$207+Revenue!AM52*Assumptions!$D$47*Scenario_Control!$M$16/Assumptions!$D$208+Revenue!AM58*Assumptions!$D$57*Scenario_Control!$M$16/Assumptions!$D$209</f>
        <v>1211.75</v>
      </c>
    </row>
    <row r="18" customFormat="false" ht="15" hidden="false" customHeight="true" outlineLevel="0" collapsed="false">
      <c r="A18" s="5" t="s">
        <v>914</v>
      </c>
      <c r="B18" s="10" t="s">
        <v>98</v>
      </c>
      <c r="C18" s="19" t="n">
        <f aca="false">MAX(D18:AM18)</f>
        <v>14.375</v>
      </c>
      <c r="D18" s="18" t="n">
        <f aca="false">D17/Assumptions!$D$72</f>
        <v>0</v>
      </c>
      <c r="E18" s="18" t="n">
        <f aca="false">E17/Assumptions!$D$72</f>
        <v>0.121153846153846</v>
      </c>
      <c r="F18" s="18" t="n">
        <f aca="false">F17/Assumptions!$D$72</f>
        <v>0.222115384615385</v>
      </c>
      <c r="G18" s="18" t="n">
        <f aca="false">G17/Assumptions!$D$72</f>
        <v>0.311538461538462</v>
      </c>
      <c r="H18" s="18" t="n">
        <f aca="false">H17/Assumptions!$D$72</f>
        <v>0.436538461538462</v>
      </c>
      <c r="I18" s="18" t="n">
        <f aca="false">I17/Assumptions!$D$72</f>
        <v>0.551923076923077</v>
      </c>
      <c r="J18" s="18" t="n">
        <f aca="false">J17/Assumptions!$D$72</f>
        <v>0.697115384615385</v>
      </c>
      <c r="K18" s="18" t="n">
        <f aca="false">K17/Assumptions!$D$72</f>
        <v>0.801923076923077</v>
      </c>
      <c r="L18" s="18" t="n">
        <f aca="false">L17/Assumptions!$D$72</f>
        <v>0.850961538461539</v>
      </c>
      <c r="M18" s="18" t="n">
        <f aca="false">M17/Assumptions!$D$72</f>
        <v>0.708653846153846</v>
      </c>
      <c r="N18" s="18" t="n">
        <f aca="false">N17/Assumptions!$D$72</f>
        <v>0.471153846153846</v>
      </c>
      <c r="O18" s="18" t="n">
        <f aca="false">O17/Assumptions!$D$72</f>
        <v>0.311538461538462</v>
      </c>
      <c r="P18" s="18" t="n">
        <f aca="false">P17/Assumptions!$D$72</f>
        <v>0.274038461538461</v>
      </c>
      <c r="Q18" s="18" t="n">
        <f aca="false">Q17/Assumptions!$D$72</f>
        <v>0.789423076923077</v>
      </c>
      <c r="R18" s="18" t="n">
        <f aca="false">R17/Assumptions!$D$72</f>
        <v>1.19391025641026</v>
      </c>
      <c r="S18" s="18" t="n">
        <f aca="false">S17/Assumptions!$D$72</f>
        <v>1.88141025641026</v>
      </c>
      <c r="T18" s="18" t="n">
        <f aca="false">T17/Assumptions!$D$72</f>
        <v>2.70192307692308</v>
      </c>
      <c r="U18" s="18" t="n">
        <f aca="false">U17/Assumptions!$D$72</f>
        <v>3.58333333333333</v>
      </c>
      <c r="V18" s="18" t="n">
        <f aca="false">V17/Assumptions!$D$72</f>
        <v>4.67307692307692</v>
      </c>
      <c r="W18" s="18" t="n">
        <f aca="false">W17/Assumptions!$D$72</f>
        <v>5.5</v>
      </c>
      <c r="X18" s="18" t="n">
        <f aca="false">X17/Assumptions!$D$72</f>
        <v>6.13461538461538</v>
      </c>
      <c r="Y18" s="18" t="n">
        <f aca="false">Y17/Assumptions!$D$72</f>
        <v>5.70032051282051</v>
      </c>
      <c r="Z18" s="18" t="n">
        <f aca="false">Z17/Assumptions!$D$72</f>
        <v>4.67948717948718</v>
      </c>
      <c r="AA18" s="18" t="n">
        <f aca="false">AA17/Assumptions!$D$72</f>
        <v>3.63782051282051</v>
      </c>
      <c r="AB18" s="18" t="n">
        <f aca="false">AB17/Assumptions!$D$72</f>
        <v>2.98076923076923</v>
      </c>
      <c r="AC18" s="18" t="n">
        <f aca="false">AC17/Assumptions!$D$72</f>
        <v>3.28461538461539</v>
      </c>
      <c r="AD18" s="18" t="n">
        <f aca="false">AD17/Assumptions!$D$72</f>
        <v>3.50897435897436</v>
      </c>
      <c r="AE18" s="18" t="n">
        <f aca="false">AE17/Assumptions!$D$72</f>
        <v>4.75865384615385</v>
      </c>
      <c r="AF18" s="18" t="n">
        <f aca="false">AF17/Assumptions!$D$72</f>
        <v>6.34358974358974</v>
      </c>
      <c r="AG18" s="18" t="n">
        <f aca="false">AG17/Assumptions!$D$72</f>
        <v>8.34038461538462</v>
      </c>
      <c r="AH18" s="18" t="n">
        <f aca="false">AH17/Assumptions!$D$72</f>
        <v>10.7596153846154</v>
      </c>
      <c r="AI18" s="18" t="n">
        <f aca="false">AI17/Assumptions!$D$72</f>
        <v>12.7346153846154</v>
      </c>
      <c r="AJ18" s="18" t="n">
        <f aca="false">AJ17/Assumptions!$D$72</f>
        <v>14.375</v>
      </c>
      <c r="AK18" s="18" t="n">
        <f aca="false">AK17/Assumptions!$D$72</f>
        <v>13.6798076923077</v>
      </c>
      <c r="AL18" s="18" t="n">
        <f aca="false">AL17/Assumptions!$D$72</f>
        <v>11.6730769230769</v>
      </c>
      <c r="AM18" s="18" t="n">
        <f aca="false">AM17/Assumptions!$D$72</f>
        <v>9.32115384615385</v>
      </c>
    </row>
    <row r="20" customFormat="false" ht="15" hidden="false" customHeight="true" outlineLevel="0" collapsed="false">
      <c r="A20" s="8" t="s">
        <v>77</v>
      </c>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row>
    <row r="21" customFormat="false" ht="15" hidden="false" customHeight="true" outlineLevel="0" collapsed="false">
      <c r="A21" s="5" t="s">
        <v>915</v>
      </c>
      <c r="B21" s="10" t="s">
        <v>64</v>
      </c>
      <c r="C21" s="12" t="n">
        <f aca="false">SUM(D21:AM21)</f>
        <v>406981.729537844</v>
      </c>
      <c r="D21" s="11" t="n">
        <f aca="false">D14*Assumptions!$D$201*(1+Assumptions!$D$104)+INDEX(Assumptions!$D$105:$F$105,1,D$5)</f>
        <v>2057.6726</v>
      </c>
      <c r="E21" s="11" t="n">
        <f aca="false">E14*Assumptions!$D$201*(1+Assumptions!$D$104)+INDEX(Assumptions!$D$105:$F$105,1,E$5)</f>
        <v>2089.7183192</v>
      </c>
      <c r="F21" s="11" t="n">
        <f aca="false">F14*Assumptions!$D$201*(1+Assumptions!$D$104)+INDEX(Assumptions!$D$105:$F$105,1,F$5)</f>
        <v>2251.626985184</v>
      </c>
      <c r="G21" s="11" t="n">
        <f aca="false">G14*Assumptions!$D$201*(1+Assumptions!$D$104)+INDEX(Assumptions!$D$105:$F$105,1,G$5)</f>
        <v>2348.18801524928</v>
      </c>
      <c r="H21" s="11" t="n">
        <f aca="false">H14*Assumptions!$D$201*(1+Assumptions!$D$104)+INDEX(Assumptions!$D$105:$F$105,1,H$5)</f>
        <v>2445.25871920934</v>
      </c>
      <c r="I21" s="11" t="n">
        <f aca="false">I14*Assumptions!$D$201*(1+Assumptions!$D$104)+INDEX(Assumptions!$D$105:$F$105,1,I$5)</f>
        <v>2514.52430814559</v>
      </c>
      <c r="J21" s="11" t="n">
        <f aca="false">J14*Assumptions!$D$201*(1+Assumptions!$D$104)+INDEX(Assumptions!$D$105:$F$105,1,J$5)</f>
        <v>2570.31882989129</v>
      </c>
      <c r="K21" s="11" t="n">
        <f aca="false">K14*Assumptions!$D$201*(1+Assumptions!$D$104)+INDEX(Assumptions!$D$105:$F$105,1,K$5)</f>
        <v>2628.82079277747</v>
      </c>
      <c r="L21" s="11" t="n">
        <f aca="false">L14*Assumptions!$D$201*(1+Assumptions!$D$104)+INDEX(Assumptions!$D$105:$F$105,1,L$5)</f>
        <v>2777.65226765688</v>
      </c>
      <c r="M21" s="11" t="n">
        <f aca="false">M14*Assumptions!$D$201*(1+Assumptions!$D$104)+INDEX(Assumptions!$D$105:$F$105,1,M$5)</f>
        <v>3116.10598152686</v>
      </c>
      <c r="N21" s="11" t="n">
        <f aca="false">N14*Assumptions!$D$201*(1+Assumptions!$D$104)+INDEX(Assumptions!$D$105:$F$105,1,N$5)</f>
        <v>3496.88721664311</v>
      </c>
      <c r="O21" s="11" t="n">
        <f aca="false">O14*Assumptions!$D$201*(1+Assumptions!$D$104)+INDEX(Assumptions!$D$105:$F$105,1,O$5)</f>
        <v>3683.64146899615</v>
      </c>
      <c r="P21" s="11" t="n">
        <f aca="false">P14*Assumptions!$D$201*(1+Assumptions!$D$104)+INDEX(Assumptions!$D$105:$F$105,1,P$5)</f>
        <v>5478.37986853625</v>
      </c>
      <c r="Q21" s="11" t="n">
        <f aca="false">Q14*Assumptions!$D$201*(1+Assumptions!$D$104)+INDEX(Assumptions!$D$105:$F$105,1,Q$5)</f>
        <v>5674.1097872076</v>
      </c>
      <c r="R21" s="11" t="n">
        <f aca="false">R14*Assumptions!$D$201*(1+Assumptions!$D$104)+INDEX(Assumptions!$D$105:$F$105,1,R$5)</f>
        <v>6299.15314572352</v>
      </c>
      <c r="S21" s="11" t="n">
        <f aca="false">S14*Assumptions!$D$201*(1+Assumptions!$D$104)+INDEX(Assumptions!$D$105:$F$105,1,S$5)</f>
        <v>6711.70725289075</v>
      </c>
      <c r="T21" s="11" t="n">
        <f aca="false">T14*Assumptions!$D$201*(1+Assumptions!$D$104)+INDEX(Assumptions!$D$105:$F$105,1,T$5)</f>
        <v>7120.96189982214</v>
      </c>
      <c r="U21" s="11" t="n">
        <f aca="false">U14*Assumptions!$D$201*(1+Assumptions!$D$104)+INDEX(Assumptions!$D$105:$F$105,1,U$5)</f>
        <v>7392.55553564968</v>
      </c>
      <c r="V21" s="11" t="n">
        <f aca="false">V14*Assumptions!$D$201*(1+Assumptions!$D$104)+INDEX(Assumptions!$D$105:$F$105,1,V$5)</f>
        <v>7785.43127069268</v>
      </c>
      <c r="W21" s="11" t="n">
        <f aca="false">W14*Assumptions!$D$201*(1+Assumptions!$D$104)+INDEX(Assumptions!$D$105:$F$105,1,W$5)</f>
        <v>8191.89998933141</v>
      </c>
      <c r="X21" s="11" t="n">
        <f aca="false">X14*Assumptions!$D$201*(1+Assumptions!$D$104)+INDEX(Assumptions!$D$105:$F$105,1,X$5)</f>
        <v>8946.87899268434</v>
      </c>
      <c r="Y21" s="11" t="n">
        <f aca="false">Y14*Assumptions!$D$201*(1+Assumptions!$D$104)+INDEX(Assumptions!$D$105:$F$105,1,Y$5)</f>
        <v>10366.2859419225</v>
      </c>
      <c r="Z21" s="11" t="n">
        <f aca="false">Z14*Assumptions!$D$201*(1+Assumptions!$D$104)+INDEX(Assumptions!$D$105:$F$105,1,Z$5)</f>
        <v>12017.8501665632</v>
      </c>
      <c r="AA21" s="11" t="n">
        <f aca="false">AA14*Assumptions!$D$201*(1+Assumptions!$D$104)+INDEX(Assumptions!$D$105:$F$105,1,AA$5)</f>
        <v>13072.9463049367</v>
      </c>
      <c r="AB21" s="11" t="n">
        <f aca="false">AB14*Assumptions!$D$201*(1+Assumptions!$D$104)+INDEX(Assumptions!$D$105:$F$105,1,AB$5)</f>
        <v>16639.7638106997</v>
      </c>
      <c r="AC21" s="11" t="n">
        <f aca="false">AC14*Assumptions!$D$201*(1+Assumptions!$D$104)+INDEX(Assumptions!$D$105:$F$105,1,AC$5)</f>
        <v>17441.2463592298</v>
      </c>
      <c r="AD21" s="11" t="n">
        <f aca="false">AD14*Assumptions!$D$201*(1+Assumptions!$D$104)+INDEX(Assumptions!$D$105:$F$105,1,AD$5)</f>
        <v>18840.1136438998</v>
      </c>
      <c r="AE21" s="11" t="n">
        <f aca="false">AE14*Assumptions!$D$201*(1+Assumptions!$D$104)+INDEX(Assumptions!$D$105:$F$105,1,AE$5)</f>
        <v>19782.3884778311</v>
      </c>
      <c r="AF21" s="11" t="n">
        <f aca="false">AF14*Assumptions!$D$201*(1+Assumptions!$D$104)+INDEX(Assumptions!$D$105:$F$105,1,AF$5)</f>
        <v>20619.3018201178</v>
      </c>
      <c r="AG21" s="11" t="n">
        <f aca="false">AG14*Assumptions!$D$201*(1+Assumptions!$D$104)+INDEX(Assumptions!$D$105:$F$105,1,AG$5)</f>
        <v>21219.3010968975</v>
      </c>
      <c r="AH21" s="11" t="n">
        <f aca="false">AH14*Assumptions!$D$201*(1+Assumptions!$D$104)+INDEX(Assumptions!$D$105:$F$105,1,AH$5)</f>
        <v>22118.3796895812</v>
      </c>
      <c r="AI21" s="11" t="n">
        <f aca="false">AI14*Assumptions!$D$201*(1+Assumptions!$D$104)+INDEX(Assumptions!$D$105:$F$105,1,AI$5)</f>
        <v>23034.4892446287</v>
      </c>
      <c r="AJ21" s="11" t="n">
        <f aca="false">AJ14*Assumptions!$D$201*(1+Assumptions!$D$104)+INDEX(Assumptions!$D$105:$F$105,1,AJ$5)</f>
        <v>24650.5307275706</v>
      </c>
      <c r="AK21" s="11" t="n">
        <f aca="false">AK14*Assumptions!$D$201*(1+Assumptions!$D$104)+INDEX(Assumptions!$D$105:$F$105,1,AK$5)</f>
        <v>27488.9303044131</v>
      </c>
      <c r="AL21" s="11" t="n">
        <f aca="false">AL14*Assumptions!$D$201*(1+Assumptions!$D$104)+INDEX(Assumptions!$D$105:$F$105,1,AL$5)</f>
        <v>30862.8243698521</v>
      </c>
      <c r="AM21" s="11" t="n">
        <f aca="false">AM14*Assumptions!$D$201*(1+Assumptions!$D$104)+INDEX(Assumptions!$D$105:$F$105,1,AM$5)</f>
        <v>33245.8843326814</v>
      </c>
    </row>
    <row r="22" customFormat="false" ht="15" hidden="false" customHeight="true" outlineLevel="0" collapsed="false">
      <c r="A22" s="5" t="s">
        <v>916</v>
      </c>
      <c r="B22" s="10" t="s">
        <v>64</v>
      </c>
      <c r="C22" s="12" t="n">
        <f aca="false">SUM(D22:AM22)</f>
        <v>476372.237495489</v>
      </c>
      <c r="D22" s="11" t="n">
        <f aca="false">INDEX(Assumptions!$D$119:$F$119,1,D$5)+D13*Assumptions!$D$120</f>
        <v>4031.25</v>
      </c>
      <c r="E22" s="11" t="n">
        <f aca="false">INDEX(Assumptions!$D$119:$F$119,1,E$5)+E13*Assumptions!$D$120</f>
        <v>4048.47875</v>
      </c>
      <c r="F22" s="11" t="n">
        <f aca="false">INDEX(Assumptions!$D$119:$F$119,1,F$5)+F13*Assumptions!$D$120</f>
        <v>4135.6223875</v>
      </c>
      <c r="G22" s="11" t="n">
        <f aca="false">INDEX(Assumptions!$D$119:$F$119,1,G$5)+G13*Assumptions!$D$120</f>
        <v>4187.04340379167</v>
      </c>
      <c r="H22" s="11" t="n">
        <f aca="false">INDEX(Assumptions!$D$119:$F$119,1,H$5)+H13*Assumptions!$D$120</f>
        <v>4237.14089841542</v>
      </c>
      <c r="I22" s="11" t="n">
        <f aca="false">INDEX(Assumptions!$D$119:$F$119,1,I$5)+I13*Assumptions!$D$120</f>
        <v>4272.09177012291</v>
      </c>
      <c r="J22" s="11" t="n">
        <f aca="false">INDEX(Assumptions!$D$119:$F$119,1,J$5)+J13*Assumptions!$D$120</f>
        <v>4298.60532324811</v>
      </c>
      <c r="K22" s="11" t="n">
        <f aca="false">INDEX(Assumptions!$D$119:$F$119,1,K$5)+K13*Assumptions!$D$120</f>
        <v>4326.18795571987</v>
      </c>
      <c r="L22" s="11" t="n">
        <f aca="false">INDEX(Assumptions!$D$119:$F$119,1,L$5)+L13*Assumptions!$D$120</f>
        <v>4397.81986634397</v>
      </c>
      <c r="M22" s="11" t="n">
        <f aca="false">INDEX(Assumptions!$D$119:$F$119,1,M$5)+M13*Assumptions!$D$120</f>
        <v>4572.3836350974</v>
      </c>
      <c r="N22" s="11" t="n">
        <f aca="false">INDEX(Assumptions!$D$119:$F$119,1,N$5)+N13*Assumptions!$D$120</f>
        <v>4766.69746778083</v>
      </c>
      <c r="O22" s="11" t="n">
        <f aca="false">INDEX(Assumptions!$D$119:$F$119,1,O$5)+O13*Assumptions!$D$120</f>
        <v>4855.05350100837</v>
      </c>
      <c r="P22" s="11" t="n">
        <f aca="false">INDEX(Assumptions!$D$119:$F$119,1,P$5)+P13*Assumptions!$D$120</f>
        <v>9985.55243921187</v>
      </c>
      <c r="Q22" s="11" t="n">
        <f aca="false">INDEX(Assumptions!$D$119:$F$119,1,Q$5)+Q13*Assumptions!$D$120</f>
        <v>10075.6623795699</v>
      </c>
      <c r="R22" s="11" t="n">
        <f aca="false">INDEX(Assumptions!$D$119:$F$119,1,R$5)+R13*Assumptions!$D$120</f>
        <v>10392.4038502162</v>
      </c>
      <c r="S22" s="11" t="n">
        <f aca="false">INDEX(Assumptions!$D$119:$F$119,1,S$5)+S13*Assumptions!$D$120</f>
        <v>10595.4753497435</v>
      </c>
      <c r="T22" s="11" t="n">
        <f aca="false">INDEX(Assumptions!$D$119:$F$119,1,T$5)+T13*Assumptions!$D$120</f>
        <v>10792.7807328897</v>
      </c>
      <c r="U22" s="11" t="n">
        <f aca="false">INDEX(Assumptions!$D$119:$F$119,1,U$5)+U13*Assumptions!$D$120</f>
        <v>10920.3942949113</v>
      </c>
      <c r="V22" s="11" t="n">
        <f aca="false">INDEX(Assumptions!$D$119:$F$119,1,V$5)+V13*Assumptions!$D$120</f>
        <v>11097.0794595052</v>
      </c>
      <c r="W22" s="11" t="n">
        <f aca="false">INDEX(Assumptions!$D$119:$F$119,1,W$5)+W13*Assumptions!$D$120</f>
        <v>11279.6828126722</v>
      </c>
      <c r="X22" s="11" t="n">
        <f aca="false">INDEX(Assumptions!$D$119:$F$119,1,X$5)+X13*Assumptions!$D$120</f>
        <v>11629.6375480062</v>
      </c>
      <c r="Y22" s="11" t="n">
        <f aca="false">INDEX(Assumptions!$D$119:$F$119,1,Y$5)+Y13*Assumptions!$D$120</f>
        <v>12329.8894318877</v>
      </c>
      <c r="Z22" s="11" t="n">
        <f aca="false">INDEX(Assumptions!$D$119:$F$119,1,Z$5)+Z13*Assumptions!$D$120</f>
        <v>13137.448519886</v>
      </c>
      <c r="AA22" s="11" t="n">
        <f aca="false">INDEX(Assumptions!$D$119:$F$119,1,AA$5)+AA13*Assumptions!$D$120</f>
        <v>13623.0597973802</v>
      </c>
      <c r="AB22" s="11" t="n">
        <f aca="false">INDEX(Assumptions!$D$119:$F$119,1,AB$5)+AB13*Assumptions!$D$120</f>
        <v>21079.007419854</v>
      </c>
      <c r="AC22" s="11" t="n">
        <f aca="false">INDEX(Assumptions!$D$119:$F$119,1,AC$5)+AC13*Assumptions!$D$120</f>
        <v>21433.3817264959</v>
      </c>
      <c r="AD22" s="11" t="n">
        <f aca="false">INDEX(Assumptions!$D$119:$F$119,1,AD$5)+AD13*Assumptions!$D$120</f>
        <v>22111.5278794774</v>
      </c>
      <c r="AE22" s="11" t="n">
        <f aca="false">INDEX(Assumptions!$D$119:$F$119,1,AE$5)+AE13*Assumptions!$D$120</f>
        <v>22554.2525382236</v>
      </c>
      <c r="AF22" s="11" t="n">
        <f aca="false">INDEX(Assumptions!$D$119:$F$119,1,AF$5)+AF13*Assumptions!$D$120</f>
        <v>22942.3099671174</v>
      </c>
      <c r="AG22" s="11" t="n">
        <f aca="false">INDEX(Assumptions!$D$119:$F$119,1,AG$5)+AG13*Assumptions!$D$120</f>
        <v>23211.3728722012</v>
      </c>
      <c r="AH22" s="11" t="n">
        <f aca="false">INDEX(Assumptions!$D$119:$F$119,1,AH$5)+AH13*Assumptions!$D$120</f>
        <v>23607.0431245514</v>
      </c>
      <c r="AI22" s="11" t="n">
        <f aca="false">INDEX(Assumptions!$D$119:$F$119,1,AI$5)+AI13*Assumptions!$D$120</f>
        <v>24010.4129097602</v>
      </c>
      <c r="AJ22" s="11" t="n">
        <f aca="false">INDEX(Assumptions!$D$119:$F$119,1,AJ$5)+AJ13*Assumptions!$D$120</f>
        <v>24747.3718726359</v>
      </c>
      <c r="AK22" s="11" t="n">
        <f aca="false">INDEX(Assumptions!$D$119:$F$119,1,AK$5)+AK13*Assumptions!$D$120</f>
        <v>26120.3826635654</v>
      </c>
      <c r="AL22" s="11" t="n">
        <f aca="false">INDEX(Assumptions!$D$119:$F$119,1,AL$5)+AL13*Assumptions!$D$120</f>
        <v>27740.6408882261</v>
      </c>
      <c r="AM22" s="11" t="n">
        <f aca="false">INDEX(Assumptions!$D$119:$F$119,1,AM$5)+AM13*Assumptions!$D$120</f>
        <v>28827.0920584717</v>
      </c>
    </row>
    <row r="23" customFormat="false" ht="15" hidden="false" customHeight="true" outlineLevel="0" collapsed="false">
      <c r="A23" s="5" t="s">
        <v>917</v>
      </c>
      <c r="B23" s="10" t="s">
        <v>64</v>
      </c>
      <c r="C23" s="12" t="n">
        <f aca="false">SUM(D23:AM23)</f>
        <v>46596.8677452528</v>
      </c>
      <c r="D23" s="11" t="n">
        <f aca="false">D13*INDEX(Assumptions!$D$121:$F$121,1,D$5)*Assumptions!$D$122*Assumptions!$D$123</f>
        <v>4.4921875</v>
      </c>
      <c r="E23" s="11" t="n">
        <f aca="false">E13*INDEX(Assumptions!$D$121:$F$121,1,E$5)*Assumptions!$D$122*Assumptions!$D$123</f>
        <v>6.9688203125</v>
      </c>
      <c r="F23" s="11" t="n">
        <f aca="false">F13*INDEX(Assumptions!$D$121:$F$121,1,F$5)*Assumptions!$D$122*Assumptions!$D$123</f>
        <v>19.495718203125</v>
      </c>
      <c r="G23" s="11" t="n">
        <f aca="false">G13*INDEX(Assumptions!$D$121:$F$121,1,G$5)*Assumptions!$D$122*Assumptions!$D$123</f>
        <v>26.8874892950521</v>
      </c>
      <c r="H23" s="11" t="n">
        <f aca="false">H13*INDEX(Assumptions!$D$121:$F$121,1,H$5)*Assumptions!$D$122*Assumptions!$D$123</f>
        <v>34.0890041472161</v>
      </c>
      <c r="I23" s="11" t="n">
        <f aca="false">I13*INDEX(Assumptions!$D$121:$F$121,1,I$5)*Assumptions!$D$122*Assumptions!$D$123</f>
        <v>39.1131919551687</v>
      </c>
      <c r="J23" s="11" t="n">
        <f aca="false">J13*INDEX(Assumptions!$D$121:$F$121,1,J$5)*Assumptions!$D$122*Assumptions!$D$123</f>
        <v>42.9245152169152</v>
      </c>
      <c r="K23" s="11" t="n">
        <f aca="false">K13*INDEX(Assumptions!$D$121:$F$121,1,K$5)*Assumptions!$D$122*Assumptions!$D$123</f>
        <v>46.8895186347306</v>
      </c>
      <c r="L23" s="11" t="n">
        <f aca="false">L13*INDEX(Assumptions!$D$121:$F$121,1,L$5)*Assumptions!$D$122*Assumptions!$D$123</f>
        <v>57.1866057869457</v>
      </c>
      <c r="M23" s="11" t="n">
        <f aca="false">M13*INDEX(Assumptions!$D$121:$F$121,1,M$5)*Assumptions!$D$122*Assumptions!$D$123</f>
        <v>82.2801475452506</v>
      </c>
      <c r="N23" s="11" t="n">
        <f aca="false">N13*INDEX(Assumptions!$D$121:$F$121,1,N$5)*Assumptions!$D$122*Assumptions!$D$123</f>
        <v>110.212760993495</v>
      </c>
      <c r="O23" s="11" t="n">
        <f aca="false">O13*INDEX(Assumptions!$D$121:$F$121,1,O$5)*Assumptions!$D$122*Assumptions!$D$123</f>
        <v>122.913940769953</v>
      </c>
      <c r="P23" s="11" t="n">
        <f aca="false">P13*INDEX(Assumptions!$D$121:$F$121,1,P$5)*Assumptions!$D$122*Assumptions!$D$123</f>
        <v>255.01169364607</v>
      </c>
      <c r="Q23" s="11" t="n">
        <f aca="false">Q13*INDEX(Assumptions!$D$121:$F$121,1,Q$5)*Assumptions!$D$122*Assumptions!$D$123</f>
        <v>278.327640713705</v>
      </c>
      <c r="R23" s="11" t="n">
        <f aca="false">R13*INDEX(Assumptions!$D$121:$F$121,1,R$5)*Assumptions!$D$122*Assumptions!$D$123</f>
        <v>360.284496243432</v>
      </c>
      <c r="S23" s="11" t="n">
        <f aca="false">S13*INDEX(Assumptions!$D$121:$F$121,1,S$5)*Assumptions!$D$122*Assumptions!$D$123</f>
        <v>412.829246746127</v>
      </c>
      <c r="T23" s="11" t="n">
        <f aca="false">T13*INDEX(Assumptions!$D$121:$F$121,1,T$5)*Assumptions!$D$122*Assumptions!$D$123</f>
        <v>463.882014635217</v>
      </c>
      <c r="U23" s="11" t="n">
        <f aca="false">U13*INDEX(Assumptions!$D$121:$F$121,1,U$5)*Assumptions!$D$122*Assumptions!$D$123</f>
        <v>496.902023808303</v>
      </c>
      <c r="V23" s="11" t="n">
        <f aca="false">V13*INDEX(Assumptions!$D$121:$F$121,1,V$5)*Assumptions!$D$122*Assumptions!$D$123</f>
        <v>542.619310146973</v>
      </c>
      <c r="W23" s="11" t="n">
        <f aca="false">W13*INDEX(Assumptions!$D$121:$F$121,1,W$5)*Assumptions!$D$122*Assumptions!$D$123</f>
        <v>589.867927778944</v>
      </c>
      <c r="X23" s="11" t="n">
        <f aca="false">X13*INDEX(Assumptions!$D$121:$F$121,1,X$5)*Assumptions!$D$122*Assumptions!$D$123</f>
        <v>680.418715546609</v>
      </c>
      <c r="Y23" s="11" t="n">
        <f aca="false">Y13*INDEX(Assumptions!$D$121:$F$121,1,Y$5)*Assumptions!$D$122*Assumptions!$D$123</f>
        <v>861.608890500955</v>
      </c>
      <c r="Z23" s="11" t="n">
        <f aca="false">Z13*INDEX(Assumptions!$D$121:$F$121,1,Z$5)*Assumptions!$D$122*Assumptions!$D$123</f>
        <v>1070.5648045205</v>
      </c>
      <c r="AA23" s="11" t="n">
        <f aca="false">AA13*INDEX(Assumptions!$D$121:$F$121,1,AA$5)*Assumptions!$D$122*Assumptions!$D$123</f>
        <v>1196.21672257214</v>
      </c>
      <c r="AB23" s="11" t="n">
        <f aca="false">AB13*INDEX(Assumptions!$D$121:$F$121,1,AB$5)*Assumptions!$D$122*Assumptions!$D$123</f>
        <v>2044.30048649125</v>
      </c>
      <c r="AC23" s="11" t="n">
        <f aca="false">AC13*INDEX(Assumptions!$D$121:$F$121,1,AC$5)*Assumptions!$D$122*Assumptions!$D$123</f>
        <v>2186.93614491459</v>
      </c>
      <c r="AD23" s="11" t="n">
        <f aca="false">AD13*INDEX(Assumptions!$D$121:$F$121,1,AD$5)*Assumptions!$D$122*Assumptions!$D$123</f>
        <v>2459.88997148964</v>
      </c>
      <c r="AE23" s="11" t="n">
        <f aca="false">AE13*INDEX(Assumptions!$D$121:$F$121,1,AE$5)*Assumptions!$D$122*Assumptions!$D$123</f>
        <v>2638.086646635</v>
      </c>
      <c r="AF23" s="11" t="n">
        <f aca="false">AF13*INDEX(Assumptions!$D$121:$F$121,1,AF$5)*Assumptions!$D$122*Assumptions!$D$123</f>
        <v>2794.27976176476</v>
      </c>
      <c r="AG23" s="11" t="n">
        <f aca="false">AG13*INDEX(Assumptions!$D$121:$F$121,1,AG$5)*Assumptions!$D$122*Assumptions!$D$123</f>
        <v>2902.57758106096</v>
      </c>
      <c r="AH23" s="11" t="n">
        <f aca="false">AH13*INDEX(Assumptions!$D$121:$F$121,1,AH$5)*Assumptions!$D$122*Assumptions!$D$123</f>
        <v>3061.83485763194</v>
      </c>
      <c r="AI23" s="11" t="n">
        <f aca="false">AI13*INDEX(Assumptions!$D$121:$F$121,1,AI$5)*Assumptions!$D$122*Assumptions!$D$123</f>
        <v>3224.19119617847</v>
      </c>
      <c r="AJ23" s="11" t="n">
        <f aca="false">AJ13*INDEX(Assumptions!$D$121:$F$121,1,AJ$5)*Assumptions!$D$122*Assumptions!$D$123</f>
        <v>3520.81717873596</v>
      </c>
      <c r="AK23" s="11" t="n">
        <f aca="false">AK13*INDEX(Assumptions!$D$121:$F$121,1,AK$5)*Assumptions!$D$122*Assumptions!$D$123</f>
        <v>4073.45402208509</v>
      </c>
      <c r="AL23" s="11" t="n">
        <f aca="false">AL13*INDEX(Assumptions!$D$121:$F$121,1,AL$5)*Assumptions!$D$122*Assumptions!$D$123</f>
        <v>4725.60795751099</v>
      </c>
      <c r="AM23" s="11" t="n">
        <f aca="false">AM13*INDEX(Assumptions!$D$121:$F$121,1,AM$5)*Assumptions!$D$122*Assumptions!$D$123</f>
        <v>5162.90455353484</v>
      </c>
    </row>
    <row r="24" customFormat="false" ht="15" hidden="false" customHeight="true" outlineLevel="0" collapsed="false">
      <c r="A24" s="5" t="s">
        <v>918</v>
      </c>
      <c r="B24" s="10" t="s">
        <v>64</v>
      </c>
      <c r="C24" s="12" t="n">
        <f aca="false">SUM(D24:AM24)</f>
        <v>72209.3835912124</v>
      </c>
      <c r="D24" s="11" t="n">
        <f aca="false">D13*Assumptions!$D$124*Assumptions!$D$125</f>
        <v>17.578125</v>
      </c>
      <c r="E24" s="11" t="n">
        <f aca="false">E13*Assumptions!$D$124*Assumptions!$D$125</f>
        <v>27.269296875</v>
      </c>
      <c r="F24" s="11" t="n">
        <f aca="false">F13*Assumptions!$D$124*Assumptions!$D$125</f>
        <v>76.28759296875</v>
      </c>
      <c r="G24" s="11" t="n">
        <f aca="false">G13*Assumptions!$D$124*Assumptions!$D$125</f>
        <v>105.211914632813</v>
      </c>
      <c r="H24" s="11" t="n">
        <f aca="false">H13*Assumptions!$D$124*Assumptions!$D$125</f>
        <v>133.391755358672</v>
      </c>
      <c r="I24" s="11" t="n">
        <f aca="false">I13*Assumptions!$D$124*Assumptions!$D$125</f>
        <v>153.051620694138</v>
      </c>
      <c r="J24" s="11" t="n">
        <f aca="false">J13*Assumptions!$D$124*Assumptions!$D$125</f>
        <v>167.965494327059</v>
      </c>
      <c r="K24" s="11" t="n">
        <f aca="false">K13*Assumptions!$D$124*Assumptions!$D$125</f>
        <v>183.480725092424</v>
      </c>
      <c r="L24" s="11" t="n">
        <f aca="false">L13*Assumptions!$D$124*Assumptions!$D$125</f>
        <v>223.773674818483</v>
      </c>
      <c r="M24" s="11" t="n">
        <f aca="false">M13*Assumptions!$D$124*Assumptions!$D$125</f>
        <v>321.965794742285</v>
      </c>
      <c r="N24" s="11" t="n">
        <f aca="false">N13*Assumptions!$D$124*Assumptions!$D$125</f>
        <v>431.267325626719</v>
      </c>
      <c r="O24" s="11" t="n">
        <f aca="false">O13*Assumptions!$D$124*Assumptions!$D$125</f>
        <v>480.967594317207</v>
      </c>
      <c r="P24" s="11" t="n">
        <f aca="false">P13*Assumptions!$D$124*Assumptions!$D$125</f>
        <v>554.373247056674</v>
      </c>
      <c r="Q24" s="11" t="n">
        <f aca="false">Q13*Assumptions!$D$124*Assumptions!$D$125</f>
        <v>605.060088508055</v>
      </c>
      <c r="R24" s="11" t="n">
        <f aca="false">R13*Assumptions!$D$124*Assumptions!$D$125</f>
        <v>783.227165746592</v>
      </c>
      <c r="S24" s="11" t="n">
        <f aca="false">S13*Assumptions!$D$124*Assumptions!$D$125</f>
        <v>897.454884230712</v>
      </c>
      <c r="T24" s="11" t="n">
        <f aca="false">T13*Assumptions!$D$124*Assumptions!$D$125</f>
        <v>1008.43916225047</v>
      </c>
      <c r="U24" s="11" t="n">
        <f aca="false">U13*Assumptions!$D$124*Assumptions!$D$125</f>
        <v>1080.22179088762</v>
      </c>
      <c r="V24" s="11" t="n">
        <f aca="false">V13*Assumptions!$D$124*Assumptions!$D$125</f>
        <v>1179.60719597168</v>
      </c>
      <c r="W24" s="11" t="n">
        <f aca="false">W13*Assumptions!$D$124*Assumptions!$D$125</f>
        <v>1282.32158212814</v>
      </c>
      <c r="X24" s="11" t="n">
        <f aca="false">X13*Assumptions!$D$124*Assumptions!$D$125</f>
        <v>1479.1711207535</v>
      </c>
      <c r="Y24" s="11" t="n">
        <f aca="false">Y13*Assumptions!$D$124*Assumptions!$D$125</f>
        <v>1873.06280543686</v>
      </c>
      <c r="Z24" s="11" t="n">
        <f aca="false">Z13*Assumptions!$D$124*Assumptions!$D$125</f>
        <v>2327.31479243587</v>
      </c>
      <c r="AA24" s="11" t="n">
        <f aca="false">AA13*Assumptions!$D$124*Assumptions!$D$125</f>
        <v>2600.47113602639</v>
      </c>
      <c r="AB24" s="11" t="n">
        <f aca="false">AB13*Assumptions!$D$124*Assumptions!$D$125</f>
        <v>2856.94167366789</v>
      </c>
      <c r="AC24" s="11" t="n">
        <f aca="false">AC13*Assumptions!$D$124*Assumptions!$D$125</f>
        <v>3056.27722115393</v>
      </c>
      <c r="AD24" s="11" t="n">
        <f aca="false">AD13*Assumptions!$D$124*Assumptions!$D$125</f>
        <v>3437.73443220601</v>
      </c>
      <c r="AE24" s="11" t="n">
        <f aca="false">AE13*Assumptions!$D$124*Assumptions!$D$125</f>
        <v>3686.76705275078</v>
      </c>
      <c r="AF24" s="11" t="n">
        <f aca="false">AF13*Assumptions!$D$124*Assumptions!$D$125</f>
        <v>3905.04935650355</v>
      </c>
      <c r="AG24" s="11" t="n">
        <f aca="false">AG13*Assumptions!$D$124*Assumptions!$D$125</f>
        <v>4056.39724061315</v>
      </c>
      <c r="AH24" s="11" t="n">
        <f aca="false">AH13*Assumptions!$D$124*Assumptions!$D$125</f>
        <v>4278.96175756016</v>
      </c>
      <c r="AI24" s="11" t="n">
        <f aca="false">AI13*Assumptions!$D$124*Assumptions!$D$125</f>
        <v>4505.85726174009</v>
      </c>
      <c r="AJ24" s="11" t="n">
        <f aca="false">AJ13*Assumptions!$D$124*Assumptions!$D$125</f>
        <v>4920.39667835771</v>
      </c>
      <c r="AK24" s="11" t="n">
        <f aca="false">AK13*Assumptions!$D$124*Assumptions!$D$125</f>
        <v>5692.71524825556</v>
      </c>
      <c r="AL24" s="11" t="n">
        <f aca="false">AL13*Assumptions!$D$124*Assumptions!$D$125</f>
        <v>6604.11049962716</v>
      </c>
      <c r="AM24" s="11" t="n">
        <f aca="false">AM13*Assumptions!$D$124*Assumptions!$D$125</f>
        <v>7215.23928289031</v>
      </c>
    </row>
    <row r="25" customFormat="false" ht="15" hidden="false" customHeight="true" outlineLevel="0" collapsed="false">
      <c r="A25" s="5" t="s">
        <v>919</v>
      </c>
      <c r="B25" s="10" t="s">
        <v>64</v>
      </c>
      <c r="C25" s="12" t="n">
        <f aca="false">SUM(D25:AM25)</f>
        <v>103716.32421734</v>
      </c>
      <c r="D25" s="11" t="n">
        <f aca="false">INDEX(Assumptions!$D$126:$F$126,1,D$5)+D13*Assumptions!$D$127</f>
        <v>809.765625</v>
      </c>
      <c r="E25" s="11" t="n">
        <f aca="false">INDEX(Assumptions!$D$126:$F$126,1,E$5)+E13*Assumptions!$D$127</f>
        <v>815.149609375</v>
      </c>
      <c r="F25" s="11" t="n">
        <f aca="false">INDEX(Assumptions!$D$126:$F$126,1,F$5)+F13*Assumptions!$D$127</f>
        <v>842.38199609375</v>
      </c>
      <c r="G25" s="11" t="n">
        <f aca="false">INDEX(Assumptions!$D$126:$F$126,1,G$5)+G13*Assumptions!$D$127</f>
        <v>858.451063684896</v>
      </c>
      <c r="H25" s="11" t="n">
        <f aca="false">INDEX(Assumptions!$D$126:$F$126,1,H$5)+H13*Assumptions!$D$127</f>
        <v>874.106530754818</v>
      </c>
      <c r="I25" s="11" t="n">
        <f aca="false">INDEX(Assumptions!$D$126:$F$126,1,I$5)+I13*Assumptions!$D$127</f>
        <v>885.02867816341</v>
      </c>
      <c r="J25" s="11" t="n">
        <f aca="false">INDEX(Assumptions!$D$126:$F$126,1,J$5)+J13*Assumptions!$D$127</f>
        <v>893.314163515033</v>
      </c>
      <c r="K25" s="11" t="n">
        <f aca="false">INDEX(Assumptions!$D$126:$F$126,1,K$5)+K13*Assumptions!$D$127</f>
        <v>901.933736162458</v>
      </c>
      <c r="L25" s="11" t="n">
        <f aca="false">INDEX(Assumptions!$D$126:$F$126,1,L$5)+L13*Assumptions!$D$127</f>
        <v>924.318708232491</v>
      </c>
      <c r="M25" s="11" t="n">
        <f aca="false">INDEX(Assumptions!$D$126:$F$126,1,M$5)+M13*Assumptions!$D$127</f>
        <v>978.869885967936</v>
      </c>
      <c r="N25" s="11" t="n">
        <f aca="false">INDEX(Assumptions!$D$126:$F$126,1,N$5)+N13*Assumptions!$D$127</f>
        <v>1039.59295868151</v>
      </c>
      <c r="O25" s="11" t="n">
        <f aca="false">INDEX(Assumptions!$D$126:$F$126,1,O$5)+O13*Assumptions!$D$127</f>
        <v>1067.20421906511</v>
      </c>
      <c r="P25" s="11" t="n">
        <f aca="false">INDEX(Assumptions!$D$126:$F$126,1,P$5)+P13*Assumptions!$D$127</f>
        <v>1807.98513725371</v>
      </c>
      <c r="Q25" s="11" t="n">
        <f aca="false">INDEX(Assumptions!$D$126:$F$126,1,Q$5)+Q13*Assumptions!$D$127</f>
        <v>1836.14449361559</v>
      </c>
      <c r="R25" s="11" t="n">
        <f aca="false">INDEX(Assumptions!$D$126:$F$126,1,R$5)+R13*Assumptions!$D$127</f>
        <v>1935.12620319255</v>
      </c>
      <c r="S25" s="11" t="n">
        <f aca="false">INDEX(Assumptions!$D$126:$F$126,1,S$5)+S13*Assumptions!$D$127</f>
        <v>1998.58604679484</v>
      </c>
      <c r="T25" s="11" t="n">
        <f aca="false">INDEX(Assumptions!$D$126:$F$126,1,T$5)+T13*Assumptions!$D$127</f>
        <v>2060.24397902804</v>
      </c>
      <c r="U25" s="11" t="n">
        <f aca="false">INDEX(Assumptions!$D$126:$F$126,1,U$5)+U13*Assumptions!$D$127</f>
        <v>2100.12321715979</v>
      </c>
      <c r="V25" s="11" t="n">
        <f aca="false">INDEX(Assumptions!$D$126:$F$126,1,V$5)+V13*Assumptions!$D$127</f>
        <v>2155.33733109538</v>
      </c>
      <c r="W25" s="11" t="n">
        <f aca="false">INDEX(Assumptions!$D$126:$F$126,1,W$5)+W13*Assumptions!$D$127</f>
        <v>2212.40087896008</v>
      </c>
      <c r="X25" s="11" t="n">
        <f aca="false">INDEX(Assumptions!$D$126:$F$126,1,X$5)+X13*Assumptions!$D$127</f>
        <v>2321.76173375194</v>
      </c>
      <c r="Y25" s="11" t="n">
        <f aca="false">INDEX(Assumptions!$D$126:$F$126,1,Y$5)+Y13*Assumptions!$D$127</f>
        <v>2540.59044746492</v>
      </c>
      <c r="Z25" s="11" t="n">
        <f aca="false">INDEX(Assumptions!$D$126:$F$126,1,Z$5)+Z13*Assumptions!$D$127</f>
        <v>2792.95266246437</v>
      </c>
      <c r="AA25" s="11" t="n">
        <f aca="false">INDEX(Assumptions!$D$126:$F$126,1,AA$5)+AA13*Assumptions!$D$127</f>
        <v>2944.70618668133</v>
      </c>
      <c r="AB25" s="11" t="n">
        <f aca="false">INDEX(Assumptions!$D$126:$F$126,1,AB$5)+AB13*Assumptions!$D$127</f>
        <v>4587.18981870438</v>
      </c>
      <c r="AC25" s="11" t="n">
        <f aca="false">INDEX(Assumptions!$D$126:$F$126,1,AC$5)+AC13*Assumptions!$D$127</f>
        <v>4697.93178952996</v>
      </c>
      <c r="AD25" s="11" t="n">
        <f aca="false">INDEX(Assumptions!$D$126:$F$126,1,AD$5)+AD13*Assumptions!$D$127</f>
        <v>4909.85246233667</v>
      </c>
      <c r="AE25" s="11" t="n">
        <f aca="false">INDEX(Assumptions!$D$126:$F$126,1,AE$5)+AE13*Assumptions!$D$127</f>
        <v>5048.20391819488</v>
      </c>
      <c r="AF25" s="11" t="n">
        <f aca="false">INDEX(Assumptions!$D$126:$F$126,1,AF$5)+AF13*Assumptions!$D$127</f>
        <v>5169.47186472419</v>
      </c>
      <c r="AG25" s="11" t="n">
        <f aca="false">INDEX(Assumptions!$D$126:$F$126,1,AG$5)+AG13*Assumptions!$D$127</f>
        <v>5253.55402256286</v>
      </c>
      <c r="AH25" s="11" t="n">
        <f aca="false">INDEX(Assumptions!$D$126:$F$126,1,AH$5)+AH13*Assumptions!$D$127</f>
        <v>5377.20097642231</v>
      </c>
      <c r="AI25" s="11" t="n">
        <f aca="false">INDEX(Assumptions!$D$126:$F$126,1,AI$5)+AI13*Assumptions!$D$127</f>
        <v>5503.25403430005</v>
      </c>
      <c r="AJ25" s="11" t="n">
        <f aca="false">INDEX(Assumptions!$D$126:$F$126,1,AJ$5)+AJ13*Assumptions!$D$127</f>
        <v>5733.55371019873</v>
      </c>
      <c r="AK25" s="11" t="n">
        <f aca="false">INDEX(Assumptions!$D$126:$F$126,1,AK$5)+AK13*Assumptions!$D$127</f>
        <v>6162.6195823642</v>
      </c>
      <c r="AL25" s="11" t="n">
        <f aca="false">INDEX(Assumptions!$D$126:$F$126,1,AL$5)+AL13*Assumptions!$D$127</f>
        <v>6668.95027757064</v>
      </c>
      <c r="AM25" s="11" t="n">
        <f aca="false">INDEX(Assumptions!$D$126:$F$126,1,AM$5)+AM13*Assumptions!$D$127</f>
        <v>7008.46626827239</v>
      </c>
    </row>
    <row r="26" customFormat="false" ht="15" hidden="false" customHeight="true" outlineLevel="0" collapsed="false">
      <c r="A26" s="5" t="s">
        <v>920</v>
      </c>
      <c r="B26" s="10" t="s">
        <v>64</v>
      </c>
      <c r="C26" s="12" t="n">
        <f aca="false">SUM(D26:AM26)</f>
        <v>48139.5890608083</v>
      </c>
      <c r="D26" s="11" t="n">
        <f aca="false">D13*Assumptions!$D$128</f>
        <v>11.71875</v>
      </c>
      <c r="E26" s="11" t="n">
        <f aca="false">E13*Assumptions!$D$128</f>
        <v>18.17953125</v>
      </c>
      <c r="F26" s="11" t="n">
        <f aca="false">F13*Assumptions!$D$128</f>
        <v>50.8583953125</v>
      </c>
      <c r="G26" s="11" t="n">
        <f aca="false">G13*Assumptions!$D$128</f>
        <v>70.141276421875</v>
      </c>
      <c r="H26" s="11" t="n">
        <f aca="false">H13*Assumptions!$D$128</f>
        <v>88.9278369057813</v>
      </c>
      <c r="I26" s="11" t="n">
        <f aca="false">I13*Assumptions!$D$128</f>
        <v>102.034413796092</v>
      </c>
      <c r="J26" s="11" t="n">
        <f aca="false">J13*Assumptions!$D$128</f>
        <v>111.97699621804</v>
      </c>
      <c r="K26" s="11" t="n">
        <f aca="false">K13*Assumptions!$D$128</f>
        <v>122.320483394949</v>
      </c>
      <c r="L26" s="11" t="n">
        <f aca="false">L13*Assumptions!$D$128</f>
        <v>149.182449878989</v>
      </c>
      <c r="M26" s="11" t="n">
        <f aca="false">M13*Assumptions!$D$128</f>
        <v>214.643863161523</v>
      </c>
      <c r="N26" s="11" t="n">
        <f aca="false">N13*Assumptions!$D$128</f>
        <v>287.511550417812</v>
      </c>
      <c r="O26" s="11" t="n">
        <f aca="false">O13*Assumptions!$D$128</f>
        <v>320.645062878138</v>
      </c>
      <c r="P26" s="11" t="n">
        <f aca="false">P13*Assumptions!$D$128</f>
        <v>369.58216470445</v>
      </c>
      <c r="Q26" s="11" t="n">
        <f aca="false">Q13*Assumptions!$D$128</f>
        <v>403.373392338703</v>
      </c>
      <c r="R26" s="11" t="n">
        <f aca="false">R13*Assumptions!$D$128</f>
        <v>522.151443831061</v>
      </c>
      <c r="S26" s="11" t="n">
        <f aca="false">S13*Assumptions!$D$128</f>
        <v>598.303256153808</v>
      </c>
      <c r="T26" s="11" t="n">
        <f aca="false">T13*Assumptions!$D$128</f>
        <v>672.292774833648</v>
      </c>
      <c r="U26" s="11" t="n">
        <f aca="false">U13*Assumptions!$D$128</f>
        <v>720.147860591744</v>
      </c>
      <c r="V26" s="11" t="n">
        <f aca="false">V13*Assumptions!$D$128</f>
        <v>786.404797314453</v>
      </c>
      <c r="W26" s="11" t="n">
        <f aca="false">W13*Assumptions!$D$128</f>
        <v>854.881054752092</v>
      </c>
      <c r="X26" s="11" t="n">
        <f aca="false">X13*Assumptions!$D$128</f>
        <v>986.114080502331</v>
      </c>
      <c r="Y26" s="11" t="n">
        <f aca="false">Y13*Assumptions!$D$128</f>
        <v>1248.70853695791</v>
      </c>
      <c r="Z26" s="11" t="n">
        <f aca="false">Z13*Assumptions!$D$128</f>
        <v>1551.54319495725</v>
      </c>
      <c r="AA26" s="11" t="n">
        <f aca="false">AA13*Assumptions!$D$128</f>
        <v>1733.64742401759</v>
      </c>
      <c r="AB26" s="11" t="n">
        <f aca="false">AB13*Assumptions!$D$128</f>
        <v>1904.62778244526</v>
      </c>
      <c r="AC26" s="11" t="n">
        <f aca="false">AC13*Assumptions!$D$128</f>
        <v>2037.51814743595</v>
      </c>
      <c r="AD26" s="11" t="n">
        <f aca="false">AD13*Assumptions!$D$128</f>
        <v>2291.82295480401</v>
      </c>
      <c r="AE26" s="11" t="n">
        <f aca="false">AE13*Assumptions!$D$128</f>
        <v>2457.84470183385</v>
      </c>
      <c r="AF26" s="11" t="n">
        <f aca="false">AF13*Assumptions!$D$128</f>
        <v>2603.36623766903</v>
      </c>
      <c r="AG26" s="11" t="n">
        <f aca="false">AG13*Assumptions!$D$128</f>
        <v>2704.26482707543</v>
      </c>
      <c r="AH26" s="11" t="n">
        <f aca="false">AH13*Assumptions!$D$128</f>
        <v>2852.64117170677</v>
      </c>
      <c r="AI26" s="11" t="n">
        <f aca="false">AI13*Assumptions!$D$128</f>
        <v>3003.90484116006</v>
      </c>
      <c r="AJ26" s="11" t="n">
        <f aca="false">AJ13*Assumptions!$D$128</f>
        <v>3280.26445223847</v>
      </c>
      <c r="AK26" s="11" t="n">
        <f aca="false">AK13*Assumptions!$D$128</f>
        <v>3795.14349883704</v>
      </c>
      <c r="AL26" s="11" t="n">
        <f aca="false">AL13*Assumptions!$D$128</f>
        <v>4402.74033308477</v>
      </c>
      <c r="AM26" s="11" t="n">
        <f aca="false">AM13*Assumptions!$D$128</f>
        <v>4810.15952192687</v>
      </c>
    </row>
    <row r="27" customFormat="false" ht="15" hidden="false" customHeight="true" outlineLevel="0" collapsed="false">
      <c r="A27" s="5" t="s">
        <v>921</v>
      </c>
      <c r="B27" s="10" t="s">
        <v>64</v>
      </c>
      <c r="C27" s="12" t="n">
        <f aca="false">SUM(D27:AM27)</f>
        <v>359539.508666667</v>
      </c>
      <c r="D27" s="11" t="n">
        <f aca="false">D16*Assumptions!$D$129+INDEX(Assumptions!$D$130:$F$130,1,D$5)/12+INDEX(Assumptions!$D$131:$F$131,1,D$5)</f>
        <v>3166.66666666667</v>
      </c>
      <c r="E27" s="11" t="n">
        <f aca="false">E16*Assumptions!$D$129+INDEX(Assumptions!$D$130:$F$130,1,E$5)/12+INDEX(Assumptions!$D$131:$F$131,1,E$5)</f>
        <v>3166.66666666667</v>
      </c>
      <c r="F27" s="11" t="n">
        <f aca="false">F16*Assumptions!$D$129+INDEX(Assumptions!$D$130:$F$130,1,F$5)/12+INDEX(Assumptions!$D$131:$F$131,1,F$5)</f>
        <v>3236.66666666667</v>
      </c>
      <c r="G27" s="11" t="n">
        <f aca="false">G16*Assumptions!$D$129+INDEX(Assumptions!$D$130:$F$130,1,G$5)/12+INDEX(Assumptions!$D$131:$F$131,1,G$5)</f>
        <v>3295</v>
      </c>
      <c r="H27" s="11" t="n">
        <f aca="false">H16*Assumptions!$D$129+INDEX(Assumptions!$D$130:$F$130,1,H$5)/12+INDEX(Assumptions!$D$131:$F$131,1,H$5)</f>
        <v>3417.5</v>
      </c>
      <c r="I27" s="11" t="n">
        <f aca="false">I16*Assumptions!$D$129+INDEX(Assumptions!$D$130:$F$130,1,I$5)/12+INDEX(Assumptions!$D$131:$F$131,1,I$5)</f>
        <v>3548.75</v>
      </c>
      <c r="J27" s="11" t="n">
        <f aca="false">J16*Assumptions!$D$129+INDEX(Assumptions!$D$130:$F$130,1,J$5)/12+INDEX(Assumptions!$D$131:$F$131,1,J$5)</f>
        <v>3738.33333333333</v>
      </c>
      <c r="K27" s="11" t="n">
        <f aca="false">K16*Assumptions!$D$129+INDEX(Assumptions!$D$130:$F$130,1,K$5)/12+INDEX(Assumptions!$D$131:$F$131,1,K$5)</f>
        <v>3954.16666666667</v>
      </c>
      <c r="L27" s="11" t="n">
        <f aca="false">L16*Assumptions!$D$129+INDEX(Assumptions!$D$130:$F$130,1,L$5)/12+INDEX(Assumptions!$D$131:$F$131,1,L$5)</f>
        <v>4170</v>
      </c>
      <c r="M27" s="11" t="n">
        <f aca="false">M16*Assumptions!$D$129+INDEX(Assumptions!$D$130:$F$130,1,M$5)/12+INDEX(Assumptions!$D$131:$F$131,1,M$5)</f>
        <v>4385.83333333333</v>
      </c>
      <c r="N27" s="11" t="n">
        <f aca="false">N16*Assumptions!$D$129+INDEX(Assumptions!$D$130:$F$130,1,N$5)/12+INDEX(Assumptions!$D$131:$F$131,1,N$5)</f>
        <v>4502.5</v>
      </c>
      <c r="O27" s="11" t="n">
        <f aca="false">O16*Assumptions!$D$129+INDEX(Assumptions!$D$130:$F$130,1,O$5)/12+INDEX(Assumptions!$D$131:$F$131,1,O$5)</f>
        <v>4552.08333333333</v>
      </c>
      <c r="P27" s="11" t="n">
        <f aca="false">P16*Assumptions!$D$129+INDEX(Assumptions!$D$130:$F$130,1,P$5)/12+INDEX(Assumptions!$D$131:$F$131,1,P$5)</f>
        <v>6796.25</v>
      </c>
      <c r="Q27" s="11" t="n">
        <f aca="false">Q16*Assumptions!$D$129+INDEX(Assumptions!$D$130:$F$130,1,Q$5)/12+INDEX(Assumptions!$D$131:$F$131,1,Q$5)</f>
        <v>6787.5</v>
      </c>
      <c r="R27" s="11" t="n">
        <f aca="false">R16*Assumptions!$D$129+INDEX(Assumptions!$D$130:$F$130,1,R$5)/12+INDEX(Assumptions!$D$131:$F$131,1,R$5)</f>
        <v>6869.16666666667</v>
      </c>
      <c r="S27" s="11" t="n">
        <f aca="false">S16*Assumptions!$D$129+INDEX(Assumptions!$D$130:$F$130,1,S$5)/12+INDEX(Assumptions!$D$131:$F$131,1,S$5)</f>
        <v>6933.33333333333</v>
      </c>
      <c r="T27" s="11" t="n">
        <f aca="false">T16*Assumptions!$D$129+INDEX(Assumptions!$D$130:$F$130,1,T$5)/12+INDEX(Assumptions!$D$131:$F$131,1,T$5)</f>
        <v>7275.4</v>
      </c>
      <c r="U27" s="11" t="n">
        <f aca="false">U16*Assumptions!$D$129+INDEX(Assumptions!$D$130:$F$130,1,U$5)/12+INDEX(Assumptions!$D$131:$F$131,1,U$5)</f>
        <v>7652.81666666667</v>
      </c>
      <c r="V27" s="11" t="n">
        <f aca="false">V16*Assumptions!$D$129+INDEX(Assumptions!$D$130:$F$130,1,V$5)/12+INDEX(Assumptions!$D$131:$F$131,1,V$5)</f>
        <v>8297.16666666667</v>
      </c>
      <c r="W27" s="11" t="n">
        <f aca="false">W16*Assumptions!$D$129+INDEX(Assumptions!$D$130:$F$130,1,W$5)/12+INDEX(Assumptions!$D$131:$F$131,1,W$5)</f>
        <v>9002.41666666667</v>
      </c>
      <c r="X27" s="11" t="n">
        <f aca="false">X16*Assumptions!$D$129+INDEX(Assumptions!$D$130:$F$130,1,X$5)/12+INDEX(Assumptions!$D$131:$F$131,1,X$5)</f>
        <v>9836.79333333333</v>
      </c>
      <c r="Y27" s="11" t="n">
        <f aca="false">Y16*Assumptions!$D$129+INDEX(Assumptions!$D$130:$F$130,1,Y$5)/12+INDEX(Assumptions!$D$131:$F$131,1,Y$5)</f>
        <v>10711.91</v>
      </c>
      <c r="Z27" s="11" t="n">
        <f aca="false">Z16*Assumptions!$D$129+INDEX(Assumptions!$D$130:$F$130,1,Z$5)/12+INDEX(Assumptions!$D$131:$F$131,1,Z$5)</f>
        <v>11403.0666666667</v>
      </c>
      <c r="AA27" s="11" t="n">
        <f aca="false">AA16*Assumptions!$D$129+INDEX(Assumptions!$D$130:$F$130,1,AA$5)/12+INDEX(Assumptions!$D$131:$F$131,1,AA$5)</f>
        <v>11927.7166666667</v>
      </c>
      <c r="AB27" s="11" t="n">
        <f aca="false">AB16*Assumptions!$D$129+INDEX(Assumptions!$D$130:$F$130,1,AB$5)/12+INDEX(Assumptions!$D$131:$F$131,1,AB$5)</f>
        <v>14135.7233333333</v>
      </c>
      <c r="AC27" s="11" t="n">
        <f aca="false">AC16*Assumptions!$D$129+INDEX(Assumptions!$D$130:$F$130,1,AC$5)/12+INDEX(Assumptions!$D$131:$F$131,1,AC$5)</f>
        <v>14331.35</v>
      </c>
      <c r="AD27" s="11" t="n">
        <f aca="false">AD16*Assumptions!$D$129+INDEX(Assumptions!$D$130:$F$130,1,AD$5)/12+INDEX(Assumptions!$D$131:$F$131,1,AD$5)</f>
        <v>14482.3633333333</v>
      </c>
      <c r="AE27" s="11" t="n">
        <f aca="false">AE16*Assumptions!$D$129+INDEX(Assumptions!$D$130:$F$130,1,AE$5)/12+INDEX(Assumptions!$D$131:$F$131,1,AE$5)</f>
        <v>14609.95</v>
      </c>
      <c r="AF27" s="11" t="n">
        <f aca="false">AF16*Assumptions!$D$129+INDEX(Assumptions!$D$130:$F$130,1,AF$5)/12+INDEX(Assumptions!$D$131:$F$131,1,AF$5)</f>
        <v>15156.902</v>
      </c>
      <c r="AG27" s="11" t="n">
        <f aca="false">AG16*Assumptions!$D$129+INDEX(Assumptions!$D$130:$F$130,1,AG$5)/12+INDEX(Assumptions!$D$131:$F$131,1,AG$5)</f>
        <v>15788.7453333333</v>
      </c>
      <c r="AH27" s="11" t="n">
        <f aca="false">AH16*Assumptions!$D$129+INDEX(Assumptions!$D$130:$F$130,1,AH$5)/12+INDEX(Assumptions!$D$131:$F$131,1,AH$5)</f>
        <v>16897.48</v>
      </c>
      <c r="AI27" s="11" t="n">
        <f aca="false">AI16*Assumptions!$D$129+INDEX(Assumptions!$D$130:$F$130,1,AI$5)/12+INDEX(Assumptions!$D$131:$F$131,1,AI$5)</f>
        <v>18081.3433333333</v>
      </c>
      <c r="AJ27" s="11" t="n">
        <f aca="false">AJ16*Assumptions!$D$129+INDEX(Assumptions!$D$130:$F$130,1,AJ$5)/12+INDEX(Assumptions!$D$131:$F$131,1,AJ$5)</f>
        <v>19602.9333333333</v>
      </c>
      <c r="AK27" s="11" t="n">
        <f aca="false">AK16*Assumptions!$D$129+INDEX(Assumptions!$D$130:$F$130,1,AK$5)/12+INDEX(Assumptions!$D$131:$F$131,1,AK$5)</f>
        <v>21230.4986666667</v>
      </c>
      <c r="AL27" s="11" t="n">
        <f aca="false">AL16*Assumptions!$D$129+INDEX(Assumptions!$D$130:$F$130,1,AL$5)/12+INDEX(Assumptions!$D$131:$F$131,1,AL$5)</f>
        <v>22683.316</v>
      </c>
      <c r="AM27" s="11" t="n">
        <f aca="false">AM16*Assumptions!$D$129+INDEX(Assumptions!$D$130:$F$130,1,AM$5)/12+INDEX(Assumptions!$D$131:$F$131,1,AM$5)</f>
        <v>23911.2</v>
      </c>
    </row>
    <row r="28" customFormat="false" ht="15" hidden="false" customHeight="true" outlineLevel="0" collapsed="false">
      <c r="A28" s="5" t="s">
        <v>922</v>
      </c>
      <c r="B28" s="10" t="s">
        <v>64</v>
      </c>
      <c r="C28" s="12" t="n">
        <f aca="false">SUM(D28:AM28)</f>
        <v>72374.9865235228</v>
      </c>
      <c r="D28" s="11" t="n">
        <f aca="false">Revenue!D35+Assumptions!$D$132*Revenue!D152</f>
        <v>80.623898</v>
      </c>
      <c r="E28" s="11" t="n">
        <f aca="false">Revenue!E35+Assumptions!$D$132*Revenue!E152</f>
        <v>56.9641566174479</v>
      </c>
      <c r="F28" s="11" t="n">
        <f aca="false">Revenue!F35+Assumptions!$D$132*Revenue!F152</f>
        <v>237.635725900385</v>
      </c>
      <c r="G28" s="11" t="n">
        <f aca="false">Revenue!G35+Assumptions!$D$132*Revenue!G152</f>
        <v>183.562086143348</v>
      </c>
      <c r="H28" s="11" t="n">
        <f aca="false">Revenue!H35+Assumptions!$D$132*Revenue!H152</f>
        <v>217.143231101668</v>
      </c>
      <c r="I28" s="11" t="n">
        <f aca="false">Revenue!I35+Assumptions!$D$132*Revenue!I152</f>
        <v>200.985326695101</v>
      </c>
      <c r="J28" s="11" t="n">
        <f aca="false">Revenue!J35+Assumptions!$D$132*Revenue!J152</f>
        <v>206.392803413329</v>
      </c>
      <c r="K28" s="11" t="n">
        <f aca="false">Revenue!K35+Assumptions!$D$132*Revenue!K152</f>
        <v>214.993897515891</v>
      </c>
      <c r="L28" s="11" t="n">
        <f aca="false">Revenue!L35+Assumptions!$D$132*Revenue!L152</f>
        <v>304.663601402318</v>
      </c>
      <c r="M28" s="11" t="n">
        <f aca="false">Revenue!M35+Assumptions!$D$132*Revenue!M152</f>
        <v>525.649423017702</v>
      </c>
      <c r="N28" s="11" t="n">
        <f aca="false">Revenue!N35+Assumptions!$D$132*Revenue!N152</f>
        <v>586.730056329744</v>
      </c>
      <c r="O28" s="11" t="n">
        <f aca="false">Revenue!O35+Assumptions!$D$132*Revenue!O152</f>
        <v>385.023245639997</v>
      </c>
      <c r="P28" s="11" t="n">
        <f aca="false">Revenue!P35+Assumptions!$D$132*Revenue!P152</f>
        <v>716.715962805781</v>
      </c>
      <c r="Q28" s="11" t="n">
        <f aca="false">Revenue!Q35+Assumptions!$D$132*Revenue!Q152</f>
        <v>610.401798175876</v>
      </c>
      <c r="R28" s="11" t="n">
        <f aca="false">Revenue!R35+Assumptions!$D$132*Revenue!R152</f>
        <v>1320.45113897143</v>
      </c>
      <c r="S28" s="11" t="n">
        <f aca="false">Revenue!S35+Assumptions!$D$132*Revenue!S152</f>
        <v>1105.46179512699</v>
      </c>
      <c r="T28" s="11" t="n">
        <f aca="false">Revenue!T35+Assumptions!$D$132*Revenue!T152</f>
        <v>1260.78645579366</v>
      </c>
      <c r="U28" s="11" t="n">
        <f aca="false">Revenue!U35+Assumptions!$D$132*Revenue!U152</f>
        <v>1151.4637671121</v>
      </c>
      <c r="V28" s="11" t="n">
        <f aca="false">Revenue!V35+Assumptions!$D$132*Revenue!V152</f>
        <v>1367.44708100289</v>
      </c>
      <c r="W28" s="11" t="n">
        <f aca="false">Revenue!W35+Assumptions!$D$132*Revenue!W152</f>
        <v>1381.42502435215</v>
      </c>
      <c r="X28" s="11" t="n">
        <f aca="false">Revenue!X35+Assumptions!$D$132*Revenue!X152</f>
        <v>1759.83805303398</v>
      </c>
      <c r="Y28" s="11" t="n">
        <f aca="false">Revenue!Y35+Assumptions!$D$132*Revenue!Y152</f>
        <v>2649.813820915</v>
      </c>
      <c r="Z28" s="11" t="n">
        <f aca="false">Revenue!Z35+Assumptions!$D$132*Revenue!Z152</f>
        <v>3025.81674321391</v>
      </c>
      <c r="AA28" s="11" t="n">
        <f aca="false">Revenue!AA35+Assumptions!$D$132*Revenue!AA152</f>
        <v>2289.4805219851</v>
      </c>
      <c r="AB28" s="11" t="n">
        <f aca="false">Revenue!AB35+Assumptions!$D$132*Revenue!AB152</f>
        <v>2740.81754374624</v>
      </c>
      <c r="AC28" s="11" t="n">
        <f aca="false">Revenue!AC35+Assumptions!$D$132*Revenue!AC152</f>
        <v>2391.68060872683</v>
      </c>
      <c r="AD28" s="11" t="n">
        <f aca="false">Revenue!AD35+Assumptions!$D$132*Revenue!AD152</f>
        <v>3717.92666200791</v>
      </c>
      <c r="AE28" s="11" t="n">
        <f aca="false">Revenue!AE35+Assumptions!$D$132*Revenue!AE152</f>
        <v>3136.29527453987</v>
      </c>
      <c r="AF28" s="11" t="n">
        <f aca="false">Revenue!AF35+Assumptions!$D$132*Revenue!AF152</f>
        <v>3328.761677784</v>
      </c>
      <c r="AG28" s="11" t="n">
        <f aca="false">Revenue!AG35+Assumptions!$D$132*Revenue!AG152</f>
        <v>3060.99751524167</v>
      </c>
      <c r="AH28" s="11" t="n">
        <f aca="false">Revenue!AH35+Assumptions!$D$132*Revenue!AH152</f>
        <v>3658.7881097449</v>
      </c>
      <c r="AI28" s="11" t="n">
        <f aca="false">Revenue!AI35+Assumptions!$D$132*Revenue!AI152</f>
        <v>3658.76239086113</v>
      </c>
      <c r="AJ28" s="11" t="n">
        <f aca="false">Revenue!AJ35+Assumptions!$D$132*Revenue!AJ152</f>
        <v>4586.65983942791</v>
      </c>
      <c r="AK28" s="11" t="n">
        <f aca="false">Revenue!AK35+Assumptions!$D$132*Revenue!AK152</f>
        <v>6574.78801951591</v>
      </c>
      <c r="AL28" s="11" t="n">
        <f aca="false">Revenue!AL35+Assumptions!$D$132*Revenue!AL152</f>
        <v>7598.98043496911</v>
      </c>
      <c r="AM28" s="11" t="n">
        <f aca="false">Revenue!AM35+Assumptions!$D$132*Revenue!AM152</f>
        <v>6081.05883269158</v>
      </c>
    </row>
    <row r="29" customFormat="false" ht="15" hidden="false" customHeight="true" outlineLevel="0" collapsed="false">
      <c r="A29" s="5" t="s">
        <v>923</v>
      </c>
      <c r="B29" s="10" t="s">
        <v>64</v>
      </c>
      <c r="C29" s="12" t="n">
        <f aca="false">SUM(D29:AM29)</f>
        <v>43202.2660519721</v>
      </c>
      <c r="D29" s="11" t="n">
        <f aca="false">Revenue!D128*(Assumptions!$D$113+Assumptions!$D$115)+Revenue!D127*(Assumptions!$D$114+Assumptions!$D$116)</f>
        <v>0</v>
      </c>
      <c r="E29" s="11" t="n">
        <f aca="false">Revenue!E128*(Assumptions!$D$113+Assumptions!$D$115)+Revenue!E127*(Assumptions!$D$114+Assumptions!$D$116)</f>
        <v>0</v>
      </c>
      <c r="F29" s="11" t="n">
        <f aca="false">Revenue!F128*(Assumptions!$D$113+Assumptions!$D$115)+Revenue!F127*(Assumptions!$D$114+Assumptions!$D$116)</f>
        <v>0</v>
      </c>
      <c r="G29" s="11" t="n">
        <f aca="false">Revenue!G128*(Assumptions!$D$113+Assumptions!$D$115)+Revenue!G127*(Assumptions!$D$114+Assumptions!$D$116)</f>
        <v>0</v>
      </c>
      <c r="H29" s="11" t="n">
        <f aca="false">Revenue!H128*(Assumptions!$D$113+Assumptions!$D$115)+Revenue!H127*(Assumptions!$D$114+Assumptions!$D$116)</f>
        <v>0</v>
      </c>
      <c r="I29" s="11" t="n">
        <f aca="false">Revenue!I128*(Assumptions!$D$113+Assumptions!$D$115)+Revenue!I127*(Assumptions!$D$114+Assumptions!$D$116)</f>
        <v>0</v>
      </c>
      <c r="J29" s="11" t="n">
        <f aca="false">Revenue!J128*(Assumptions!$D$113+Assumptions!$D$115)+Revenue!J127*(Assumptions!$D$114+Assumptions!$D$116)</f>
        <v>0</v>
      </c>
      <c r="K29" s="11" t="n">
        <f aca="false">Revenue!K128*(Assumptions!$D$113+Assumptions!$D$115)+Revenue!K127*(Assumptions!$D$114+Assumptions!$D$116)</f>
        <v>0</v>
      </c>
      <c r="L29" s="11" t="n">
        <f aca="false">Revenue!L128*(Assumptions!$D$113+Assumptions!$D$115)+Revenue!L127*(Assumptions!$D$114+Assumptions!$D$116)</f>
        <v>0</v>
      </c>
      <c r="M29" s="11" t="n">
        <f aca="false">Revenue!M128*(Assumptions!$D$113+Assumptions!$D$115)+Revenue!M127*(Assumptions!$D$114+Assumptions!$D$116)</f>
        <v>0</v>
      </c>
      <c r="N29" s="11" t="n">
        <f aca="false">Revenue!N128*(Assumptions!$D$113+Assumptions!$D$115)+Revenue!N127*(Assumptions!$D$114+Assumptions!$D$116)</f>
        <v>0</v>
      </c>
      <c r="O29" s="11" t="n">
        <f aca="false">Revenue!O128*(Assumptions!$D$113+Assumptions!$D$115)+Revenue!O127*(Assumptions!$D$114+Assumptions!$D$116)</f>
        <v>0</v>
      </c>
      <c r="P29" s="11" t="n">
        <f aca="false">Revenue!P128*(Assumptions!$D$113+Assumptions!$D$115)+Revenue!P127*(Assumptions!$D$114+Assumptions!$D$116)</f>
        <v>0</v>
      </c>
      <c r="Q29" s="11" t="n">
        <f aca="false">Revenue!Q128*(Assumptions!$D$113+Assumptions!$D$115)+Revenue!Q127*(Assumptions!$D$114+Assumptions!$D$116)</f>
        <v>0</v>
      </c>
      <c r="R29" s="11" t="n">
        <f aca="false">Revenue!R128*(Assumptions!$D$113+Assumptions!$D$115)+Revenue!R127*(Assumptions!$D$114+Assumptions!$D$116)</f>
        <v>0</v>
      </c>
      <c r="S29" s="11" t="n">
        <f aca="false">Revenue!S128*(Assumptions!$D$113+Assumptions!$D$115)+Revenue!S127*(Assumptions!$D$114+Assumptions!$D$116)</f>
        <v>0</v>
      </c>
      <c r="T29" s="11" t="n">
        <f aca="false">Revenue!T128*(Assumptions!$D$113+Assumptions!$D$115)+Revenue!T127*(Assumptions!$D$114+Assumptions!$D$116)</f>
        <v>0</v>
      </c>
      <c r="U29" s="11" t="n">
        <f aca="false">Revenue!U128*(Assumptions!$D$113+Assumptions!$D$115)+Revenue!U127*(Assumptions!$D$114+Assumptions!$D$116)</f>
        <v>0</v>
      </c>
      <c r="V29" s="11" t="n">
        <f aca="false">Revenue!V128*(Assumptions!$D$113+Assumptions!$D$115)+Revenue!V127*(Assumptions!$D$114+Assumptions!$D$116)</f>
        <v>348.377325210303</v>
      </c>
      <c r="W29" s="11" t="n">
        <f aca="false">Revenue!W128*(Assumptions!$D$113+Assumptions!$D$115)+Revenue!W127*(Assumptions!$D$114+Assumptions!$D$116)</f>
        <v>378.712307255177</v>
      </c>
      <c r="X29" s="11" t="n">
        <f aca="false">Revenue!X128*(Assumptions!$D$113+Assumptions!$D$115)+Revenue!X127*(Assumptions!$D$114+Assumptions!$D$116)</f>
        <v>436.848537662533</v>
      </c>
      <c r="Y29" s="11" t="n">
        <f aca="false">Revenue!Y128*(Assumptions!$D$113+Assumptions!$D$115)+Revenue!Y127*(Assumptions!$D$114+Assumptions!$D$116)</f>
        <v>553.177881872352</v>
      </c>
      <c r="Z29" s="11" t="n">
        <f aca="false">Revenue!Z128*(Assumptions!$D$113+Assumptions!$D$115)+Revenue!Z127*(Assumptions!$D$114+Assumptions!$D$116)</f>
        <v>687.33363536606</v>
      </c>
      <c r="AA29" s="11" t="n">
        <f aca="false">Revenue!AA128*(Assumptions!$D$113+Assumptions!$D$115)+Revenue!AA127*(Assumptions!$D$114+Assumptions!$D$116)</f>
        <v>768.005808839793</v>
      </c>
      <c r="AB29" s="11" t="n">
        <f aca="false">Revenue!AB128*(Assumptions!$D$113+Assumptions!$D$115)+Revenue!AB127*(Assumptions!$D$114+Assumptions!$D$116)</f>
        <v>2109.37526905813</v>
      </c>
      <c r="AC29" s="11" t="n">
        <f aca="false">Revenue!AC128*(Assumptions!$D$113+Assumptions!$D$115)+Revenue!AC127*(Assumptions!$D$114+Assumptions!$D$116)</f>
        <v>2256.55134828532</v>
      </c>
      <c r="AD29" s="11" t="n">
        <f aca="false">Revenue!AD128*(Assumptions!$D$113+Assumptions!$D$115)+Revenue!AD127*(Assumptions!$D$114+Assumptions!$D$116)</f>
        <v>2538.19392244544</v>
      </c>
      <c r="AE29" s="11" t="n">
        <f aca="false">Revenue!AE128*(Assumptions!$D$113+Assumptions!$D$115)+Revenue!AE127*(Assumptions!$D$114+Assumptions!$D$116)</f>
        <v>2722.06300728099</v>
      </c>
      <c r="AF29" s="11" t="n">
        <f aca="false">Revenue!AF128*(Assumptions!$D$113+Assumptions!$D$115)+Revenue!AF127*(Assumptions!$D$114+Assumptions!$D$116)</f>
        <v>2883.22810821845</v>
      </c>
      <c r="AG29" s="11" t="n">
        <f aca="false">Revenue!AG128*(Assumptions!$D$113+Assumptions!$D$115)+Revenue!AG127*(Assumptions!$D$114+Assumptions!$D$116)</f>
        <v>2994.97329598604</v>
      </c>
      <c r="AH29" s="11" t="n">
        <f aca="false">Revenue!AH128*(Assumptions!$D$113+Assumptions!$D$115)+Revenue!AH127*(Assumptions!$D$114+Assumptions!$D$116)</f>
        <v>3159.30009766525</v>
      </c>
      <c r="AI29" s="11" t="n">
        <f aca="false">Revenue!AI128*(Assumptions!$D$113+Assumptions!$D$115)+Revenue!AI127*(Assumptions!$D$114+Assumptions!$D$116)</f>
        <v>3326.82461158477</v>
      </c>
      <c r="AJ29" s="11" t="n">
        <f aca="false">Revenue!AJ128*(Assumptions!$D$113+Assumptions!$D$115)+Revenue!AJ127*(Assumptions!$D$114+Assumptions!$D$116)</f>
        <v>3632.89288085411</v>
      </c>
      <c r="AK29" s="11" t="n">
        <f aca="false">Revenue!AK128*(Assumptions!$D$113+Assumptions!$D$115)+Revenue!AK127*(Assumptions!$D$114+Assumptions!$D$116)</f>
        <v>4203.12142496202</v>
      </c>
      <c r="AL29" s="11" t="n">
        <f aca="false">Revenue!AL128*(Assumptions!$D$113+Assumptions!$D$115)+Revenue!AL127*(Assumptions!$D$114+Assumptions!$D$116)</f>
        <v>4876.03491889139</v>
      </c>
      <c r="AM29" s="11" t="n">
        <f aca="false">Revenue!AM128*(Assumptions!$D$113+Assumptions!$D$115)+Revenue!AM127*(Assumptions!$D$114+Assumptions!$D$116)</f>
        <v>5327.25167053401</v>
      </c>
    </row>
    <row r="30" customFormat="false" ht="15" hidden="false" customHeight="true" outlineLevel="0" collapsed="false">
      <c r="A30" s="5" t="s">
        <v>924</v>
      </c>
      <c r="B30" s="10" t="s">
        <v>64</v>
      </c>
      <c r="C30" s="12" t="n">
        <f aca="false">SUM(D30:AM30)</f>
        <v>206389.541564185</v>
      </c>
      <c r="D30" s="11" t="n">
        <f aca="false">D15*Assumptions!$D$135+INDEX(Assumptions!$D$136:$F$136,1,D$5)</f>
        <v>835.15625</v>
      </c>
      <c r="E30" s="11" t="n">
        <f aca="false">E15*Assumptions!$D$135+INDEX(Assumptions!$D$136:$F$136,1,E$5)</f>
        <v>854.53859375</v>
      </c>
      <c r="F30" s="11" t="n">
        <f aca="false">F15*Assumptions!$D$135+INDEX(Assumptions!$D$136:$F$136,1,F$5)</f>
        <v>952.0126859375</v>
      </c>
      <c r="G30" s="11" t="n">
        <f aca="false">G15*Assumptions!$D$135+INDEX(Assumptions!$D$136:$F$136,1,G$5)</f>
        <v>1009.39257926563</v>
      </c>
      <c r="H30" s="11" t="n">
        <f aca="false">H15*Assumptions!$D$135+INDEX(Assumptions!$D$136:$F$136,1,H$5)</f>
        <v>1063.22101071734</v>
      </c>
      <c r="I30" s="11" t="n">
        <f aca="false">I15*Assumptions!$D$135+INDEX(Assumptions!$D$136:$F$136,1,I$5)</f>
        <v>1100.19699138828</v>
      </c>
      <c r="J30" s="11" t="n">
        <f aca="false">J15*Assumptions!$D$135+INDEX(Assumptions!$D$136:$F$136,1,J$5)</f>
        <v>1126.18098865412</v>
      </c>
      <c r="K30" s="11" t="n">
        <f aca="false">K15*Assumptions!$D$135+INDEX(Assumptions!$D$136:$F$136,1,K$5)</f>
        <v>1152.89895018485</v>
      </c>
      <c r="L30" s="11" t="n">
        <f aca="false">L15*Assumptions!$D$135+INDEX(Assumptions!$D$136:$F$136,1,L$5)</f>
        <v>1221.89734963697</v>
      </c>
      <c r="M30" s="11" t="n">
        <f aca="false">M15*Assumptions!$D$135+INDEX(Assumptions!$D$136:$F$136,1,M$5)</f>
        <v>1407.21908948457</v>
      </c>
      <c r="N30" s="11" t="n">
        <f aca="false">N15*Assumptions!$D$135+INDEX(Assumptions!$D$136:$F$136,1,N$5)</f>
        <v>1610.87840125344</v>
      </c>
      <c r="O30" s="11" t="n">
        <f aca="false">O15*Assumptions!$D$135+INDEX(Assumptions!$D$136:$F$136,1,O$5)</f>
        <v>1695.09143863441</v>
      </c>
      <c r="P30" s="11" t="n">
        <f aca="false">P15*Assumptions!$D$135+INDEX(Assumptions!$D$136:$F$136,1,P$5)</f>
        <v>3024.80274411335</v>
      </c>
      <c r="Q30" s="11" t="n">
        <f aca="false">Q15*Assumptions!$D$135+INDEX(Assumptions!$D$136:$F$136,1,Q$5)</f>
        <v>3108.30767701611</v>
      </c>
      <c r="R30" s="11" t="n">
        <f aca="false">R15*Assumptions!$D$135+INDEX(Assumptions!$D$136:$F$136,1,R$5)</f>
        <v>3444.22308149318</v>
      </c>
      <c r="S30" s="11" t="n">
        <f aca="false">S15*Assumptions!$D$135+INDEX(Assumptions!$D$136:$F$136,1,S$5)</f>
        <v>3652.92539346142</v>
      </c>
      <c r="T30" s="11" t="n">
        <f aca="false">T15*Assumptions!$D$135+INDEX(Assumptions!$D$136:$F$136,1,T$5)</f>
        <v>3849.37137450094</v>
      </c>
      <c r="U30" s="11" t="n">
        <f aca="false">U15*Assumptions!$D$135+INDEX(Assumptions!$D$136:$F$136,1,U$5)</f>
        <v>3974.39438177523</v>
      </c>
      <c r="V30" s="11" t="n">
        <f aca="false">V15*Assumptions!$D$135+INDEX(Assumptions!$D$136:$F$136,1,V$5)</f>
        <v>4128.82039194336</v>
      </c>
      <c r="W30" s="11" t="n">
        <f aca="false">W15*Assumptions!$D$135+INDEX(Assumptions!$D$136:$F$136,1,W$5)</f>
        <v>4288.01466425628</v>
      </c>
      <c r="X30" s="11" t="n">
        <f aca="false">X15*Assumptions!$D$135+INDEX(Assumptions!$D$136:$F$136,1,X$5)</f>
        <v>4604.98010150699</v>
      </c>
      <c r="Y30" s="11" t="n">
        <f aca="false">Y15*Assumptions!$D$135+INDEX(Assumptions!$D$136:$F$136,1,Y$5)</f>
        <v>5311.58632087372</v>
      </c>
      <c r="Z30" s="11" t="n">
        <f aca="false">Z15*Assumptions!$D$135+INDEX(Assumptions!$D$136:$F$136,1,Z$5)</f>
        <v>6114.30580987174</v>
      </c>
      <c r="AA30" s="11" t="n">
        <f aca="false">AA15*Assumptions!$D$135+INDEX(Assumptions!$D$136:$F$136,1,AA$5)</f>
        <v>6550.00032205277</v>
      </c>
      <c r="AB30" s="11" t="n">
        <f aca="false">AB15*Assumptions!$D$135+INDEX(Assumptions!$D$136:$F$136,1,AB$5)</f>
        <v>8952.14818733578</v>
      </c>
      <c r="AC30" s="11" t="n">
        <f aca="false">AC15*Assumptions!$D$135+INDEX(Assumptions!$D$136:$F$136,1,AC$5)</f>
        <v>9248.34654230785</v>
      </c>
      <c r="AD30" s="11" t="n">
        <f aca="false">AD15*Assumptions!$D$135+INDEX(Assumptions!$D$136:$F$136,1,AD$5)</f>
        <v>9924.90614441203</v>
      </c>
      <c r="AE30" s="11" t="n">
        <f aca="false">AE15*Assumptions!$D$135+INDEX(Assumptions!$D$136:$F$136,1,AE$5)</f>
        <v>10349.1418055016</v>
      </c>
      <c r="AF30" s="11" t="n">
        <f aca="false">AF15*Assumptions!$D$135+INDEX(Assumptions!$D$136:$F$136,1,AF$5)</f>
        <v>10715.1107604071</v>
      </c>
      <c r="AG30" s="11" t="n">
        <f aca="false">AG15*Assumptions!$D$135+INDEX(Assumptions!$D$136:$F$136,1,AG$5)</f>
        <v>10959.4115556263</v>
      </c>
      <c r="AH30" s="11" t="n">
        <f aca="false">AH15*Assumptions!$D$135+INDEX(Assumptions!$D$136:$F$136,1,AH$5)</f>
        <v>11290.3172131203</v>
      </c>
      <c r="AI30" s="11" t="n">
        <f aca="false">AI15*Assumptions!$D$135+INDEX(Assumptions!$D$136:$F$136,1,AI$5)</f>
        <v>11627.9430854802</v>
      </c>
      <c r="AJ30" s="11" t="n">
        <f aca="false">AJ15*Assumptions!$D$135+INDEX(Assumptions!$D$136:$F$136,1,AJ$5)</f>
        <v>12276.4229931954</v>
      </c>
      <c r="AK30" s="11" t="n">
        <f aca="false">AK15*Assumptions!$D$135+INDEX(Assumptions!$D$136:$F$136,1,AK$5)</f>
        <v>13625.6742417911</v>
      </c>
      <c r="AL30" s="11" t="n">
        <f aca="false">AL15*Assumptions!$D$135+INDEX(Assumptions!$D$136:$F$136,1,AL$5)</f>
        <v>15193.7137950543</v>
      </c>
      <c r="AM30" s="11" t="n">
        <f aca="false">AM15*Assumptions!$D$135+INDEX(Assumptions!$D$136:$F$136,1,AM$5)</f>
        <v>16145.9886481806</v>
      </c>
    </row>
    <row r="31" customFormat="false" ht="15" hidden="false" customHeight="true" outlineLevel="0" collapsed="false">
      <c r="A31" s="5" t="s">
        <v>925</v>
      </c>
      <c r="B31" s="10" t="s">
        <v>64</v>
      </c>
      <c r="C31" s="12" t="n">
        <f aca="false">SUM(D31:AM31)</f>
        <v>1704047.85714286</v>
      </c>
      <c r="D31" s="11" t="n">
        <f aca="false">D17*Assumptions!$D$202</f>
        <v>0</v>
      </c>
      <c r="E31" s="11" t="n">
        <f aca="false">E17*Assumptions!$D$202</f>
        <v>1395</v>
      </c>
      <c r="F31" s="11" t="n">
        <f aca="false">F17*Assumptions!$D$202</f>
        <v>2557.5</v>
      </c>
      <c r="G31" s="11" t="n">
        <f aca="false">G17*Assumptions!$D$202</f>
        <v>3587.14285714286</v>
      </c>
      <c r="H31" s="11" t="n">
        <f aca="false">H17*Assumptions!$D$202</f>
        <v>5026.42857142857</v>
      </c>
      <c r="I31" s="11" t="n">
        <f aca="false">I17*Assumptions!$D$202</f>
        <v>6355</v>
      </c>
      <c r="J31" s="11" t="n">
        <f aca="false">J17*Assumptions!$D$202</f>
        <v>8026.78571428572</v>
      </c>
      <c r="K31" s="11" t="n">
        <f aca="false">K17*Assumptions!$D$202</f>
        <v>9233.57142857143</v>
      </c>
      <c r="L31" s="11" t="n">
        <f aca="false">L17*Assumptions!$D$202</f>
        <v>9798.21428571429</v>
      </c>
      <c r="M31" s="11" t="n">
        <f aca="false">M17*Assumptions!$D$202</f>
        <v>8159.64285714286</v>
      </c>
      <c r="N31" s="11" t="n">
        <f aca="false">N17*Assumptions!$D$202</f>
        <v>5425</v>
      </c>
      <c r="O31" s="11" t="n">
        <f aca="false">O17*Assumptions!$D$202</f>
        <v>3587.14285714286</v>
      </c>
      <c r="P31" s="11" t="n">
        <f aca="false">P17*Assumptions!$D$202</f>
        <v>3155.35714285714</v>
      </c>
      <c r="Q31" s="11" t="n">
        <f aca="false">Q17*Assumptions!$D$202</f>
        <v>9089.64285714286</v>
      </c>
      <c r="R31" s="11" t="n">
        <f aca="false">R17*Assumptions!$D$202</f>
        <v>13747.0238095238</v>
      </c>
      <c r="S31" s="11" t="n">
        <f aca="false">S17*Assumptions!$D$202</f>
        <v>21663.0952380952</v>
      </c>
      <c r="T31" s="11" t="n">
        <f aca="false">T17*Assumptions!$D$202</f>
        <v>31110.7142857143</v>
      </c>
      <c r="U31" s="11" t="n">
        <f aca="false">U17*Assumptions!$D$202</f>
        <v>41259.5238095238</v>
      </c>
      <c r="V31" s="11" t="n">
        <f aca="false">V17*Assumptions!$D$202</f>
        <v>53807.1428571429</v>
      </c>
      <c r="W31" s="11" t="n">
        <f aca="false">W17*Assumptions!$D$202</f>
        <v>63328.5714285714</v>
      </c>
      <c r="X31" s="11" t="n">
        <f aca="false">X17*Assumptions!$D$202</f>
        <v>70635.7142857143</v>
      </c>
      <c r="Y31" s="11" t="n">
        <f aca="false">Y17*Assumptions!$D$202</f>
        <v>65635.1190476191</v>
      </c>
      <c r="Z31" s="11" t="n">
        <f aca="false">Z17*Assumptions!$D$202</f>
        <v>53880.9523809524</v>
      </c>
      <c r="AA31" s="11" t="n">
        <f aca="false">AA17*Assumptions!$D$202</f>
        <v>41886.9047619048</v>
      </c>
      <c r="AB31" s="11" t="n">
        <f aca="false">AB17*Assumptions!$D$202</f>
        <v>34321.4285714286</v>
      </c>
      <c r="AC31" s="11" t="n">
        <f aca="false">AC17*Assumptions!$D$202</f>
        <v>37820</v>
      </c>
      <c r="AD31" s="11" t="n">
        <f aca="false">AD17*Assumptions!$D$202</f>
        <v>40403.3333333334</v>
      </c>
      <c r="AE31" s="11" t="n">
        <f aca="false">AE17*Assumptions!$D$202</f>
        <v>54792.5</v>
      </c>
      <c r="AF31" s="11" t="n">
        <f aca="false">AF17*Assumptions!$D$202</f>
        <v>73041.9047619048</v>
      </c>
      <c r="AG31" s="11" t="n">
        <f aca="false">AG17*Assumptions!$D$202</f>
        <v>96033.5714285714</v>
      </c>
      <c r="AH31" s="11" t="n">
        <f aca="false">AH17*Assumptions!$D$202</f>
        <v>123889.285714286</v>
      </c>
      <c r="AI31" s="11" t="n">
        <f aca="false">AI17*Assumptions!$D$202</f>
        <v>146630</v>
      </c>
      <c r="AJ31" s="11" t="n">
        <f aca="false">AJ17*Assumptions!$D$202</f>
        <v>165517.857142857</v>
      </c>
      <c r="AK31" s="11" t="n">
        <f aca="false">AK17*Assumptions!$D$202</f>
        <v>157513.214285714</v>
      </c>
      <c r="AL31" s="11" t="n">
        <f aca="false">AL17*Assumptions!$D$202</f>
        <v>134407.142857143</v>
      </c>
      <c r="AM31" s="11" t="n">
        <f aca="false">AM17*Assumptions!$D$202</f>
        <v>107326.428571429</v>
      </c>
    </row>
    <row r="32" customFormat="false" ht="15" hidden="false" customHeight="true" outlineLevel="0" collapsed="false">
      <c r="A32" s="5" t="s">
        <v>926</v>
      </c>
      <c r="B32" s="10" t="s">
        <v>64</v>
      </c>
      <c r="C32" s="12" t="n">
        <f aca="false">SUM(D32:AM32)</f>
        <v>1106621.7</v>
      </c>
      <c r="D32" s="11" t="n">
        <f aca="false">Headcount!D58</f>
        <v>0</v>
      </c>
      <c r="E32" s="11" t="n">
        <f aca="false">Headcount!E58</f>
        <v>0</v>
      </c>
      <c r="F32" s="11" t="n">
        <f aca="false">Headcount!F58</f>
        <v>0</v>
      </c>
      <c r="G32" s="11" t="n">
        <f aca="false">Headcount!G58</f>
        <v>0</v>
      </c>
      <c r="H32" s="11" t="n">
        <f aca="false">Headcount!H58</f>
        <v>0</v>
      </c>
      <c r="I32" s="11" t="n">
        <f aca="false">Headcount!I58</f>
        <v>0</v>
      </c>
      <c r="J32" s="11" t="n">
        <f aca="false">Headcount!J58</f>
        <v>0</v>
      </c>
      <c r="K32" s="11" t="n">
        <f aca="false">Headcount!K58</f>
        <v>0</v>
      </c>
      <c r="L32" s="11" t="n">
        <f aca="false">Headcount!L58</f>
        <v>0</v>
      </c>
      <c r="M32" s="11" t="n">
        <f aca="false">Headcount!M58</f>
        <v>9500</v>
      </c>
      <c r="N32" s="11" t="n">
        <f aca="false">Headcount!N58</f>
        <v>21000</v>
      </c>
      <c r="O32" s="11" t="n">
        <f aca="false">Headcount!O58</f>
        <v>21000</v>
      </c>
      <c r="P32" s="11" t="n">
        <f aca="false">Headcount!P58</f>
        <v>21630</v>
      </c>
      <c r="Q32" s="11" t="n">
        <f aca="false">Headcount!Q58</f>
        <v>21630</v>
      </c>
      <c r="R32" s="11" t="n">
        <f aca="false">Headcount!R58</f>
        <v>21630</v>
      </c>
      <c r="S32" s="11" t="n">
        <f aca="false">Headcount!S58</f>
        <v>21630</v>
      </c>
      <c r="T32" s="11" t="n">
        <f aca="false">Headcount!T58</f>
        <v>30900</v>
      </c>
      <c r="U32" s="11" t="n">
        <f aca="false">Headcount!U58</f>
        <v>30900</v>
      </c>
      <c r="V32" s="11" t="n">
        <f aca="false">Headcount!V58</f>
        <v>42745</v>
      </c>
      <c r="W32" s="11" t="n">
        <f aca="false">Headcount!W58</f>
        <v>42745</v>
      </c>
      <c r="X32" s="11" t="n">
        <f aca="false">Headcount!X58</f>
        <v>42745</v>
      </c>
      <c r="Y32" s="11" t="n">
        <f aca="false">Headcount!Y58</f>
        <v>42745</v>
      </c>
      <c r="Z32" s="11" t="n">
        <f aca="false">Headcount!Z58</f>
        <v>42745</v>
      </c>
      <c r="AA32" s="11" t="n">
        <f aca="false">Headcount!AA58</f>
        <v>42745</v>
      </c>
      <c r="AB32" s="11" t="n">
        <f aca="false">Headcount!AB58</f>
        <v>44027.35</v>
      </c>
      <c r="AC32" s="11" t="n">
        <f aca="false">Headcount!AC58</f>
        <v>44027.35</v>
      </c>
      <c r="AD32" s="11" t="n">
        <f aca="false">Headcount!AD58</f>
        <v>56227.7</v>
      </c>
      <c r="AE32" s="11" t="n">
        <f aca="false">Headcount!AE58</f>
        <v>56227.7</v>
      </c>
      <c r="AF32" s="11" t="n">
        <f aca="false">Headcount!AF58</f>
        <v>56227.7</v>
      </c>
      <c r="AG32" s="11" t="n">
        <f aca="false">Headcount!AG58</f>
        <v>56227.7</v>
      </c>
      <c r="AH32" s="11" t="n">
        <f aca="false">Headcount!AH58</f>
        <v>56227.7</v>
      </c>
      <c r="AI32" s="11" t="n">
        <f aca="false">Headcount!AI58</f>
        <v>56227.7</v>
      </c>
      <c r="AJ32" s="11" t="n">
        <f aca="false">Headcount!AJ58</f>
        <v>56227.7</v>
      </c>
      <c r="AK32" s="11" t="n">
        <f aca="false">Headcount!AK58</f>
        <v>56227.7</v>
      </c>
      <c r="AL32" s="11" t="n">
        <f aca="false">Headcount!AL58</f>
        <v>56227.7</v>
      </c>
      <c r="AM32" s="11" t="n">
        <f aca="false">Headcount!AM58</f>
        <v>56227.7</v>
      </c>
    </row>
    <row r="33" customFormat="false" ht="15" hidden="false" customHeight="true" outlineLevel="0" collapsed="false">
      <c r="A33" s="13" t="s">
        <v>927</v>
      </c>
      <c r="B33" s="14" t="s">
        <v>64</v>
      </c>
      <c r="C33" s="15" t="n">
        <f aca="false">SUM(D33:AM33)</f>
        <v>4646191.99159715</v>
      </c>
      <c r="D33" s="15" t="n">
        <f aca="false">SUM(D21:D32)</f>
        <v>11014.9241021667</v>
      </c>
      <c r="E33" s="15" t="n">
        <f aca="false">SUM(E21:E32)</f>
        <v>12478.9337440466</v>
      </c>
      <c r="F33" s="15" t="n">
        <f aca="false">SUM(F21:F32)</f>
        <v>14360.0881537667</v>
      </c>
      <c r="G33" s="15" t="n">
        <f aca="false">SUM(G21:G32)</f>
        <v>15671.0206856274</v>
      </c>
      <c r="H33" s="15" t="n">
        <f aca="false">SUM(H21:H32)</f>
        <v>17537.2075580388</v>
      </c>
      <c r="I33" s="15" t="n">
        <f aca="false">SUM(I21:I32)</f>
        <v>19170.7763009607</v>
      </c>
      <c r="J33" s="15" t="n">
        <f aca="false">SUM(J21:J32)</f>
        <v>21182.7981621029</v>
      </c>
      <c r="K33" s="15" t="n">
        <f aca="false">SUM(K21:K32)</f>
        <v>22765.2641547207</v>
      </c>
      <c r="L33" s="15" t="n">
        <f aca="false">SUM(L21:L32)</f>
        <v>24024.7088094713</v>
      </c>
      <c r="M33" s="15" t="n">
        <f aca="false">SUM(M21:M32)</f>
        <v>33264.5940110197</v>
      </c>
      <c r="N33" s="15" t="n">
        <f aca="false">SUM(N21:N32)</f>
        <v>43257.2777377267</v>
      </c>
      <c r="O33" s="15" t="n">
        <f aca="false">SUM(O21:O32)</f>
        <v>41749.7666617855</v>
      </c>
      <c r="P33" s="15" t="n">
        <f aca="false">SUM(P21:P32)</f>
        <v>53774.0104001853</v>
      </c>
      <c r="Q33" s="15" t="n">
        <f aca="false">SUM(Q21:Q32)</f>
        <v>60098.5301142884</v>
      </c>
      <c r="R33" s="15" t="n">
        <f aca="false">SUM(R21:R32)</f>
        <v>67303.2110016084</v>
      </c>
      <c r="S33" s="15" t="n">
        <f aca="false">SUM(S21:S32)</f>
        <v>76199.1717965767</v>
      </c>
      <c r="T33" s="15" t="n">
        <f aca="false">SUM(T21:T32)</f>
        <v>96514.8726794681</v>
      </c>
      <c r="U33" s="15" t="n">
        <f aca="false">SUM(U21:U32)</f>
        <v>107648.543348086</v>
      </c>
      <c r="V33" s="15" t="n">
        <f aca="false">SUM(V21:V32)</f>
        <v>134240.433686692</v>
      </c>
      <c r="W33" s="15" t="n">
        <f aca="false">SUM(W21:W32)</f>
        <v>145535.194336725</v>
      </c>
      <c r="X33" s="15" t="n">
        <f aca="false">SUM(X21:X32)</f>
        <v>156063.156502496</v>
      </c>
      <c r="Y33" s="15" t="n">
        <f aca="false">SUM(Y21:Y32)</f>
        <v>156826.753125451</v>
      </c>
      <c r="Z33" s="15" t="n">
        <f aca="false">SUM(Z21:Z32)</f>
        <v>150754.149376898</v>
      </c>
      <c r="AA33" s="15" t="n">
        <f aca="false">SUM(AA21:AA32)</f>
        <v>141338.155653064</v>
      </c>
      <c r="AB33" s="15" t="n">
        <f aca="false">SUM(AB21:AB32)</f>
        <v>155398.673896765</v>
      </c>
      <c r="AC33" s="15" t="n">
        <f aca="false">SUM(AC21:AC32)</f>
        <v>160928.56988808</v>
      </c>
      <c r="AD33" s="15" t="n">
        <f aca="false">SUM(AD21:AD32)</f>
        <v>181345.364739746</v>
      </c>
      <c r="AE33" s="15" t="n">
        <f aca="false">SUM(AE21:AE32)</f>
        <v>198005.193422792</v>
      </c>
      <c r="AF33" s="15" t="n">
        <f aca="false">SUM(AF21:AF32)</f>
        <v>219387.386316211</v>
      </c>
      <c r="AG33" s="15" t="n">
        <f aca="false">SUM(AG21:AG32)</f>
        <v>244412.86676917</v>
      </c>
      <c r="AH33" s="15" t="n">
        <f aca="false">SUM(AH21:AH32)</f>
        <v>276418.93271227</v>
      </c>
      <c r="AI33" s="15" t="n">
        <f aca="false">SUM(AI21:AI32)</f>
        <v>302834.682909027</v>
      </c>
      <c r="AJ33" s="15" t="n">
        <f aca="false">SUM(AJ21:AJ32)</f>
        <v>328697.400809405</v>
      </c>
      <c r="AK33" s="15" t="n">
        <f aca="false">SUM(AK21:AK32)</f>
        <v>332708.24195817</v>
      </c>
      <c r="AL33" s="15" t="n">
        <f aca="false">SUM(AL21:AL32)</f>
        <v>321991.762331929</v>
      </c>
      <c r="AM33" s="15" t="n">
        <f aca="false">SUM(AM21:AM32)</f>
        <v>301289.373740612</v>
      </c>
    </row>
    <row r="35" customFormat="false" ht="15" hidden="false" customHeight="true" outlineLevel="0" collapsed="false">
      <c r="A35" s="8" t="s">
        <v>928</v>
      </c>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row>
    <row r="36" customFormat="false" ht="15" hidden="false" customHeight="true" outlineLevel="0" collapsed="false">
      <c r="A36" s="5" t="s">
        <v>929</v>
      </c>
      <c r="B36" s="10" t="s">
        <v>64</v>
      </c>
      <c r="C36" s="12" t="n">
        <f aca="false">SUM(D36:AM36)</f>
        <v>11248528.2</v>
      </c>
      <c r="D36" s="11" t="n">
        <f aca="false">Headcount!D55</f>
        <v>13000</v>
      </c>
      <c r="E36" s="11" t="n">
        <f aca="false">Headcount!E55</f>
        <v>13000</v>
      </c>
      <c r="F36" s="11" t="n">
        <f aca="false">Headcount!F55</f>
        <v>32500</v>
      </c>
      <c r="G36" s="11" t="n">
        <f aca="false">Headcount!G55</f>
        <v>48000</v>
      </c>
      <c r="H36" s="11" t="n">
        <f aca="false">Headcount!H55</f>
        <v>82000</v>
      </c>
      <c r="I36" s="11" t="n">
        <f aca="false">Headcount!I55</f>
        <v>129500</v>
      </c>
      <c r="J36" s="11" t="n">
        <f aca="false">Headcount!J55</f>
        <v>129500</v>
      </c>
      <c r="K36" s="11" t="n">
        <f aca="false">Headcount!K55</f>
        <v>148500</v>
      </c>
      <c r="L36" s="11" t="n">
        <f aca="false">Headcount!L55</f>
        <v>202500</v>
      </c>
      <c r="M36" s="11" t="n">
        <f aca="false">Headcount!M55</f>
        <v>221500</v>
      </c>
      <c r="N36" s="11" t="n">
        <f aca="false">Headcount!N55</f>
        <v>221500</v>
      </c>
      <c r="O36" s="11" t="n">
        <f aca="false">Headcount!O55</f>
        <v>270500</v>
      </c>
      <c r="P36" s="11" t="n">
        <f aca="false">Headcount!P55</f>
        <v>292520</v>
      </c>
      <c r="Q36" s="11" t="n">
        <f aca="false">Headcount!Q55</f>
        <v>292520</v>
      </c>
      <c r="R36" s="11" t="n">
        <f aca="false">Headcount!R55</f>
        <v>327540</v>
      </c>
      <c r="S36" s="11" t="n">
        <f aca="false">Headcount!S55</f>
        <v>340930</v>
      </c>
      <c r="T36" s="11" t="n">
        <f aca="false">Headcount!T55</f>
        <v>340930</v>
      </c>
      <c r="U36" s="11" t="n">
        <f aca="false">Headcount!U55</f>
        <v>358955</v>
      </c>
      <c r="V36" s="11" t="n">
        <f aca="false">Headcount!V55</f>
        <v>358955</v>
      </c>
      <c r="W36" s="11" t="n">
        <f aca="false">Headcount!W55</f>
        <v>378525</v>
      </c>
      <c r="X36" s="11" t="n">
        <f aca="false">Headcount!X55</f>
        <v>378525</v>
      </c>
      <c r="Y36" s="11" t="n">
        <f aca="false">Headcount!Y55</f>
        <v>378525</v>
      </c>
      <c r="Z36" s="11" t="n">
        <f aca="false">Headcount!Z55</f>
        <v>378525</v>
      </c>
      <c r="AA36" s="11" t="n">
        <f aca="false">Headcount!AA55</f>
        <v>395520</v>
      </c>
      <c r="AB36" s="11" t="n">
        <f aca="false">Headcount!AB55</f>
        <v>428603.6</v>
      </c>
      <c r="AC36" s="11" t="n">
        <f aca="false">Headcount!AC55</f>
        <v>428603.6</v>
      </c>
      <c r="AD36" s="11" t="n">
        <f aca="false">Headcount!AD55</f>
        <v>465735.1</v>
      </c>
      <c r="AE36" s="11" t="n">
        <f aca="false">Headcount!AE55</f>
        <v>465735.1</v>
      </c>
      <c r="AF36" s="11" t="n">
        <f aca="false">Headcount!AF55</f>
        <v>465735.1</v>
      </c>
      <c r="AG36" s="11" t="n">
        <f aca="false">Headcount!AG55</f>
        <v>465735.1</v>
      </c>
      <c r="AH36" s="11" t="n">
        <f aca="false">Headcount!AH55</f>
        <v>465735.1</v>
      </c>
      <c r="AI36" s="11" t="n">
        <f aca="false">Headcount!AI55</f>
        <v>465735.1</v>
      </c>
      <c r="AJ36" s="11" t="n">
        <f aca="false">Headcount!AJ55</f>
        <v>465735.1</v>
      </c>
      <c r="AK36" s="11" t="n">
        <f aca="false">Headcount!AK55</f>
        <v>465735.1</v>
      </c>
      <c r="AL36" s="11" t="n">
        <f aca="false">Headcount!AL55</f>
        <v>465735.1</v>
      </c>
      <c r="AM36" s="11" t="n">
        <f aca="false">Headcount!AM55</f>
        <v>465735.1</v>
      </c>
    </row>
    <row r="37" customFormat="false" ht="15" hidden="false" customHeight="true" outlineLevel="0" collapsed="false">
      <c r="A37" s="5" t="s">
        <v>930</v>
      </c>
      <c r="B37" s="10" t="s">
        <v>64</v>
      </c>
      <c r="C37" s="12" t="n">
        <f aca="false">SUM(D37:AM37)</f>
        <v>3515687.4</v>
      </c>
      <c r="D37" s="11" t="n">
        <f aca="false">Headcount!D56</f>
        <v>0</v>
      </c>
      <c r="E37" s="11" t="n">
        <f aca="false">Headcount!E56</f>
        <v>0</v>
      </c>
      <c r="F37" s="11" t="n">
        <f aca="false">Headcount!F56</f>
        <v>0</v>
      </c>
      <c r="G37" s="11" t="n">
        <f aca="false">Headcount!G56</f>
        <v>0</v>
      </c>
      <c r="H37" s="11" t="n">
        <f aca="false">Headcount!H56</f>
        <v>0</v>
      </c>
      <c r="I37" s="11" t="n">
        <f aca="false">Headcount!I56</f>
        <v>0</v>
      </c>
      <c r="J37" s="11" t="n">
        <f aca="false">Headcount!J56</f>
        <v>0</v>
      </c>
      <c r="K37" s="11" t="n">
        <f aca="false">Headcount!K56</f>
        <v>29000</v>
      </c>
      <c r="L37" s="11" t="n">
        <f aca="false">Headcount!L56</f>
        <v>29000</v>
      </c>
      <c r="M37" s="11" t="n">
        <f aca="false">Headcount!M56</f>
        <v>40000</v>
      </c>
      <c r="N37" s="11" t="n">
        <f aca="false">Headcount!N56</f>
        <v>54000</v>
      </c>
      <c r="O37" s="11" t="n">
        <f aca="false">Headcount!O56</f>
        <v>64000</v>
      </c>
      <c r="P37" s="11" t="n">
        <f aca="false">Headcount!P56</f>
        <v>65920</v>
      </c>
      <c r="Q37" s="11" t="n">
        <f aca="false">Headcount!Q56</f>
        <v>86005</v>
      </c>
      <c r="R37" s="11" t="n">
        <f aca="false">Headcount!R56</f>
        <v>97335</v>
      </c>
      <c r="S37" s="11" t="n">
        <f aca="false">Headcount!S56</f>
        <v>106090</v>
      </c>
      <c r="T37" s="11" t="n">
        <f aca="false">Headcount!T56</f>
        <v>106090</v>
      </c>
      <c r="U37" s="11" t="n">
        <f aca="false">Headcount!U56</f>
        <v>106090</v>
      </c>
      <c r="V37" s="11" t="n">
        <f aca="false">Headcount!V56</f>
        <v>106090</v>
      </c>
      <c r="W37" s="11" t="n">
        <f aca="false">Headcount!W56</f>
        <v>117935</v>
      </c>
      <c r="X37" s="11" t="n">
        <f aca="false">Headcount!X56</f>
        <v>129265</v>
      </c>
      <c r="Y37" s="11" t="n">
        <f aca="false">Headcount!Y56</f>
        <v>143685</v>
      </c>
      <c r="Z37" s="11" t="n">
        <f aca="false">Headcount!Z56</f>
        <v>143685</v>
      </c>
      <c r="AA37" s="11" t="n">
        <f aca="false">Headcount!AA56</f>
        <v>143685</v>
      </c>
      <c r="AB37" s="11" t="n">
        <f aca="false">Headcount!AB56</f>
        <v>147995.55</v>
      </c>
      <c r="AC37" s="11" t="n">
        <f aca="false">Headcount!AC56</f>
        <v>147995.55</v>
      </c>
      <c r="AD37" s="11" t="n">
        <f aca="false">Headcount!AD56</f>
        <v>147995.55</v>
      </c>
      <c r="AE37" s="11" t="n">
        <f aca="false">Headcount!AE56</f>
        <v>167091.75</v>
      </c>
      <c r="AF37" s="11" t="n">
        <f aca="false">Headcount!AF56</f>
        <v>167091.75</v>
      </c>
      <c r="AG37" s="11" t="n">
        <f aca="false">Headcount!AG56</f>
        <v>167091.75</v>
      </c>
      <c r="AH37" s="11" t="n">
        <f aca="false">Headcount!AH56</f>
        <v>167091.75</v>
      </c>
      <c r="AI37" s="11" t="n">
        <f aca="false">Headcount!AI56</f>
        <v>167091.75</v>
      </c>
      <c r="AJ37" s="11" t="n">
        <f aca="false">Headcount!AJ56</f>
        <v>167091.75</v>
      </c>
      <c r="AK37" s="11" t="n">
        <f aca="false">Headcount!AK56</f>
        <v>167091.75</v>
      </c>
      <c r="AL37" s="11" t="n">
        <f aca="false">Headcount!AL56</f>
        <v>167091.75</v>
      </c>
      <c r="AM37" s="11" t="n">
        <f aca="false">Headcount!AM56</f>
        <v>167091.75</v>
      </c>
    </row>
    <row r="38" customFormat="false" ht="15" hidden="false" customHeight="true" outlineLevel="0" collapsed="false">
      <c r="A38" s="5" t="s">
        <v>931</v>
      </c>
      <c r="B38" s="10" t="s">
        <v>64</v>
      </c>
      <c r="C38" s="12" t="n">
        <f aca="false">SUM(D38:AM38)</f>
        <v>1454165.4</v>
      </c>
      <c r="D38" s="11" t="n">
        <f aca="false">Headcount!D57</f>
        <v>9000</v>
      </c>
      <c r="E38" s="11" t="n">
        <f aca="false">Headcount!E57</f>
        <v>9000</v>
      </c>
      <c r="F38" s="11" t="n">
        <f aca="false">Headcount!F57</f>
        <v>9000</v>
      </c>
      <c r="G38" s="11" t="n">
        <f aca="false">Headcount!G57</f>
        <v>9000</v>
      </c>
      <c r="H38" s="11" t="n">
        <f aca="false">Headcount!H57</f>
        <v>9000</v>
      </c>
      <c r="I38" s="11" t="n">
        <f aca="false">Headcount!I57</f>
        <v>9000</v>
      </c>
      <c r="J38" s="11" t="n">
        <f aca="false">Headcount!J57</f>
        <v>9000</v>
      </c>
      <c r="K38" s="11" t="n">
        <f aca="false">Headcount!K57</f>
        <v>9000</v>
      </c>
      <c r="L38" s="11" t="n">
        <f aca="false">Headcount!L57</f>
        <v>9000</v>
      </c>
      <c r="M38" s="11" t="n">
        <f aca="false">Headcount!M57</f>
        <v>23000</v>
      </c>
      <c r="N38" s="11" t="n">
        <f aca="false">Headcount!N57</f>
        <v>23000</v>
      </c>
      <c r="O38" s="11" t="n">
        <f aca="false">Headcount!O57</f>
        <v>23000</v>
      </c>
      <c r="P38" s="11" t="n">
        <f aca="false">Headcount!P57</f>
        <v>37595</v>
      </c>
      <c r="Q38" s="11" t="n">
        <f aca="false">Headcount!Q57</f>
        <v>37595</v>
      </c>
      <c r="R38" s="11" t="n">
        <f aca="false">Headcount!R57</f>
        <v>37595</v>
      </c>
      <c r="S38" s="11" t="n">
        <f aca="false">Headcount!S57</f>
        <v>37595</v>
      </c>
      <c r="T38" s="11" t="n">
        <f aca="false">Headcount!T57</f>
        <v>37595</v>
      </c>
      <c r="U38" s="11" t="n">
        <f aca="false">Headcount!U57</f>
        <v>37595</v>
      </c>
      <c r="V38" s="11" t="n">
        <f aca="false">Headcount!V57</f>
        <v>37595</v>
      </c>
      <c r="W38" s="11" t="n">
        <f aca="false">Headcount!W57</f>
        <v>37595</v>
      </c>
      <c r="X38" s="11" t="n">
        <f aca="false">Headcount!X57</f>
        <v>37595</v>
      </c>
      <c r="Y38" s="11" t="n">
        <f aca="false">Headcount!Y57</f>
        <v>49440</v>
      </c>
      <c r="Z38" s="11" t="n">
        <f aca="false">Headcount!Z57</f>
        <v>49440</v>
      </c>
      <c r="AA38" s="11" t="n">
        <f aca="false">Headcount!AA57</f>
        <v>64890</v>
      </c>
      <c r="AB38" s="11" t="n">
        <f aca="false">Headcount!AB57</f>
        <v>66836.7</v>
      </c>
      <c r="AC38" s="11" t="n">
        <f aca="false">Headcount!AC57</f>
        <v>66836.7</v>
      </c>
      <c r="AD38" s="11" t="n">
        <f aca="false">Headcount!AD57</f>
        <v>66836.7</v>
      </c>
      <c r="AE38" s="11" t="n">
        <f aca="false">Headcount!AE57</f>
        <v>66836.7</v>
      </c>
      <c r="AF38" s="11" t="n">
        <f aca="false">Headcount!AF57</f>
        <v>66836.7</v>
      </c>
      <c r="AG38" s="11" t="n">
        <f aca="false">Headcount!AG57</f>
        <v>66836.7</v>
      </c>
      <c r="AH38" s="11" t="n">
        <f aca="false">Headcount!AH57</f>
        <v>66836.7</v>
      </c>
      <c r="AI38" s="11" t="n">
        <f aca="false">Headcount!AI57</f>
        <v>66836.7</v>
      </c>
      <c r="AJ38" s="11" t="n">
        <f aca="false">Headcount!AJ57</f>
        <v>66836.7</v>
      </c>
      <c r="AK38" s="11" t="n">
        <f aca="false">Headcount!AK57</f>
        <v>66836.7</v>
      </c>
      <c r="AL38" s="11" t="n">
        <f aca="false">Headcount!AL57</f>
        <v>66836.7</v>
      </c>
      <c r="AM38" s="11" t="n">
        <f aca="false">Headcount!AM57</f>
        <v>66836.7</v>
      </c>
    </row>
    <row r="39" customFormat="false" ht="15" hidden="false" customHeight="true" outlineLevel="0" collapsed="false">
      <c r="A39" s="5" t="s">
        <v>932</v>
      </c>
      <c r="B39" s="10" t="s">
        <v>64</v>
      </c>
      <c r="C39" s="12" t="n">
        <f aca="false">SUM(D39:AM39)</f>
        <v>270000</v>
      </c>
      <c r="D39" s="11" t="n">
        <f aca="false">Revenue!D11</f>
        <v>1250</v>
      </c>
      <c r="E39" s="11" t="n">
        <f aca="false">Revenue!E11</f>
        <v>750</v>
      </c>
      <c r="F39" s="11" t="n">
        <f aca="false">Revenue!F11</f>
        <v>3500</v>
      </c>
      <c r="G39" s="11" t="n">
        <f aca="false">Revenue!G11</f>
        <v>2250</v>
      </c>
      <c r="H39" s="11" t="n">
        <f aca="false">Revenue!H11</f>
        <v>2000</v>
      </c>
      <c r="I39" s="11" t="n">
        <f aca="false">Revenue!I11</f>
        <v>1500</v>
      </c>
      <c r="J39" s="11" t="n">
        <f aca="false">Revenue!J11</f>
        <v>1000</v>
      </c>
      <c r="K39" s="11" t="n">
        <f aca="false">Revenue!K11</f>
        <v>1000</v>
      </c>
      <c r="L39" s="11" t="n">
        <f aca="false">Revenue!L11</f>
        <v>1750</v>
      </c>
      <c r="M39" s="11" t="n">
        <f aca="false">Revenue!M11</f>
        <v>6000</v>
      </c>
      <c r="N39" s="11" t="n">
        <f aca="false">Revenue!N11</f>
        <v>6500</v>
      </c>
      <c r="O39" s="11" t="n">
        <f aca="false">Revenue!O11</f>
        <v>2500</v>
      </c>
      <c r="P39" s="11" t="n">
        <f aca="false">Revenue!P11</f>
        <v>3750</v>
      </c>
      <c r="Q39" s="11" t="n">
        <f aca="false">Revenue!Q11</f>
        <v>2250</v>
      </c>
      <c r="R39" s="11" t="n">
        <f aca="false">Revenue!R11</f>
        <v>10500</v>
      </c>
      <c r="S39" s="11" t="n">
        <f aca="false">Revenue!S11</f>
        <v>6750</v>
      </c>
      <c r="T39" s="11" t="n">
        <f aca="false">Revenue!T11</f>
        <v>6000</v>
      </c>
      <c r="U39" s="11" t="n">
        <f aca="false">Revenue!U11</f>
        <v>4500</v>
      </c>
      <c r="V39" s="11" t="n">
        <f aca="false">Revenue!V11</f>
        <v>3000</v>
      </c>
      <c r="W39" s="11" t="n">
        <f aca="false">Revenue!W11</f>
        <v>3000</v>
      </c>
      <c r="X39" s="11" t="n">
        <f aca="false">Revenue!X11</f>
        <v>5250</v>
      </c>
      <c r="Y39" s="11" t="n">
        <f aca="false">Revenue!Y11</f>
        <v>18000</v>
      </c>
      <c r="Z39" s="11" t="n">
        <f aca="false">Revenue!Z11</f>
        <v>19500</v>
      </c>
      <c r="AA39" s="11" t="n">
        <f aca="false">Revenue!AA11</f>
        <v>7500</v>
      </c>
      <c r="AB39" s="11" t="n">
        <f aca="false">Revenue!AB11</f>
        <v>6250</v>
      </c>
      <c r="AC39" s="11" t="n">
        <f aca="false">Revenue!AC11</f>
        <v>3750</v>
      </c>
      <c r="AD39" s="11" t="n">
        <f aca="false">Revenue!AD11</f>
        <v>17500</v>
      </c>
      <c r="AE39" s="11" t="n">
        <f aca="false">Revenue!AE11</f>
        <v>11250</v>
      </c>
      <c r="AF39" s="11" t="n">
        <f aca="false">Revenue!AF11</f>
        <v>10000</v>
      </c>
      <c r="AG39" s="11" t="n">
        <f aca="false">Revenue!AG11</f>
        <v>7500</v>
      </c>
      <c r="AH39" s="11" t="n">
        <f aca="false">Revenue!AH11</f>
        <v>5000</v>
      </c>
      <c r="AI39" s="11" t="n">
        <f aca="false">Revenue!AI11</f>
        <v>5000</v>
      </c>
      <c r="AJ39" s="11" t="n">
        <f aca="false">Revenue!AJ11</f>
        <v>8750</v>
      </c>
      <c r="AK39" s="11" t="n">
        <f aca="false">Revenue!AK11</f>
        <v>30000</v>
      </c>
      <c r="AL39" s="11" t="n">
        <f aca="false">Revenue!AL11</f>
        <v>32500</v>
      </c>
      <c r="AM39" s="11" t="n">
        <f aca="false">Revenue!AM11</f>
        <v>12500</v>
      </c>
    </row>
    <row r="40" customFormat="false" ht="15" hidden="false" customHeight="true" outlineLevel="0" collapsed="false">
      <c r="A40" s="5" t="s">
        <v>933</v>
      </c>
      <c r="B40" s="10" t="s">
        <v>64</v>
      </c>
      <c r="C40" s="12" t="n">
        <f aca="false">SUM(D40:AM40)</f>
        <v>930000</v>
      </c>
      <c r="D40" s="11" t="n">
        <f aca="false">(INDEX(Assumptions!$D$139:$F$139,1,D$5)+INDEX(Assumptions!$D$140:$F$140,1,D$5))/12</f>
        <v>9166.66666666667</v>
      </c>
      <c r="E40" s="11" t="n">
        <f aca="false">(INDEX(Assumptions!$D$139:$F$139,1,E$5)+INDEX(Assumptions!$D$140:$F$140,1,E$5))/12</f>
        <v>9166.66666666667</v>
      </c>
      <c r="F40" s="11" t="n">
        <f aca="false">(INDEX(Assumptions!$D$139:$F$139,1,F$5)+INDEX(Assumptions!$D$140:$F$140,1,F$5))/12</f>
        <v>9166.66666666667</v>
      </c>
      <c r="G40" s="11" t="n">
        <f aca="false">(INDEX(Assumptions!$D$139:$F$139,1,G$5)+INDEX(Assumptions!$D$140:$F$140,1,G$5))/12</f>
        <v>9166.66666666667</v>
      </c>
      <c r="H40" s="11" t="n">
        <f aca="false">(INDEX(Assumptions!$D$139:$F$139,1,H$5)+INDEX(Assumptions!$D$140:$F$140,1,H$5))/12</f>
        <v>9166.66666666667</v>
      </c>
      <c r="I40" s="11" t="n">
        <f aca="false">(INDEX(Assumptions!$D$139:$F$139,1,I$5)+INDEX(Assumptions!$D$140:$F$140,1,I$5))/12</f>
        <v>9166.66666666667</v>
      </c>
      <c r="J40" s="11" t="n">
        <f aca="false">(INDEX(Assumptions!$D$139:$F$139,1,J$5)+INDEX(Assumptions!$D$140:$F$140,1,J$5))/12</f>
        <v>9166.66666666667</v>
      </c>
      <c r="K40" s="11" t="n">
        <f aca="false">(INDEX(Assumptions!$D$139:$F$139,1,K$5)+INDEX(Assumptions!$D$140:$F$140,1,K$5))/12</f>
        <v>9166.66666666667</v>
      </c>
      <c r="L40" s="11" t="n">
        <f aca="false">(INDEX(Assumptions!$D$139:$F$139,1,L$5)+INDEX(Assumptions!$D$140:$F$140,1,L$5))/12</f>
        <v>9166.66666666667</v>
      </c>
      <c r="M40" s="11" t="n">
        <f aca="false">(INDEX(Assumptions!$D$139:$F$139,1,M$5)+INDEX(Assumptions!$D$140:$F$140,1,M$5))/12</f>
        <v>9166.66666666667</v>
      </c>
      <c r="N40" s="11" t="n">
        <f aca="false">(INDEX(Assumptions!$D$139:$F$139,1,N$5)+INDEX(Assumptions!$D$140:$F$140,1,N$5))/12</f>
        <v>9166.66666666667</v>
      </c>
      <c r="O40" s="11" t="n">
        <f aca="false">(INDEX(Assumptions!$D$139:$F$139,1,O$5)+INDEX(Assumptions!$D$140:$F$140,1,O$5))/12</f>
        <v>9166.66666666667</v>
      </c>
      <c r="P40" s="11" t="n">
        <f aca="false">(INDEX(Assumptions!$D$139:$F$139,1,P$5)+INDEX(Assumptions!$D$140:$F$140,1,P$5))/12</f>
        <v>25000</v>
      </c>
      <c r="Q40" s="11" t="n">
        <f aca="false">(INDEX(Assumptions!$D$139:$F$139,1,Q$5)+INDEX(Assumptions!$D$140:$F$140,1,Q$5))/12</f>
        <v>25000</v>
      </c>
      <c r="R40" s="11" t="n">
        <f aca="false">(INDEX(Assumptions!$D$139:$F$139,1,R$5)+INDEX(Assumptions!$D$140:$F$140,1,R$5))/12</f>
        <v>25000</v>
      </c>
      <c r="S40" s="11" t="n">
        <f aca="false">(INDEX(Assumptions!$D$139:$F$139,1,S$5)+INDEX(Assumptions!$D$140:$F$140,1,S$5))/12</f>
        <v>25000</v>
      </c>
      <c r="T40" s="11" t="n">
        <f aca="false">(INDEX(Assumptions!$D$139:$F$139,1,T$5)+INDEX(Assumptions!$D$140:$F$140,1,T$5))/12</f>
        <v>25000</v>
      </c>
      <c r="U40" s="11" t="n">
        <f aca="false">(INDEX(Assumptions!$D$139:$F$139,1,U$5)+INDEX(Assumptions!$D$140:$F$140,1,U$5))/12</f>
        <v>25000</v>
      </c>
      <c r="V40" s="11" t="n">
        <f aca="false">(INDEX(Assumptions!$D$139:$F$139,1,V$5)+INDEX(Assumptions!$D$140:$F$140,1,V$5))/12</f>
        <v>25000</v>
      </c>
      <c r="W40" s="11" t="n">
        <f aca="false">(INDEX(Assumptions!$D$139:$F$139,1,W$5)+INDEX(Assumptions!$D$140:$F$140,1,W$5))/12</f>
        <v>25000</v>
      </c>
      <c r="X40" s="11" t="n">
        <f aca="false">(INDEX(Assumptions!$D$139:$F$139,1,X$5)+INDEX(Assumptions!$D$140:$F$140,1,X$5))/12</f>
        <v>25000</v>
      </c>
      <c r="Y40" s="11" t="n">
        <f aca="false">(INDEX(Assumptions!$D$139:$F$139,1,Y$5)+INDEX(Assumptions!$D$140:$F$140,1,Y$5))/12</f>
        <v>25000</v>
      </c>
      <c r="Z40" s="11" t="n">
        <f aca="false">(INDEX(Assumptions!$D$139:$F$139,1,Z$5)+INDEX(Assumptions!$D$140:$F$140,1,Z$5))/12</f>
        <v>25000</v>
      </c>
      <c r="AA40" s="11" t="n">
        <f aca="false">(INDEX(Assumptions!$D$139:$F$139,1,AA$5)+INDEX(Assumptions!$D$140:$F$140,1,AA$5))/12</f>
        <v>25000</v>
      </c>
      <c r="AB40" s="11" t="n">
        <f aca="false">(INDEX(Assumptions!$D$139:$F$139,1,AB$5)+INDEX(Assumptions!$D$140:$F$140,1,AB$5))/12</f>
        <v>43333.3333333333</v>
      </c>
      <c r="AC40" s="11" t="n">
        <f aca="false">(INDEX(Assumptions!$D$139:$F$139,1,AC$5)+INDEX(Assumptions!$D$140:$F$140,1,AC$5))/12</f>
        <v>43333.3333333333</v>
      </c>
      <c r="AD40" s="11" t="n">
        <f aca="false">(INDEX(Assumptions!$D$139:$F$139,1,AD$5)+INDEX(Assumptions!$D$140:$F$140,1,AD$5))/12</f>
        <v>43333.3333333333</v>
      </c>
      <c r="AE40" s="11" t="n">
        <f aca="false">(INDEX(Assumptions!$D$139:$F$139,1,AE$5)+INDEX(Assumptions!$D$140:$F$140,1,AE$5))/12</f>
        <v>43333.3333333333</v>
      </c>
      <c r="AF40" s="11" t="n">
        <f aca="false">(INDEX(Assumptions!$D$139:$F$139,1,AF$5)+INDEX(Assumptions!$D$140:$F$140,1,AF$5))/12</f>
        <v>43333.3333333333</v>
      </c>
      <c r="AG40" s="11" t="n">
        <f aca="false">(INDEX(Assumptions!$D$139:$F$139,1,AG$5)+INDEX(Assumptions!$D$140:$F$140,1,AG$5))/12</f>
        <v>43333.3333333333</v>
      </c>
      <c r="AH40" s="11" t="n">
        <f aca="false">(INDEX(Assumptions!$D$139:$F$139,1,AH$5)+INDEX(Assumptions!$D$140:$F$140,1,AH$5))/12</f>
        <v>43333.3333333333</v>
      </c>
      <c r="AI40" s="11" t="n">
        <f aca="false">(INDEX(Assumptions!$D$139:$F$139,1,AI$5)+INDEX(Assumptions!$D$140:$F$140,1,AI$5))/12</f>
        <v>43333.3333333333</v>
      </c>
      <c r="AJ40" s="11" t="n">
        <f aca="false">(INDEX(Assumptions!$D$139:$F$139,1,AJ$5)+INDEX(Assumptions!$D$140:$F$140,1,AJ$5))/12</f>
        <v>43333.3333333333</v>
      </c>
      <c r="AK40" s="11" t="n">
        <f aca="false">(INDEX(Assumptions!$D$139:$F$139,1,AK$5)+INDEX(Assumptions!$D$140:$F$140,1,AK$5))/12</f>
        <v>43333.3333333333</v>
      </c>
      <c r="AL40" s="11" t="n">
        <f aca="false">(INDEX(Assumptions!$D$139:$F$139,1,AL$5)+INDEX(Assumptions!$D$140:$F$140,1,AL$5))/12</f>
        <v>43333.3333333333</v>
      </c>
      <c r="AM40" s="11" t="n">
        <f aca="false">(INDEX(Assumptions!$D$139:$F$139,1,AM$5)+INDEX(Assumptions!$D$140:$F$140,1,AM$5))/12</f>
        <v>43333.3333333333</v>
      </c>
    </row>
    <row r="41" customFormat="false" ht="15" hidden="false" customHeight="true" outlineLevel="0" collapsed="false">
      <c r="A41" s="5" t="s">
        <v>934</v>
      </c>
      <c r="B41" s="10" t="s">
        <v>64</v>
      </c>
      <c r="C41" s="12" t="n">
        <f aca="false">SUM(D41:AM41)</f>
        <v>309000</v>
      </c>
      <c r="D41" s="11" t="n">
        <f aca="false">Assumptions!$D$68*(Revenue!D48*Assumptions!$D$204+Revenue!D54*Assumptions!$D$206)</f>
        <v>250</v>
      </c>
      <c r="E41" s="11" t="n">
        <f aca="false">Assumptions!$D$68*(Revenue!E48*Assumptions!$D$204+Revenue!E54*Assumptions!$D$206)</f>
        <v>208.333333333333</v>
      </c>
      <c r="F41" s="11" t="n">
        <f aca="false">Assumptions!$D$68*(Revenue!F48*Assumptions!$D$204+Revenue!F54*Assumptions!$D$206)</f>
        <v>375</v>
      </c>
      <c r="G41" s="11" t="n">
        <f aca="false">Assumptions!$D$68*(Revenue!G48*Assumptions!$D$204+Revenue!G54*Assumptions!$D$206)</f>
        <v>416.666666666667</v>
      </c>
      <c r="H41" s="11" t="n">
        <f aca="false">Assumptions!$D$68*(Revenue!H48*Assumptions!$D$204+Revenue!H54*Assumptions!$D$206)</f>
        <v>583.333333333333</v>
      </c>
      <c r="I41" s="11" t="n">
        <f aca="false">Assumptions!$D$68*(Revenue!I48*Assumptions!$D$204+Revenue!I54*Assumptions!$D$206)</f>
        <v>666.666666666667</v>
      </c>
      <c r="J41" s="11" t="n">
        <f aca="false">Assumptions!$D$68*(Revenue!J48*Assumptions!$D$204+Revenue!J54*Assumptions!$D$206)</f>
        <v>750</v>
      </c>
      <c r="K41" s="11" t="n">
        <f aca="false">Assumptions!$D$68*(Revenue!K48*Assumptions!$D$204+Revenue!K54*Assumptions!$D$206)</f>
        <v>708.333333333333</v>
      </c>
      <c r="L41" s="11" t="n">
        <f aca="false">Assumptions!$D$68*(Revenue!L48*Assumptions!$D$204+Revenue!L54*Assumptions!$D$206)</f>
        <v>416.666666666667</v>
      </c>
      <c r="M41" s="11" t="n">
        <f aca="false">Assumptions!$D$68*(Revenue!M48*Assumptions!$D$204+Revenue!M54*Assumptions!$D$206)</f>
        <v>208.333333333333</v>
      </c>
      <c r="N41" s="11" t="n">
        <f aca="false">Assumptions!$D$68*(Revenue!N48*Assumptions!$D$204+Revenue!N54*Assumptions!$D$206)</f>
        <v>166.666666666667</v>
      </c>
      <c r="O41" s="11" t="n">
        <f aca="false">Assumptions!$D$68*(Revenue!O48*Assumptions!$D$204+Revenue!O54*Assumptions!$D$206)</f>
        <v>250</v>
      </c>
      <c r="P41" s="11" t="n">
        <f aca="false">Assumptions!$D$68*(Revenue!P48*Assumptions!$D$204+Revenue!P54*Assumptions!$D$206)</f>
        <v>4175</v>
      </c>
      <c r="Q41" s="11" t="n">
        <f aca="false">Assumptions!$D$68*(Revenue!Q48*Assumptions!$D$204+Revenue!Q54*Assumptions!$D$206)</f>
        <v>3479.16666666667</v>
      </c>
      <c r="R41" s="11" t="n">
        <f aca="false">Assumptions!$D$68*(Revenue!R48*Assumptions!$D$204+Revenue!R54*Assumptions!$D$206)</f>
        <v>6262.5</v>
      </c>
      <c r="S41" s="11" t="n">
        <f aca="false">Assumptions!$D$68*(Revenue!S48*Assumptions!$D$204+Revenue!S54*Assumptions!$D$206)</f>
        <v>6958.33333333333</v>
      </c>
      <c r="T41" s="11" t="n">
        <f aca="false">Assumptions!$D$68*(Revenue!T48*Assumptions!$D$204+Revenue!T54*Assumptions!$D$206)</f>
        <v>9741.66666666667</v>
      </c>
      <c r="U41" s="11" t="n">
        <f aca="false">Assumptions!$D$68*(Revenue!U48*Assumptions!$D$204+Revenue!U54*Assumptions!$D$206)</f>
        <v>11133.3333333333</v>
      </c>
      <c r="V41" s="11" t="n">
        <f aca="false">Assumptions!$D$68*(Revenue!V48*Assumptions!$D$204+Revenue!V54*Assumptions!$D$206)</f>
        <v>12525</v>
      </c>
      <c r="W41" s="11" t="n">
        <f aca="false">Assumptions!$D$68*(Revenue!W48*Assumptions!$D$204+Revenue!W54*Assumptions!$D$206)</f>
        <v>11829.1666666667</v>
      </c>
      <c r="X41" s="11" t="n">
        <f aca="false">Assumptions!$D$68*(Revenue!X48*Assumptions!$D$204+Revenue!X54*Assumptions!$D$206)</f>
        <v>6958.33333333333</v>
      </c>
      <c r="Y41" s="11" t="n">
        <f aca="false">Assumptions!$D$68*(Revenue!Y48*Assumptions!$D$204+Revenue!Y54*Assumptions!$D$206)</f>
        <v>3479.16666666667</v>
      </c>
      <c r="Z41" s="11" t="n">
        <f aca="false">Assumptions!$D$68*(Revenue!Z48*Assumptions!$D$204+Revenue!Z54*Assumptions!$D$206)</f>
        <v>2783.33333333333</v>
      </c>
      <c r="AA41" s="11" t="n">
        <f aca="false">Assumptions!$D$68*(Revenue!AA48*Assumptions!$D$204+Revenue!AA54*Assumptions!$D$206)</f>
        <v>4175</v>
      </c>
      <c r="AB41" s="11" t="n">
        <f aca="false">Assumptions!$D$68*(Revenue!AB48*Assumptions!$D$204+Revenue!AB54*Assumptions!$D$206)</f>
        <v>11025</v>
      </c>
      <c r="AC41" s="11" t="n">
        <f aca="false">Assumptions!$D$68*(Revenue!AC48*Assumptions!$D$204+Revenue!AC54*Assumptions!$D$206)</f>
        <v>9187.5</v>
      </c>
      <c r="AD41" s="11" t="n">
        <f aca="false">Assumptions!$D$68*(Revenue!AD48*Assumptions!$D$204+Revenue!AD54*Assumptions!$D$206)</f>
        <v>16537.5</v>
      </c>
      <c r="AE41" s="11" t="n">
        <f aca="false">Assumptions!$D$68*(Revenue!AE48*Assumptions!$D$204+Revenue!AE54*Assumptions!$D$206)</f>
        <v>18375</v>
      </c>
      <c r="AF41" s="11" t="n">
        <f aca="false">Assumptions!$D$68*(Revenue!AF48*Assumptions!$D$204+Revenue!AF54*Assumptions!$D$206)</f>
        <v>25725</v>
      </c>
      <c r="AG41" s="11" t="n">
        <f aca="false">Assumptions!$D$68*(Revenue!AG48*Assumptions!$D$204+Revenue!AG54*Assumptions!$D$206)</f>
        <v>29400</v>
      </c>
      <c r="AH41" s="11" t="n">
        <f aca="false">Assumptions!$D$68*(Revenue!AH48*Assumptions!$D$204+Revenue!AH54*Assumptions!$D$206)</f>
        <v>33075</v>
      </c>
      <c r="AI41" s="11" t="n">
        <f aca="false">Assumptions!$D$68*(Revenue!AI48*Assumptions!$D$204+Revenue!AI54*Assumptions!$D$206)</f>
        <v>31237.5</v>
      </c>
      <c r="AJ41" s="11" t="n">
        <f aca="false">Assumptions!$D$68*(Revenue!AJ48*Assumptions!$D$204+Revenue!AJ54*Assumptions!$D$206)</f>
        <v>18375</v>
      </c>
      <c r="AK41" s="11" t="n">
        <f aca="false">Assumptions!$D$68*(Revenue!AK48*Assumptions!$D$204+Revenue!AK54*Assumptions!$D$206)</f>
        <v>9187.5</v>
      </c>
      <c r="AL41" s="11" t="n">
        <f aca="false">Assumptions!$D$68*(Revenue!AL48*Assumptions!$D$204+Revenue!AL54*Assumptions!$D$206)</f>
        <v>7350</v>
      </c>
      <c r="AM41" s="11" t="n">
        <f aca="false">Assumptions!$D$68*(Revenue!AM48*Assumptions!$D$204+Revenue!AM54*Assumptions!$D$206)</f>
        <v>11025</v>
      </c>
    </row>
    <row r="42" customFormat="false" ht="15" hidden="false" customHeight="true" outlineLevel="0" collapsed="false">
      <c r="A42" s="5" t="s">
        <v>935</v>
      </c>
      <c r="B42" s="10" t="s">
        <v>64</v>
      </c>
      <c r="C42" s="12" t="n">
        <f aca="false">SUM(D42:AM42)</f>
        <v>184000</v>
      </c>
      <c r="D42" s="11" t="n">
        <f aca="false">INDEX(Assumptions!$D$141:$F$141,1,D$5)/12</f>
        <v>2000</v>
      </c>
      <c r="E42" s="11" t="n">
        <f aca="false">INDEX(Assumptions!$D$141:$F$141,1,E$5)/12</f>
        <v>2000</v>
      </c>
      <c r="F42" s="11" t="n">
        <f aca="false">INDEX(Assumptions!$D$141:$F$141,1,F$5)/12</f>
        <v>2000</v>
      </c>
      <c r="G42" s="11" t="n">
        <f aca="false">INDEX(Assumptions!$D$141:$F$141,1,G$5)/12</f>
        <v>2000</v>
      </c>
      <c r="H42" s="11" t="n">
        <f aca="false">INDEX(Assumptions!$D$141:$F$141,1,H$5)/12</f>
        <v>2000</v>
      </c>
      <c r="I42" s="11" t="n">
        <f aca="false">INDEX(Assumptions!$D$141:$F$141,1,I$5)/12</f>
        <v>2000</v>
      </c>
      <c r="J42" s="11" t="n">
        <f aca="false">INDEX(Assumptions!$D$141:$F$141,1,J$5)/12</f>
        <v>2000</v>
      </c>
      <c r="K42" s="11" t="n">
        <f aca="false">INDEX(Assumptions!$D$141:$F$141,1,K$5)/12</f>
        <v>2000</v>
      </c>
      <c r="L42" s="11" t="n">
        <f aca="false">INDEX(Assumptions!$D$141:$F$141,1,L$5)/12</f>
        <v>2000</v>
      </c>
      <c r="M42" s="11" t="n">
        <f aca="false">INDEX(Assumptions!$D$141:$F$141,1,M$5)/12</f>
        <v>2000</v>
      </c>
      <c r="N42" s="11" t="n">
        <f aca="false">INDEX(Assumptions!$D$141:$F$141,1,N$5)/12</f>
        <v>2000</v>
      </c>
      <c r="O42" s="11" t="n">
        <f aca="false">INDEX(Assumptions!$D$141:$F$141,1,O$5)/12</f>
        <v>2000</v>
      </c>
      <c r="P42" s="11" t="n">
        <f aca="false">INDEX(Assumptions!$D$141:$F$141,1,P$5)/12</f>
        <v>5000</v>
      </c>
      <c r="Q42" s="11" t="n">
        <f aca="false">INDEX(Assumptions!$D$141:$F$141,1,Q$5)/12</f>
        <v>5000</v>
      </c>
      <c r="R42" s="11" t="n">
        <f aca="false">INDEX(Assumptions!$D$141:$F$141,1,R$5)/12</f>
        <v>5000</v>
      </c>
      <c r="S42" s="11" t="n">
        <f aca="false">INDEX(Assumptions!$D$141:$F$141,1,S$5)/12</f>
        <v>5000</v>
      </c>
      <c r="T42" s="11" t="n">
        <f aca="false">INDEX(Assumptions!$D$141:$F$141,1,T$5)/12</f>
        <v>5000</v>
      </c>
      <c r="U42" s="11" t="n">
        <f aca="false">INDEX(Assumptions!$D$141:$F$141,1,U$5)/12</f>
        <v>5000</v>
      </c>
      <c r="V42" s="11" t="n">
        <f aca="false">INDEX(Assumptions!$D$141:$F$141,1,V$5)/12</f>
        <v>5000</v>
      </c>
      <c r="W42" s="11" t="n">
        <f aca="false">INDEX(Assumptions!$D$141:$F$141,1,W$5)/12</f>
        <v>5000</v>
      </c>
      <c r="X42" s="11" t="n">
        <f aca="false">INDEX(Assumptions!$D$141:$F$141,1,X$5)/12</f>
        <v>5000</v>
      </c>
      <c r="Y42" s="11" t="n">
        <f aca="false">INDEX(Assumptions!$D$141:$F$141,1,Y$5)/12</f>
        <v>5000</v>
      </c>
      <c r="Z42" s="11" t="n">
        <f aca="false">INDEX(Assumptions!$D$141:$F$141,1,Z$5)/12</f>
        <v>5000</v>
      </c>
      <c r="AA42" s="11" t="n">
        <f aca="false">INDEX(Assumptions!$D$141:$F$141,1,AA$5)/12</f>
        <v>5000</v>
      </c>
      <c r="AB42" s="11" t="n">
        <f aca="false">INDEX(Assumptions!$D$141:$F$141,1,AB$5)/12</f>
        <v>8333.33333333333</v>
      </c>
      <c r="AC42" s="11" t="n">
        <f aca="false">INDEX(Assumptions!$D$141:$F$141,1,AC$5)/12</f>
        <v>8333.33333333333</v>
      </c>
      <c r="AD42" s="11" t="n">
        <f aca="false">INDEX(Assumptions!$D$141:$F$141,1,AD$5)/12</f>
        <v>8333.33333333333</v>
      </c>
      <c r="AE42" s="11" t="n">
        <f aca="false">INDEX(Assumptions!$D$141:$F$141,1,AE$5)/12</f>
        <v>8333.33333333333</v>
      </c>
      <c r="AF42" s="11" t="n">
        <f aca="false">INDEX(Assumptions!$D$141:$F$141,1,AF$5)/12</f>
        <v>8333.33333333333</v>
      </c>
      <c r="AG42" s="11" t="n">
        <f aca="false">INDEX(Assumptions!$D$141:$F$141,1,AG$5)/12</f>
        <v>8333.33333333333</v>
      </c>
      <c r="AH42" s="11" t="n">
        <f aca="false">INDEX(Assumptions!$D$141:$F$141,1,AH$5)/12</f>
        <v>8333.33333333333</v>
      </c>
      <c r="AI42" s="11" t="n">
        <f aca="false">INDEX(Assumptions!$D$141:$F$141,1,AI$5)/12</f>
        <v>8333.33333333333</v>
      </c>
      <c r="AJ42" s="11" t="n">
        <f aca="false">INDEX(Assumptions!$D$141:$F$141,1,AJ$5)/12</f>
        <v>8333.33333333333</v>
      </c>
      <c r="AK42" s="11" t="n">
        <f aca="false">INDEX(Assumptions!$D$141:$F$141,1,AK$5)/12</f>
        <v>8333.33333333333</v>
      </c>
      <c r="AL42" s="11" t="n">
        <f aca="false">INDEX(Assumptions!$D$141:$F$141,1,AL$5)/12</f>
        <v>8333.33333333333</v>
      </c>
      <c r="AM42" s="11" t="n">
        <f aca="false">INDEX(Assumptions!$D$141:$F$141,1,AM$5)/12</f>
        <v>8333.33333333333</v>
      </c>
    </row>
    <row r="43" customFormat="false" ht="15" hidden="false" customHeight="true" outlineLevel="0" collapsed="false">
      <c r="A43" s="5" t="s">
        <v>936</v>
      </c>
      <c r="B43" s="10" t="s">
        <v>64</v>
      </c>
      <c r="C43" s="12" t="n">
        <f aca="false">SUM(D43:AM43)</f>
        <v>80851.1853962311</v>
      </c>
      <c r="D43" s="11" t="n">
        <f aca="false">Assumptions!$D$69*Revenue!D152</f>
        <v>25</v>
      </c>
      <c r="E43" s="11" t="n">
        <f aca="false">Assumptions!$D$69*Revenue!E152</f>
        <v>20.8333333333333</v>
      </c>
      <c r="F43" s="11" t="n">
        <f aca="false">Assumptions!$D$69*Revenue!F152</f>
        <v>76.5052083333333</v>
      </c>
      <c r="G43" s="11" t="n">
        <f aca="false">Assumptions!$D$69*Revenue!G152</f>
        <v>74.1762152777778</v>
      </c>
      <c r="H43" s="11" t="n">
        <f aca="false">Assumptions!$D$69*Revenue!H152</f>
        <v>151.866319444444</v>
      </c>
      <c r="I43" s="11" t="n">
        <f aca="false">Assumptions!$D$69*Revenue!I152</f>
        <v>160.888020833333</v>
      </c>
      <c r="J43" s="11" t="n">
        <f aca="false">Assumptions!$D$69*Revenue!J152</f>
        <v>218.590277777778</v>
      </c>
      <c r="K43" s="11" t="n">
        <f aca="false">Assumptions!$D$69*Revenue!K152</f>
        <v>233.296875</v>
      </c>
      <c r="L43" s="11" t="n">
        <f aca="false">Assumptions!$D$69*Revenue!L152</f>
        <v>328.570833333333</v>
      </c>
      <c r="M43" s="11" t="n">
        <f aca="false">Assumptions!$D$69*Revenue!M152</f>
        <v>298.339930555556</v>
      </c>
      <c r="N43" s="11" t="n">
        <f aca="false">Assumptions!$D$69*Revenue!N152</f>
        <v>319.144965277778</v>
      </c>
      <c r="O43" s="11" t="n">
        <f aca="false">Assumptions!$D$69*Revenue!O152</f>
        <v>303.952256944444</v>
      </c>
      <c r="P43" s="11" t="n">
        <f aca="false">Assumptions!$D$69*Revenue!P152</f>
        <v>679.476475694444</v>
      </c>
      <c r="Q43" s="11" t="n">
        <f aca="false">Assumptions!$D$69*Revenue!Q152</f>
        <v>658.606770833333</v>
      </c>
      <c r="R43" s="11" t="n">
        <f aca="false">Assumptions!$D$69*Revenue!R152</f>
        <v>879.562760416667</v>
      </c>
      <c r="S43" s="11" t="n">
        <f aca="false">Assumptions!$D$69*Revenue!S152</f>
        <v>895.495008680556</v>
      </c>
      <c r="T43" s="11" t="n">
        <f aca="false">Assumptions!$D$69*Revenue!T152</f>
        <v>1266.47580902778</v>
      </c>
      <c r="U43" s="11" t="n">
        <f aca="false">Assumptions!$D$69*Revenue!U152</f>
        <v>1228.25669444444</v>
      </c>
      <c r="V43" s="11" t="n">
        <f aca="false">Assumptions!$D$69*Revenue!V152</f>
        <v>1859.59736111111</v>
      </c>
      <c r="W43" s="11" t="n">
        <f aca="false">Assumptions!$D$69*Revenue!W152</f>
        <v>1887.6471875</v>
      </c>
      <c r="X43" s="11" t="n">
        <f aca="false">Assumptions!$D$69*Revenue!X152</f>
        <v>2319.27167916667</v>
      </c>
      <c r="Y43" s="11" t="n">
        <f aca="false">Assumptions!$D$69*Revenue!Y152</f>
        <v>2232.03811319444</v>
      </c>
      <c r="Z43" s="11" t="n">
        <f aca="false">Assumptions!$D$69*Revenue!Z152</f>
        <v>2605.94316145833</v>
      </c>
      <c r="AA43" s="11" t="n">
        <f aca="false">Assumptions!$D$69*Revenue!AA152</f>
        <v>2702.00476736111</v>
      </c>
      <c r="AB43" s="11" t="n">
        <f aca="false">Assumptions!$D$69*Revenue!AB152</f>
        <v>3459.54183</v>
      </c>
      <c r="AC43" s="11" t="n">
        <f aca="false">Assumptions!$D$69*Revenue!AC152</f>
        <v>3215.41724166667</v>
      </c>
      <c r="AD43" s="11" t="n">
        <f aca="false">Assumptions!$D$69*Revenue!AD152</f>
        <v>3291.092985</v>
      </c>
      <c r="AE43" s="11" t="n">
        <f aca="false">Assumptions!$D$69*Revenue!AE152</f>
        <v>3148.21578888889</v>
      </c>
      <c r="AF43" s="11" t="n">
        <f aca="false">Assumptions!$D$69*Revenue!AF152</f>
        <v>3700.63662935556</v>
      </c>
      <c r="AG43" s="11" t="n">
        <f aca="false">Assumptions!$D$69*Revenue!AG152</f>
        <v>3588.6616528</v>
      </c>
      <c r="AH43" s="11" t="n">
        <f aca="false">Assumptions!$D$69*Revenue!AH152</f>
        <v>5242.25091155556</v>
      </c>
      <c r="AI43" s="11" t="n">
        <f aca="false">Assumptions!$D$69*Revenue!AI152</f>
        <v>5260.78203566667</v>
      </c>
      <c r="AJ43" s="11" t="n">
        <f aca="false">Assumptions!$D$69*Revenue!AJ152</f>
        <v>6426.51975242667</v>
      </c>
      <c r="AK43" s="11" t="n">
        <f aca="false">Assumptions!$D$69*Revenue!AK152</f>
        <v>6365.54509091556</v>
      </c>
      <c r="AL43" s="11" t="n">
        <f aca="false">Assumptions!$D$69*Revenue!AL152</f>
        <v>7648.21891526667</v>
      </c>
      <c r="AM43" s="11" t="n">
        <f aca="false">Assumptions!$D$69*Revenue!AM152</f>
        <v>8078.76253768889</v>
      </c>
    </row>
    <row r="44" customFormat="false" ht="15" hidden="false" customHeight="true" outlineLevel="0" collapsed="false">
      <c r="A44" s="5" t="s">
        <v>937</v>
      </c>
      <c r="B44" s="10" t="s">
        <v>64</v>
      </c>
      <c r="C44" s="12" t="n">
        <f aca="false">SUM(D44:AM44)</f>
        <v>635000</v>
      </c>
      <c r="D44" s="11" t="n">
        <f aca="false">(INDEX(Assumptions!$D$142:$F$142,1,D$5)+INDEX(Assumptions!$D$143:$F$143,1,D$5))/12</f>
        <v>7083.33333333333</v>
      </c>
      <c r="E44" s="11" t="n">
        <f aca="false">(INDEX(Assumptions!$D$142:$F$142,1,E$5)+INDEX(Assumptions!$D$143:$F$143,1,E$5))/12</f>
        <v>7083.33333333333</v>
      </c>
      <c r="F44" s="11" t="n">
        <f aca="false">(INDEX(Assumptions!$D$142:$F$142,1,F$5)+INDEX(Assumptions!$D$143:$F$143,1,F$5))/12</f>
        <v>7083.33333333333</v>
      </c>
      <c r="G44" s="11" t="n">
        <f aca="false">(INDEX(Assumptions!$D$142:$F$142,1,G$5)+INDEX(Assumptions!$D$143:$F$143,1,G$5))/12</f>
        <v>7083.33333333333</v>
      </c>
      <c r="H44" s="11" t="n">
        <f aca="false">(INDEX(Assumptions!$D$142:$F$142,1,H$5)+INDEX(Assumptions!$D$143:$F$143,1,H$5))/12</f>
        <v>7083.33333333333</v>
      </c>
      <c r="I44" s="11" t="n">
        <f aca="false">(INDEX(Assumptions!$D$142:$F$142,1,I$5)+INDEX(Assumptions!$D$143:$F$143,1,I$5))/12</f>
        <v>7083.33333333333</v>
      </c>
      <c r="J44" s="11" t="n">
        <f aca="false">(INDEX(Assumptions!$D$142:$F$142,1,J$5)+INDEX(Assumptions!$D$143:$F$143,1,J$5))/12</f>
        <v>7083.33333333333</v>
      </c>
      <c r="K44" s="11" t="n">
        <f aca="false">(INDEX(Assumptions!$D$142:$F$142,1,K$5)+INDEX(Assumptions!$D$143:$F$143,1,K$5))/12</f>
        <v>7083.33333333333</v>
      </c>
      <c r="L44" s="11" t="n">
        <f aca="false">(INDEX(Assumptions!$D$142:$F$142,1,L$5)+INDEX(Assumptions!$D$143:$F$143,1,L$5))/12</f>
        <v>7083.33333333333</v>
      </c>
      <c r="M44" s="11" t="n">
        <f aca="false">(INDEX(Assumptions!$D$142:$F$142,1,M$5)+INDEX(Assumptions!$D$143:$F$143,1,M$5))/12</f>
        <v>7083.33333333333</v>
      </c>
      <c r="N44" s="11" t="n">
        <f aca="false">(INDEX(Assumptions!$D$142:$F$142,1,N$5)+INDEX(Assumptions!$D$143:$F$143,1,N$5))/12</f>
        <v>7083.33333333333</v>
      </c>
      <c r="O44" s="11" t="n">
        <f aca="false">(INDEX(Assumptions!$D$142:$F$142,1,O$5)+INDEX(Assumptions!$D$143:$F$143,1,O$5))/12</f>
        <v>7083.33333333333</v>
      </c>
      <c r="P44" s="11" t="n">
        <f aca="false">(INDEX(Assumptions!$D$142:$F$142,1,P$5)+INDEX(Assumptions!$D$143:$F$143,1,P$5))/12</f>
        <v>19166.6666666667</v>
      </c>
      <c r="Q44" s="11" t="n">
        <f aca="false">(INDEX(Assumptions!$D$142:$F$142,1,Q$5)+INDEX(Assumptions!$D$143:$F$143,1,Q$5))/12</f>
        <v>19166.6666666667</v>
      </c>
      <c r="R44" s="11" t="n">
        <f aca="false">(INDEX(Assumptions!$D$142:$F$142,1,R$5)+INDEX(Assumptions!$D$143:$F$143,1,R$5))/12</f>
        <v>19166.6666666667</v>
      </c>
      <c r="S44" s="11" t="n">
        <f aca="false">(INDEX(Assumptions!$D$142:$F$142,1,S$5)+INDEX(Assumptions!$D$143:$F$143,1,S$5))/12</f>
        <v>19166.6666666667</v>
      </c>
      <c r="T44" s="11" t="n">
        <f aca="false">(INDEX(Assumptions!$D$142:$F$142,1,T$5)+INDEX(Assumptions!$D$143:$F$143,1,T$5))/12</f>
        <v>19166.6666666667</v>
      </c>
      <c r="U44" s="11" t="n">
        <f aca="false">(INDEX(Assumptions!$D$142:$F$142,1,U$5)+INDEX(Assumptions!$D$143:$F$143,1,U$5))/12</f>
        <v>19166.6666666667</v>
      </c>
      <c r="V44" s="11" t="n">
        <f aca="false">(INDEX(Assumptions!$D$142:$F$142,1,V$5)+INDEX(Assumptions!$D$143:$F$143,1,V$5))/12</f>
        <v>19166.6666666667</v>
      </c>
      <c r="W44" s="11" t="n">
        <f aca="false">(INDEX(Assumptions!$D$142:$F$142,1,W$5)+INDEX(Assumptions!$D$143:$F$143,1,W$5))/12</f>
        <v>19166.6666666667</v>
      </c>
      <c r="X44" s="11" t="n">
        <f aca="false">(INDEX(Assumptions!$D$142:$F$142,1,X$5)+INDEX(Assumptions!$D$143:$F$143,1,X$5))/12</f>
        <v>19166.6666666667</v>
      </c>
      <c r="Y44" s="11" t="n">
        <f aca="false">(INDEX(Assumptions!$D$142:$F$142,1,Y$5)+INDEX(Assumptions!$D$143:$F$143,1,Y$5))/12</f>
        <v>19166.6666666667</v>
      </c>
      <c r="Z44" s="11" t="n">
        <f aca="false">(INDEX(Assumptions!$D$142:$F$142,1,Z$5)+INDEX(Assumptions!$D$143:$F$143,1,Z$5))/12</f>
        <v>19166.6666666667</v>
      </c>
      <c r="AA44" s="11" t="n">
        <f aca="false">(INDEX(Assumptions!$D$142:$F$142,1,AA$5)+INDEX(Assumptions!$D$143:$F$143,1,AA$5))/12</f>
        <v>19166.6666666667</v>
      </c>
      <c r="AB44" s="11" t="n">
        <f aca="false">(INDEX(Assumptions!$D$142:$F$142,1,AB$5)+INDEX(Assumptions!$D$143:$F$143,1,AB$5))/12</f>
        <v>26666.6666666667</v>
      </c>
      <c r="AC44" s="11" t="n">
        <f aca="false">(INDEX(Assumptions!$D$142:$F$142,1,AC$5)+INDEX(Assumptions!$D$143:$F$143,1,AC$5))/12</f>
        <v>26666.6666666667</v>
      </c>
      <c r="AD44" s="11" t="n">
        <f aca="false">(INDEX(Assumptions!$D$142:$F$142,1,AD$5)+INDEX(Assumptions!$D$143:$F$143,1,AD$5))/12</f>
        <v>26666.6666666667</v>
      </c>
      <c r="AE44" s="11" t="n">
        <f aca="false">(INDEX(Assumptions!$D$142:$F$142,1,AE$5)+INDEX(Assumptions!$D$143:$F$143,1,AE$5))/12</f>
        <v>26666.6666666667</v>
      </c>
      <c r="AF44" s="11" t="n">
        <f aca="false">(INDEX(Assumptions!$D$142:$F$142,1,AF$5)+INDEX(Assumptions!$D$143:$F$143,1,AF$5))/12</f>
        <v>26666.6666666667</v>
      </c>
      <c r="AG44" s="11" t="n">
        <f aca="false">(INDEX(Assumptions!$D$142:$F$142,1,AG$5)+INDEX(Assumptions!$D$143:$F$143,1,AG$5))/12</f>
        <v>26666.6666666667</v>
      </c>
      <c r="AH44" s="11" t="n">
        <f aca="false">(INDEX(Assumptions!$D$142:$F$142,1,AH$5)+INDEX(Assumptions!$D$143:$F$143,1,AH$5))/12</f>
        <v>26666.6666666667</v>
      </c>
      <c r="AI44" s="11" t="n">
        <f aca="false">(INDEX(Assumptions!$D$142:$F$142,1,AI$5)+INDEX(Assumptions!$D$143:$F$143,1,AI$5))/12</f>
        <v>26666.6666666667</v>
      </c>
      <c r="AJ44" s="11" t="n">
        <f aca="false">(INDEX(Assumptions!$D$142:$F$142,1,AJ$5)+INDEX(Assumptions!$D$143:$F$143,1,AJ$5))/12</f>
        <v>26666.6666666667</v>
      </c>
      <c r="AK44" s="11" t="n">
        <f aca="false">(INDEX(Assumptions!$D$142:$F$142,1,AK$5)+INDEX(Assumptions!$D$143:$F$143,1,AK$5))/12</f>
        <v>26666.6666666667</v>
      </c>
      <c r="AL44" s="11" t="n">
        <f aca="false">(INDEX(Assumptions!$D$142:$F$142,1,AL$5)+INDEX(Assumptions!$D$143:$F$143,1,AL$5))/12</f>
        <v>26666.6666666667</v>
      </c>
      <c r="AM44" s="11" t="n">
        <f aca="false">(INDEX(Assumptions!$D$142:$F$142,1,AM$5)+INDEX(Assumptions!$D$143:$F$143,1,AM$5))/12</f>
        <v>26666.6666666667</v>
      </c>
    </row>
    <row r="45" customFormat="false" ht="15" hidden="false" customHeight="true" outlineLevel="0" collapsed="false">
      <c r="A45" s="5" t="s">
        <v>938</v>
      </c>
      <c r="B45" s="10" t="s">
        <v>64</v>
      </c>
      <c r="C45" s="12" t="n">
        <f aca="false">SUM(D45:AM45)</f>
        <v>1465000</v>
      </c>
      <c r="D45" s="11" t="n">
        <f aca="false">INDEX(Assumptions!$D$144:$F$144,1,D$5)/12+Assumptions!$D$155*(IF(D$3=Assumptions!$D$159,Assumptions!$D$158,0)+IF(D$3=Assumptions!$D$161,Assumptions!$D$160,0)+IF(D$3=Assumptions!$D$163,Assumptions!$D$162,0))</f>
        <v>145000</v>
      </c>
      <c r="E45" s="11" t="n">
        <f aca="false">INDEX(Assumptions!$D$144:$F$144,1,E$5)/12+Assumptions!$D$155*(IF(E$3=Assumptions!$D$159,Assumptions!$D$158,0)+IF(E$3=Assumptions!$D$161,Assumptions!$D$160,0)+IF(E$3=Assumptions!$D$163,Assumptions!$D$162,0))</f>
        <v>10000</v>
      </c>
      <c r="F45" s="11" t="n">
        <f aca="false">INDEX(Assumptions!$D$144:$F$144,1,F$5)/12+Assumptions!$D$155*(IF(F$3=Assumptions!$D$159,Assumptions!$D$158,0)+IF(F$3=Assumptions!$D$161,Assumptions!$D$160,0)+IF(F$3=Assumptions!$D$163,Assumptions!$D$162,0))</f>
        <v>10000</v>
      </c>
      <c r="G45" s="11" t="n">
        <f aca="false">INDEX(Assumptions!$D$144:$F$144,1,G$5)/12+Assumptions!$D$155*(IF(G$3=Assumptions!$D$159,Assumptions!$D$158,0)+IF(G$3=Assumptions!$D$161,Assumptions!$D$160,0)+IF(G$3=Assumptions!$D$163,Assumptions!$D$162,0))</f>
        <v>10000</v>
      </c>
      <c r="H45" s="11" t="n">
        <f aca="false">INDEX(Assumptions!$D$144:$F$144,1,H$5)/12+Assumptions!$D$155*(IF(H$3=Assumptions!$D$159,Assumptions!$D$158,0)+IF(H$3=Assumptions!$D$161,Assumptions!$D$160,0)+IF(H$3=Assumptions!$D$163,Assumptions!$D$162,0))</f>
        <v>10000</v>
      </c>
      <c r="I45" s="11" t="n">
        <f aca="false">INDEX(Assumptions!$D$144:$F$144,1,I$5)/12+Assumptions!$D$155*(IF(I$3=Assumptions!$D$159,Assumptions!$D$158,0)+IF(I$3=Assumptions!$D$161,Assumptions!$D$160,0)+IF(I$3=Assumptions!$D$163,Assumptions!$D$162,0))</f>
        <v>10000</v>
      </c>
      <c r="J45" s="11" t="n">
        <f aca="false">INDEX(Assumptions!$D$144:$F$144,1,J$5)/12+Assumptions!$D$155*(IF(J$3=Assumptions!$D$159,Assumptions!$D$158,0)+IF(J$3=Assumptions!$D$161,Assumptions!$D$160,0)+IF(J$3=Assumptions!$D$163,Assumptions!$D$162,0))</f>
        <v>10000</v>
      </c>
      <c r="K45" s="11" t="n">
        <f aca="false">INDEX(Assumptions!$D$144:$F$144,1,K$5)/12+Assumptions!$D$155*(IF(K$3=Assumptions!$D$159,Assumptions!$D$158,0)+IF(K$3=Assumptions!$D$161,Assumptions!$D$160,0)+IF(K$3=Assumptions!$D$163,Assumptions!$D$162,0))</f>
        <v>10000</v>
      </c>
      <c r="L45" s="11" t="n">
        <f aca="false">INDEX(Assumptions!$D$144:$F$144,1,L$5)/12+Assumptions!$D$155*(IF(L$3=Assumptions!$D$159,Assumptions!$D$158,0)+IF(L$3=Assumptions!$D$161,Assumptions!$D$160,0)+IF(L$3=Assumptions!$D$163,Assumptions!$D$162,0))</f>
        <v>10000</v>
      </c>
      <c r="M45" s="11" t="n">
        <f aca="false">INDEX(Assumptions!$D$144:$F$144,1,M$5)/12+Assumptions!$D$155*(IF(M$3=Assumptions!$D$159,Assumptions!$D$158,0)+IF(M$3=Assumptions!$D$161,Assumptions!$D$160,0)+IF(M$3=Assumptions!$D$163,Assumptions!$D$162,0))</f>
        <v>10000</v>
      </c>
      <c r="N45" s="11" t="n">
        <f aca="false">INDEX(Assumptions!$D$144:$F$144,1,N$5)/12+Assumptions!$D$155*(IF(N$3=Assumptions!$D$159,Assumptions!$D$158,0)+IF(N$3=Assumptions!$D$161,Assumptions!$D$160,0)+IF(N$3=Assumptions!$D$163,Assumptions!$D$162,0))</f>
        <v>10000</v>
      </c>
      <c r="O45" s="11" t="n">
        <f aca="false">INDEX(Assumptions!$D$144:$F$144,1,O$5)/12+Assumptions!$D$155*(IF(O$3=Assumptions!$D$159,Assumptions!$D$158,0)+IF(O$3=Assumptions!$D$161,Assumptions!$D$160,0)+IF(O$3=Assumptions!$D$163,Assumptions!$D$162,0))</f>
        <v>10000</v>
      </c>
      <c r="P45" s="11" t="n">
        <f aca="false">INDEX(Assumptions!$D$144:$F$144,1,P$5)/12+Assumptions!$D$155*(IF(P$3=Assumptions!$D$159,Assumptions!$D$158,0)+IF(P$3=Assumptions!$D$161,Assumptions!$D$160,0)+IF(P$3=Assumptions!$D$163,Assumptions!$D$162,0))</f>
        <v>436666.666666667</v>
      </c>
      <c r="Q45" s="11" t="n">
        <f aca="false">INDEX(Assumptions!$D$144:$F$144,1,Q$5)/12+Assumptions!$D$155*(IF(Q$3=Assumptions!$D$159,Assumptions!$D$158,0)+IF(Q$3=Assumptions!$D$161,Assumptions!$D$160,0)+IF(Q$3=Assumptions!$D$163,Assumptions!$D$162,0))</f>
        <v>16666.6666666667</v>
      </c>
      <c r="R45" s="11" t="n">
        <f aca="false">INDEX(Assumptions!$D$144:$F$144,1,R$5)/12+Assumptions!$D$155*(IF(R$3=Assumptions!$D$159,Assumptions!$D$158,0)+IF(R$3=Assumptions!$D$161,Assumptions!$D$160,0)+IF(R$3=Assumptions!$D$163,Assumptions!$D$162,0))</f>
        <v>16666.6666666667</v>
      </c>
      <c r="S45" s="11" t="n">
        <f aca="false">INDEX(Assumptions!$D$144:$F$144,1,S$5)/12+Assumptions!$D$155*(IF(S$3=Assumptions!$D$159,Assumptions!$D$158,0)+IF(S$3=Assumptions!$D$161,Assumptions!$D$160,0)+IF(S$3=Assumptions!$D$163,Assumptions!$D$162,0))</f>
        <v>16666.6666666667</v>
      </c>
      <c r="T45" s="11" t="n">
        <f aca="false">INDEX(Assumptions!$D$144:$F$144,1,T$5)/12+Assumptions!$D$155*(IF(T$3=Assumptions!$D$159,Assumptions!$D$158,0)+IF(T$3=Assumptions!$D$161,Assumptions!$D$160,0)+IF(T$3=Assumptions!$D$163,Assumptions!$D$162,0))</f>
        <v>16666.6666666667</v>
      </c>
      <c r="U45" s="11" t="n">
        <f aca="false">INDEX(Assumptions!$D$144:$F$144,1,U$5)/12+Assumptions!$D$155*(IF(U$3=Assumptions!$D$159,Assumptions!$D$158,0)+IF(U$3=Assumptions!$D$161,Assumptions!$D$160,0)+IF(U$3=Assumptions!$D$163,Assumptions!$D$162,0))</f>
        <v>16666.6666666667</v>
      </c>
      <c r="V45" s="11" t="n">
        <f aca="false">INDEX(Assumptions!$D$144:$F$144,1,V$5)/12+Assumptions!$D$155*(IF(V$3=Assumptions!$D$159,Assumptions!$D$158,0)+IF(V$3=Assumptions!$D$161,Assumptions!$D$160,0)+IF(V$3=Assumptions!$D$163,Assumptions!$D$162,0))</f>
        <v>16666.6666666667</v>
      </c>
      <c r="W45" s="11" t="n">
        <f aca="false">INDEX(Assumptions!$D$144:$F$144,1,W$5)/12+Assumptions!$D$155*(IF(W$3=Assumptions!$D$159,Assumptions!$D$158,0)+IF(W$3=Assumptions!$D$161,Assumptions!$D$160,0)+IF(W$3=Assumptions!$D$163,Assumptions!$D$162,0))</f>
        <v>16666.6666666667</v>
      </c>
      <c r="X45" s="11" t="n">
        <f aca="false">INDEX(Assumptions!$D$144:$F$144,1,X$5)/12+Assumptions!$D$155*(IF(X$3=Assumptions!$D$159,Assumptions!$D$158,0)+IF(X$3=Assumptions!$D$161,Assumptions!$D$160,0)+IF(X$3=Assumptions!$D$163,Assumptions!$D$162,0))</f>
        <v>16666.6666666667</v>
      </c>
      <c r="Y45" s="11" t="n">
        <f aca="false">INDEX(Assumptions!$D$144:$F$144,1,Y$5)/12+Assumptions!$D$155*(IF(Y$3=Assumptions!$D$159,Assumptions!$D$158,0)+IF(Y$3=Assumptions!$D$161,Assumptions!$D$160,0)+IF(Y$3=Assumptions!$D$163,Assumptions!$D$162,0))</f>
        <v>16666.6666666667</v>
      </c>
      <c r="Z45" s="11" t="n">
        <f aca="false">INDEX(Assumptions!$D$144:$F$144,1,Z$5)/12+Assumptions!$D$155*(IF(Z$3=Assumptions!$D$159,Assumptions!$D$158,0)+IF(Z$3=Assumptions!$D$161,Assumptions!$D$160,0)+IF(Z$3=Assumptions!$D$163,Assumptions!$D$162,0))</f>
        <v>16666.6666666667</v>
      </c>
      <c r="AA45" s="11" t="n">
        <f aca="false">INDEX(Assumptions!$D$144:$F$144,1,AA$5)/12+Assumptions!$D$155*(IF(AA$3=Assumptions!$D$159,Assumptions!$D$158,0)+IF(AA$3=Assumptions!$D$161,Assumptions!$D$160,0)+IF(AA$3=Assumptions!$D$163,Assumptions!$D$162,0))</f>
        <v>16666.6666666667</v>
      </c>
      <c r="AB45" s="11" t="n">
        <f aca="false">INDEX(Assumptions!$D$144:$F$144,1,AB$5)/12+Assumptions!$D$155*(IF(AB$3=Assumptions!$D$159,Assumptions!$D$158,0)+IF(AB$3=Assumptions!$D$161,Assumptions!$D$160,0)+IF(AB$3=Assumptions!$D$163,Assumptions!$D$162,0))</f>
        <v>26666.6666666667</v>
      </c>
      <c r="AC45" s="11" t="n">
        <f aca="false">INDEX(Assumptions!$D$144:$F$144,1,AC$5)/12+Assumptions!$D$155*(IF(AC$3=Assumptions!$D$159,Assumptions!$D$158,0)+IF(AC$3=Assumptions!$D$161,Assumptions!$D$160,0)+IF(AC$3=Assumptions!$D$163,Assumptions!$D$162,0))</f>
        <v>296666.666666667</v>
      </c>
      <c r="AD45" s="11" t="n">
        <f aca="false">INDEX(Assumptions!$D$144:$F$144,1,AD$5)/12+Assumptions!$D$155*(IF(AD$3=Assumptions!$D$159,Assumptions!$D$158,0)+IF(AD$3=Assumptions!$D$161,Assumptions!$D$160,0)+IF(AD$3=Assumptions!$D$163,Assumptions!$D$162,0))</f>
        <v>26666.6666666667</v>
      </c>
      <c r="AE45" s="11" t="n">
        <f aca="false">INDEX(Assumptions!$D$144:$F$144,1,AE$5)/12+Assumptions!$D$155*(IF(AE$3=Assumptions!$D$159,Assumptions!$D$158,0)+IF(AE$3=Assumptions!$D$161,Assumptions!$D$160,0)+IF(AE$3=Assumptions!$D$163,Assumptions!$D$162,0))</f>
        <v>26666.6666666667</v>
      </c>
      <c r="AF45" s="11" t="n">
        <f aca="false">INDEX(Assumptions!$D$144:$F$144,1,AF$5)/12+Assumptions!$D$155*(IF(AF$3=Assumptions!$D$159,Assumptions!$D$158,0)+IF(AF$3=Assumptions!$D$161,Assumptions!$D$160,0)+IF(AF$3=Assumptions!$D$163,Assumptions!$D$162,0))</f>
        <v>26666.6666666667</v>
      </c>
      <c r="AG45" s="11" t="n">
        <f aca="false">INDEX(Assumptions!$D$144:$F$144,1,AG$5)/12+Assumptions!$D$155*(IF(AG$3=Assumptions!$D$159,Assumptions!$D$158,0)+IF(AG$3=Assumptions!$D$161,Assumptions!$D$160,0)+IF(AG$3=Assumptions!$D$163,Assumptions!$D$162,0))</f>
        <v>26666.6666666667</v>
      </c>
      <c r="AH45" s="11" t="n">
        <f aca="false">INDEX(Assumptions!$D$144:$F$144,1,AH$5)/12+Assumptions!$D$155*(IF(AH$3=Assumptions!$D$159,Assumptions!$D$158,0)+IF(AH$3=Assumptions!$D$161,Assumptions!$D$160,0)+IF(AH$3=Assumptions!$D$163,Assumptions!$D$162,0))</f>
        <v>26666.6666666667</v>
      </c>
      <c r="AI45" s="11" t="n">
        <f aca="false">INDEX(Assumptions!$D$144:$F$144,1,AI$5)/12+Assumptions!$D$155*(IF(AI$3=Assumptions!$D$159,Assumptions!$D$158,0)+IF(AI$3=Assumptions!$D$161,Assumptions!$D$160,0)+IF(AI$3=Assumptions!$D$163,Assumptions!$D$162,0))</f>
        <v>26666.6666666667</v>
      </c>
      <c r="AJ45" s="11" t="n">
        <f aca="false">INDEX(Assumptions!$D$144:$F$144,1,AJ$5)/12+Assumptions!$D$155*(IF(AJ$3=Assumptions!$D$159,Assumptions!$D$158,0)+IF(AJ$3=Assumptions!$D$161,Assumptions!$D$160,0)+IF(AJ$3=Assumptions!$D$163,Assumptions!$D$162,0))</f>
        <v>26666.6666666667</v>
      </c>
      <c r="AK45" s="11" t="n">
        <f aca="false">INDEX(Assumptions!$D$144:$F$144,1,AK$5)/12+Assumptions!$D$155*(IF(AK$3=Assumptions!$D$159,Assumptions!$D$158,0)+IF(AK$3=Assumptions!$D$161,Assumptions!$D$160,0)+IF(AK$3=Assumptions!$D$163,Assumptions!$D$162,0))</f>
        <v>26666.6666666667</v>
      </c>
      <c r="AL45" s="11" t="n">
        <f aca="false">INDEX(Assumptions!$D$144:$F$144,1,AL$5)/12+Assumptions!$D$155*(IF(AL$3=Assumptions!$D$159,Assumptions!$D$158,0)+IF(AL$3=Assumptions!$D$161,Assumptions!$D$160,0)+IF(AL$3=Assumptions!$D$163,Assumptions!$D$162,0))</f>
        <v>26666.6666666667</v>
      </c>
      <c r="AM45" s="11" t="n">
        <f aca="false">INDEX(Assumptions!$D$144:$F$144,1,AM$5)/12+Assumptions!$D$155*(IF(AM$3=Assumptions!$D$159,Assumptions!$D$158,0)+IF(AM$3=Assumptions!$D$161,Assumptions!$D$160,0)+IF(AM$3=Assumptions!$D$163,Assumptions!$D$162,0))</f>
        <v>26666.6666666667</v>
      </c>
    </row>
    <row r="46" customFormat="false" ht="15" hidden="false" customHeight="true" outlineLevel="0" collapsed="false">
      <c r="A46" s="5" t="s">
        <v>939</v>
      </c>
      <c r="B46" s="10" t="s">
        <v>64</v>
      </c>
      <c r="C46" s="12" t="n">
        <f aca="false">SUM(D46:AM46)</f>
        <v>245000</v>
      </c>
      <c r="D46" s="11" t="n">
        <f aca="false">INDEX(Assumptions!$D$145:$F$145,1,D$5)/12</f>
        <v>2500</v>
      </c>
      <c r="E46" s="11" t="n">
        <f aca="false">INDEX(Assumptions!$D$145:$F$145,1,E$5)/12</f>
        <v>2500</v>
      </c>
      <c r="F46" s="11" t="n">
        <f aca="false">INDEX(Assumptions!$D$145:$F$145,1,F$5)/12</f>
        <v>2500</v>
      </c>
      <c r="G46" s="11" t="n">
        <f aca="false">INDEX(Assumptions!$D$145:$F$145,1,G$5)/12</f>
        <v>2500</v>
      </c>
      <c r="H46" s="11" t="n">
        <f aca="false">INDEX(Assumptions!$D$145:$F$145,1,H$5)/12</f>
        <v>2500</v>
      </c>
      <c r="I46" s="11" t="n">
        <f aca="false">INDEX(Assumptions!$D$145:$F$145,1,I$5)/12</f>
        <v>2500</v>
      </c>
      <c r="J46" s="11" t="n">
        <f aca="false">INDEX(Assumptions!$D$145:$F$145,1,J$5)/12</f>
        <v>2500</v>
      </c>
      <c r="K46" s="11" t="n">
        <f aca="false">INDEX(Assumptions!$D$145:$F$145,1,K$5)/12</f>
        <v>2500</v>
      </c>
      <c r="L46" s="11" t="n">
        <f aca="false">INDEX(Assumptions!$D$145:$F$145,1,L$5)/12</f>
        <v>2500</v>
      </c>
      <c r="M46" s="11" t="n">
        <f aca="false">INDEX(Assumptions!$D$145:$F$145,1,M$5)/12</f>
        <v>2500</v>
      </c>
      <c r="N46" s="11" t="n">
        <f aca="false">INDEX(Assumptions!$D$145:$F$145,1,N$5)/12</f>
        <v>2500</v>
      </c>
      <c r="O46" s="11" t="n">
        <f aca="false">INDEX(Assumptions!$D$145:$F$145,1,O$5)/12</f>
        <v>2500</v>
      </c>
      <c r="P46" s="11" t="n">
        <f aca="false">INDEX(Assumptions!$D$145:$F$145,1,P$5)/12</f>
        <v>6250</v>
      </c>
      <c r="Q46" s="11" t="n">
        <f aca="false">INDEX(Assumptions!$D$145:$F$145,1,Q$5)/12</f>
        <v>6250</v>
      </c>
      <c r="R46" s="11" t="n">
        <f aca="false">INDEX(Assumptions!$D$145:$F$145,1,R$5)/12</f>
        <v>6250</v>
      </c>
      <c r="S46" s="11" t="n">
        <f aca="false">INDEX(Assumptions!$D$145:$F$145,1,S$5)/12</f>
        <v>6250</v>
      </c>
      <c r="T46" s="11" t="n">
        <f aca="false">INDEX(Assumptions!$D$145:$F$145,1,T$5)/12</f>
        <v>6250</v>
      </c>
      <c r="U46" s="11" t="n">
        <f aca="false">INDEX(Assumptions!$D$145:$F$145,1,U$5)/12</f>
        <v>6250</v>
      </c>
      <c r="V46" s="11" t="n">
        <f aca="false">INDEX(Assumptions!$D$145:$F$145,1,V$5)/12</f>
        <v>6250</v>
      </c>
      <c r="W46" s="11" t="n">
        <f aca="false">INDEX(Assumptions!$D$145:$F$145,1,W$5)/12</f>
        <v>6250</v>
      </c>
      <c r="X46" s="11" t="n">
        <f aca="false">INDEX(Assumptions!$D$145:$F$145,1,X$5)/12</f>
        <v>6250</v>
      </c>
      <c r="Y46" s="11" t="n">
        <f aca="false">INDEX(Assumptions!$D$145:$F$145,1,Y$5)/12</f>
        <v>6250</v>
      </c>
      <c r="Z46" s="11" t="n">
        <f aca="false">INDEX(Assumptions!$D$145:$F$145,1,Z$5)/12</f>
        <v>6250</v>
      </c>
      <c r="AA46" s="11" t="n">
        <f aca="false">INDEX(Assumptions!$D$145:$F$145,1,AA$5)/12</f>
        <v>6250</v>
      </c>
      <c r="AB46" s="11" t="n">
        <f aca="false">INDEX(Assumptions!$D$145:$F$145,1,AB$5)/12</f>
        <v>11666.6666666667</v>
      </c>
      <c r="AC46" s="11" t="n">
        <f aca="false">INDEX(Assumptions!$D$145:$F$145,1,AC$5)/12</f>
        <v>11666.6666666667</v>
      </c>
      <c r="AD46" s="11" t="n">
        <f aca="false">INDEX(Assumptions!$D$145:$F$145,1,AD$5)/12</f>
        <v>11666.6666666667</v>
      </c>
      <c r="AE46" s="11" t="n">
        <f aca="false">INDEX(Assumptions!$D$145:$F$145,1,AE$5)/12</f>
        <v>11666.6666666667</v>
      </c>
      <c r="AF46" s="11" t="n">
        <f aca="false">INDEX(Assumptions!$D$145:$F$145,1,AF$5)/12</f>
        <v>11666.6666666667</v>
      </c>
      <c r="AG46" s="11" t="n">
        <f aca="false">INDEX(Assumptions!$D$145:$F$145,1,AG$5)/12</f>
        <v>11666.6666666667</v>
      </c>
      <c r="AH46" s="11" t="n">
        <f aca="false">INDEX(Assumptions!$D$145:$F$145,1,AH$5)/12</f>
        <v>11666.6666666667</v>
      </c>
      <c r="AI46" s="11" t="n">
        <f aca="false">INDEX(Assumptions!$D$145:$F$145,1,AI$5)/12</f>
        <v>11666.6666666667</v>
      </c>
      <c r="AJ46" s="11" t="n">
        <f aca="false">INDEX(Assumptions!$D$145:$F$145,1,AJ$5)/12</f>
        <v>11666.6666666667</v>
      </c>
      <c r="AK46" s="11" t="n">
        <f aca="false">INDEX(Assumptions!$D$145:$F$145,1,AK$5)/12</f>
        <v>11666.6666666667</v>
      </c>
      <c r="AL46" s="11" t="n">
        <f aca="false">INDEX(Assumptions!$D$145:$F$145,1,AL$5)/12</f>
        <v>11666.6666666667</v>
      </c>
      <c r="AM46" s="11" t="n">
        <f aca="false">INDEX(Assumptions!$D$145:$F$145,1,AM$5)/12</f>
        <v>11666.6666666667</v>
      </c>
    </row>
    <row r="47" customFormat="false" ht="15" hidden="false" customHeight="true" outlineLevel="0" collapsed="false">
      <c r="A47" s="5" t="s">
        <v>940</v>
      </c>
      <c r="B47" s="10" t="s">
        <v>64</v>
      </c>
      <c r="C47" s="12" t="n">
        <f aca="false">SUM(D47:AM47)</f>
        <v>350000</v>
      </c>
      <c r="D47" s="11" t="n">
        <f aca="false">INDEX(Assumptions!$D$146:$F$146,1,D$5)/12</f>
        <v>3333.33333333333</v>
      </c>
      <c r="E47" s="11" t="n">
        <f aca="false">INDEX(Assumptions!$D$146:$F$146,1,E$5)/12</f>
        <v>3333.33333333333</v>
      </c>
      <c r="F47" s="11" t="n">
        <f aca="false">INDEX(Assumptions!$D$146:$F$146,1,F$5)/12</f>
        <v>3333.33333333333</v>
      </c>
      <c r="G47" s="11" t="n">
        <f aca="false">INDEX(Assumptions!$D$146:$F$146,1,G$5)/12</f>
        <v>3333.33333333333</v>
      </c>
      <c r="H47" s="11" t="n">
        <f aca="false">INDEX(Assumptions!$D$146:$F$146,1,H$5)/12</f>
        <v>3333.33333333333</v>
      </c>
      <c r="I47" s="11" t="n">
        <f aca="false">INDEX(Assumptions!$D$146:$F$146,1,I$5)/12</f>
        <v>3333.33333333333</v>
      </c>
      <c r="J47" s="11" t="n">
        <f aca="false">INDEX(Assumptions!$D$146:$F$146,1,J$5)/12</f>
        <v>3333.33333333333</v>
      </c>
      <c r="K47" s="11" t="n">
        <f aca="false">INDEX(Assumptions!$D$146:$F$146,1,K$5)/12</f>
        <v>3333.33333333333</v>
      </c>
      <c r="L47" s="11" t="n">
        <f aca="false">INDEX(Assumptions!$D$146:$F$146,1,L$5)/12</f>
        <v>3333.33333333333</v>
      </c>
      <c r="M47" s="11" t="n">
        <f aca="false">INDEX(Assumptions!$D$146:$F$146,1,M$5)/12</f>
        <v>3333.33333333333</v>
      </c>
      <c r="N47" s="11" t="n">
        <f aca="false">INDEX(Assumptions!$D$146:$F$146,1,N$5)/12</f>
        <v>3333.33333333333</v>
      </c>
      <c r="O47" s="11" t="n">
        <f aca="false">INDEX(Assumptions!$D$146:$F$146,1,O$5)/12</f>
        <v>3333.33333333333</v>
      </c>
      <c r="P47" s="11" t="n">
        <f aca="false">INDEX(Assumptions!$D$146:$F$146,1,P$5)/12</f>
        <v>7500</v>
      </c>
      <c r="Q47" s="11" t="n">
        <f aca="false">INDEX(Assumptions!$D$146:$F$146,1,Q$5)/12</f>
        <v>7500</v>
      </c>
      <c r="R47" s="11" t="n">
        <f aca="false">INDEX(Assumptions!$D$146:$F$146,1,R$5)/12</f>
        <v>7500</v>
      </c>
      <c r="S47" s="11" t="n">
        <f aca="false">INDEX(Assumptions!$D$146:$F$146,1,S$5)/12</f>
        <v>7500</v>
      </c>
      <c r="T47" s="11" t="n">
        <f aca="false">INDEX(Assumptions!$D$146:$F$146,1,T$5)/12</f>
        <v>7500</v>
      </c>
      <c r="U47" s="11" t="n">
        <f aca="false">INDEX(Assumptions!$D$146:$F$146,1,U$5)/12</f>
        <v>7500</v>
      </c>
      <c r="V47" s="11" t="n">
        <f aca="false">INDEX(Assumptions!$D$146:$F$146,1,V$5)/12</f>
        <v>7500</v>
      </c>
      <c r="W47" s="11" t="n">
        <f aca="false">INDEX(Assumptions!$D$146:$F$146,1,W$5)/12</f>
        <v>7500</v>
      </c>
      <c r="X47" s="11" t="n">
        <f aca="false">INDEX(Assumptions!$D$146:$F$146,1,X$5)/12</f>
        <v>7500</v>
      </c>
      <c r="Y47" s="11" t="n">
        <f aca="false">INDEX(Assumptions!$D$146:$F$146,1,Y$5)/12</f>
        <v>7500</v>
      </c>
      <c r="Z47" s="11" t="n">
        <f aca="false">INDEX(Assumptions!$D$146:$F$146,1,Z$5)/12</f>
        <v>7500</v>
      </c>
      <c r="AA47" s="11" t="n">
        <f aca="false">INDEX(Assumptions!$D$146:$F$146,1,AA$5)/12</f>
        <v>7500</v>
      </c>
      <c r="AB47" s="11" t="n">
        <f aca="false">INDEX(Assumptions!$D$146:$F$146,1,AB$5)/12</f>
        <v>18333.3333333333</v>
      </c>
      <c r="AC47" s="11" t="n">
        <f aca="false">INDEX(Assumptions!$D$146:$F$146,1,AC$5)/12</f>
        <v>18333.3333333333</v>
      </c>
      <c r="AD47" s="11" t="n">
        <f aca="false">INDEX(Assumptions!$D$146:$F$146,1,AD$5)/12</f>
        <v>18333.3333333333</v>
      </c>
      <c r="AE47" s="11" t="n">
        <f aca="false">INDEX(Assumptions!$D$146:$F$146,1,AE$5)/12</f>
        <v>18333.3333333333</v>
      </c>
      <c r="AF47" s="11" t="n">
        <f aca="false">INDEX(Assumptions!$D$146:$F$146,1,AF$5)/12</f>
        <v>18333.3333333333</v>
      </c>
      <c r="AG47" s="11" t="n">
        <f aca="false">INDEX(Assumptions!$D$146:$F$146,1,AG$5)/12</f>
        <v>18333.3333333333</v>
      </c>
      <c r="AH47" s="11" t="n">
        <f aca="false">INDEX(Assumptions!$D$146:$F$146,1,AH$5)/12</f>
        <v>18333.3333333333</v>
      </c>
      <c r="AI47" s="11" t="n">
        <f aca="false">INDEX(Assumptions!$D$146:$F$146,1,AI$5)/12</f>
        <v>18333.3333333333</v>
      </c>
      <c r="AJ47" s="11" t="n">
        <f aca="false">INDEX(Assumptions!$D$146:$F$146,1,AJ$5)/12</f>
        <v>18333.3333333333</v>
      </c>
      <c r="AK47" s="11" t="n">
        <f aca="false">INDEX(Assumptions!$D$146:$F$146,1,AK$5)/12</f>
        <v>18333.3333333333</v>
      </c>
      <c r="AL47" s="11" t="n">
        <f aca="false">INDEX(Assumptions!$D$146:$F$146,1,AL$5)/12</f>
        <v>18333.3333333333</v>
      </c>
      <c r="AM47" s="11" t="n">
        <f aca="false">INDEX(Assumptions!$D$146:$F$146,1,AM$5)/12</f>
        <v>18333.3333333333</v>
      </c>
    </row>
    <row r="48" customFormat="false" ht="15" hidden="false" customHeight="true" outlineLevel="0" collapsed="false">
      <c r="A48" s="5" t="s">
        <v>904</v>
      </c>
      <c r="B48" s="10" t="s">
        <v>64</v>
      </c>
      <c r="C48" s="12" t="n">
        <f aca="false">SUM(D48:AM48)</f>
        <v>80851.1853962311</v>
      </c>
      <c r="D48" s="11" t="n">
        <f aca="false">Revenue!D155</f>
        <v>25</v>
      </c>
      <c r="E48" s="11" t="n">
        <f aca="false">Revenue!E155</f>
        <v>20.8333333333333</v>
      </c>
      <c r="F48" s="11" t="n">
        <f aca="false">Revenue!F155</f>
        <v>76.5052083333333</v>
      </c>
      <c r="G48" s="11" t="n">
        <f aca="false">Revenue!G155</f>
        <v>74.1762152777778</v>
      </c>
      <c r="H48" s="11" t="n">
        <f aca="false">Revenue!H155</f>
        <v>151.866319444444</v>
      </c>
      <c r="I48" s="11" t="n">
        <f aca="false">Revenue!I155</f>
        <v>160.888020833333</v>
      </c>
      <c r="J48" s="11" t="n">
        <f aca="false">Revenue!J155</f>
        <v>218.590277777778</v>
      </c>
      <c r="K48" s="11" t="n">
        <f aca="false">Revenue!K155</f>
        <v>233.296875</v>
      </c>
      <c r="L48" s="11" t="n">
        <f aca="false">Revenue!L155</f>
        <v>328.570833333333</v>
      </c>
      <c r="M48" s="11" t="n">
        <f aca="false">Revenue!M155</f>
        <v>298.339930555556</v>
      </c>
      <c r="N48" s="11" t="n">
        <f aca="false">Revenue!N155</f>
        <v>319.144965277778</v>
      </c>
      <c r="O48" s="11" t="n">
        <f aca="false">Revenue!O155</f>
        <v>303.952256944444</v>
      </c>
      <c r="P48" s="11" t="n">
        <f aca="false">Revenue!P155</f>
        <v>679.476475694444</v>
      </c>
      <c r="Q48" s="11" t="n">
        <f aca="false">Revenue!Q155</f>
        <v>658.606770833333</v>
      </c>
      <c r="R48" s="11" t="n">
        <f aca="false">Revenue!R155</f>
        <v>879.562760416667</v>
      </c>
      <c r="S48" s="11" t="n">
        <f aca="false">Revenue!S155</f>
        <v>895.495008680556</v>
      </c>
      <c r="T48" s="11" t="n">
        <f aca="false">Revenue!T155</f>
        <v>1266.47580902778</v>
      </c>
      <c r="U48" s="11" t="n">
        <f aca="false">Revenue!U155</f>
        <v>1228.25669444444</v>
      </c>
      <c r="V48" s="11" t="n">
        <f aca="false">Revenue!V155</f>
        <v>1859.59736111111</v>
      </c>
      <c r="W48" s="11" t="n">
        <f aca="false">Revenue!W155</f>
        <v>1887.6471875</v>
      </c>
      <c r="X48" s="11" t="n">
        <f aca="false">Revenue!X155</f>
        <v>2319.27167916667</v>
      </c>
      <c r="Y48" s="11" t="n">
        <f aca="false">Revenue!Y155</f>
        <v>2232.03811319444</v>
      </c>
      <c r="Z48" s="11" t="n">
        <f aca="false">Revenue!Z155</f>
        <v>2605.94316145833</v>
      </c>
      <c r="AA48" s="11" t="n">
        <f aca="false">Revenue!AA155</f>
        <v>2702.00476736111</v>
      </c>
      <c r="AB48" s="11" t="n">
        <f aca="false">Revenue!AB155</f>
        <v>3459.54183</v>
      </c>
      <c r="AC48" s="11" t="n">
        <f aca="false">Revenue!AC155</f>
        <v>3215.41724166667</v>
      </c>
      <c r="AD48" s="11" t="n">
        <f aca="false">Revenue!AD155</f>
        <v>3291.092985</v>
      </c>
      <c r="AE48" s="11" t="n">
        <f aca="false">Revenue!AE155</f>
        <v>3148.21578888889</v>
      </c>
      <c r="AF48" s="11" t="n">
        <f aca="false">Revenue!AF155</f>
        <v>3700.63662935556</v>
      </c>
      <c r="AG48" s="11" t="n">
        <f aca="false">Revenue!AG155</f>
        <v>3588.6616528</v>
      </c>
      <c r="AH48" s="11" t="n">
        <f aca="false">Revenue!AH155</f>
        <v>5242.25091155556</v>
      </c>
      <c r="AI48" s="11" t="n">
        <f aca="false">Revenue!AI155</f>
        <v>5260.78203566667</v>
      </c>
      <c r="AJ48" s="11" t="n">
        <f aca="false">Revenue!AJ155</f>
        <v>6426.51975242667</v>
      </c>
      <c r="AK48" s="11" t="n">
        <f aca="false">Revenue!AK155</f>
        <v>6365.54509091556</v>
      </c>
      <c r="AL48" s="11" t="n">
        <f aca="false">Revenue!AL155</f>
        <v>7648.21891526667</v>
      </c>
      <c r="AM48" s="11" t="n">
        <f aca="false">Revenue!AM155</f>
        <v>8078.76253768889</v>
      </c>
    </row>
    <row r="49" customFormat="false" ht="15" hidden="false" customHeight="true" outlineLevel="0" collapsed="false">
      <c r="A49" s="5" t="s">
        <v>941</v>
      </c>
      <c r="B49" s="10" t="s">
        <v>64</v>
      </c>
      <c r="C49" s="12" t="n">
        <f aca="false">SUM(D49:AM49)</f>
        <v>2473840</v>
      </c>
      <c r="D49" s="11" t="n">
        <f aca="false">Headcount!D72*(Assumptions!$D$148+Assumptions!$D$149+Assumptions!$D$150+Assumptions!$D$151)+Headcount!D75*Assumptions!$D$152+Headcount!D76+INDEX(Assumptions!$D$147:$F$147,1,D$5)/12</f>
        <v>11740</v>
      </c>
      <c r="E49" s="11" t="n">
        <f aca="false">Headcount!E72*(Assumptions!$D$148+Assumptions!$D$149+Assumptions!$D$150+Assumptions!$D$151)+Headcount!E75*Assumptions!$D$152+Headcount!E76+INDEX(Assumptions!$D$147:$F$147,1,E$5)/12</f>
        <v>4740</v>
      </c>
      <c r="F49" s="11" t="n">
        <f aca="false">Headcount!F72*(Assumptions!$D$148+Assumptions!$D$149+Assumptions!$D$150+Assumptions!$D$151)+Headcount!F75*Assumptions!$D$152+Headcount!F76+INDEX(Assumptions!$D$147:$F$147,1,F$5)/12</f>
        <v>32760</v>
      </c>
      <c r="G49" s="11" t="n">
        <f aca="false">Headcount!G72*(Assumptions!$D$148+Assumptions!$D$149+Assumptions!$D$150+Assumptions!$D$151)+Headcount!G75*Assumptions!$D$152+Headcount!G76+INDEX(Assumptions!$D$147:$F$147,1,G$5)/12</f>
        <v>29080</v>
      </c>
      <c r="H49" s="11" t="n">
        <f aca="false">Headcount!H72*(Assumptions!$D$148+Assumptions!$D$149+Assumptions!$D$150+Assumptions!$D$151)+Headcount!H75*Assumptions!$D$152+Headcount!H76+INDEX(Assumptions!$D$147:$F$147,1,H$5)/12</f>
        <v>57020</v>
      </c>
      <c r="I49" s="11" t="n">
        <f aca="false">Headcount!I72*(Assumptions!$D$148+Assumptions!$D$149+Assumptions!$D$150+Assumptions!$D$151)+Headcount!I75*Assumptions!$D$152+Headcount!I76+INDEX(Assumptions!$D$147:$F$147,1,I$5)/12</f>
        <v>80080</v>
      </c>
      <c r="J49" s="11" t="n">
        <f aca="false">Headcount!J72*(Assumptions!$D$148+Assumptions!$D$149+Assumptions!$D$150+Assumptions!$D$151)+Headcount!J75*Assumptions!$D$152+Headcount!J76+INDEX(Assumptions!$D$147:$F$147,1,J$5)/12</f>
        <v>12580</v>
      </c>
      <c r="K49" s="11" t="n">
        <f aca="false">Headcount!K72*(Assumptions!$D$148+Assumptions!$D$149+Assumptions!$D$150+Assumptions!$D$151)+Headcount!K75*Assumptions!$D$152+Headcount!K76+INDEX(Assumptions!$D$147:$F$147,1,K$5)/12</f>
        <v>84040</v>
      </c>
      <c r="L49" s="11" t="n">
        <f aca="false">Headcount!L72*(Assumptions!$D$148+Assumptions!$D$149+Assumptions!$D$150+Assumptions!$D$151)+Headcount!L75*Assumptions!$D$152+Headcount!L76+INDEX(Assumptions!$D$147:$F$147,1,L$5)/12</f>
        <v>94600</v>
      </c>
      <c r="M49" s="11" t="n">
        <f aca="false">Headcount!M72*(Assumptions!$D$148+Assumptions!$D$149+Assumptions!$D$150+Assumptions!$D$151)+Headcount!M75*Assumptions!$D$152+Headcount!M76+INDEX(Assumptions!$D$147:$F$147,1,M$5)/12</f>
        <v>101980</v>
      </c>
      <c r="N49" s="11" t="n">
        <f aca="false">Headcount!N72*(Assumptions!$D$148+Assumptions!$D$149+Assumptions!$D$150+Assumptions!$D$151)+Headcount!N75*Assumptions!$D$152+Headcount!N76+INDEX(Assumptions!$D$147:$F$147,1,N$5)/12</f>
        <v>63620</v>
      </c>
      <c r="O49" s="11" t="n">
        <f aca="false">Headcount!O72*(Assumptions!$D$148+Assumptions!$D$149+Assumptions!$D$150+Assumptions!$D$151)+Headcount!O75*Assumptions!$D$152+Headcount!O76+INDEX(Assumptions!$D$147:$F$147,1,O$5)/12</f>
        <v>115300</v>
      </c>
      <c r="P49" s="11" t="n">
        <f aca="false">Headcount!P72*(Assumptions!$D$148+Assumptions!$D$149+Assumptions!$D$150+Assumptions!$D$151)+Headcount!P75*Assumptions!$D$152+Headcount!P76+INDEX(Assumptions!$D$147:$F$147,1,P$5)/12</f>
        <v>74640</v>
      </c>
      <c r="Q49" s="11" t="n">
        <f aca="false">Headcount!Q72*(Assumptions!$D$148+Assumptions!$D$149+Assumptions!$D$150+Assumptions!$D$151)+Headcount!Q75*Assumptions!$D$152+Headcount!Q76+INDEX(Assumptions!$D$147:$F$147,1,Q$5)/12</f>
        <v>67880</v>
      </c>
      <c r="R49" s="11" t="n">
        <f aca="false">Headcount!R72*(Assumptions!$D$148+Assumptions!$D$149+Assumptions!$D$150+Assumptions!$D$151)+Headcount!R75*Assumptions!$D$152+Headcount!R76+INDEX(Assumptions!$D$147:$F$147,1,R$5)/12</f>
        <v>105340</v>
      </c>
      <c r="S49" s="11" t="n">
        <f aca="false">Headcount!S72*(Assumptions!$D$148+Assumptions!$D$149+Assumptions!$D$150+Assumptions!$D$151)+Headcount!S75*Assumptions!$D$152+Headcount!S76+INDEX(Assumptions!$D$147:$F$147,1,S$5)/12</f>
        <v>75880</v>
      </c>
      <c r="T49" s="11" t="n">
        <f aca="false">Headcount!T72*(Assumptions!$D$148+Assumptions!$D$149+Assumptions!$D$150+Assumptions!$D$151)+Headcount!T75*Assumptions!$D$152+Headcount!T76+INDEX(Assumptions!$D$147:$F$147,1,T$5)/12</f>
        <v>58500</v>
      </c>
      <c r="U49" s="11" t="n">
        <f aca="false">Headcount!U72*(Assumptions!$D$148+Assumptions!$D$149+Assumptions!$D$150+Assumptions!$D$151)+Headcount!U75*Assumptions!$D$152+Headcount!U76+INDEX(Assumptions!$D$147:$F$147,1,U$5)/12</f>
        <v>69820</v>
      </c>
      <c r="V49" s="11" t="n">
        <f aca="false">Headcount!V72*(Assumptions!$D$148+Assumptions!$D$149+Assumptions!$D$150+Assumptions!$D$151)+Headcount!V75*Assumptions!$D$152+Headcount!V76+INDEX(Assumptions!$D$147:$F$147,1,V$5)/12</f>
        <v>63740</v>
      </c>
      <c r="W49" s="11" t="n">
        <f aca="false">Headcount!W72*(Assumptions!$D$148+Assumptions!$D$149+Assumptions!$D$150+Assumptions!$D$151)+Headcount!W75*Assumptions!$D$152+Headcount!W76+INDEX(Assumptions!$D$147:$F$147,1,W$5)/12</f>
        <v>92280</v>
      </c>
      <c r="X49" s="11" t="n">
        <f aca="false">Headcount!X72*(Assumptions!$D$148+Assumptions!$D$149+Assumptions!$D$150+Assumptions!$D$151)+Headcount!X75*Assumptions!$D$152+Headcount!X76+INDEX(Assumptions!$D$147:$F$147,1,X$5)/12</f>
        <v>66500</v>
      </c>
      <c r="Y49" s="11" t="n">
        <f aca="false">Headcount!Y72*(Assumptions!$D$148+Assumptions!$D$149+Assumptions!$D$150+Assumptions!$D$151)+Headcount!Y75*Assumptions!$D$152+Headcount!Y76+INDEX(Assumptions!$D$147:$F$147,1,Y$5)/12</f>
        <v>89640</v>
      </c>
      <c r="Z49" s="11" t="n">
        <f aca="false">Headcount!Z72*(Assumptions!$D$148+Assumptions!$D$149+Assumptions!$D$150+Assumptions!$D$151)+Headcount!Z75*Assumptions!$D$152+Headcount!Z76+INDEX(Assumptions!$D$147:$F$147,1,Z$5)/12</f>
        <v>52040</v>
      </c>
      <c r="AA49" s="11" t="n">
        <f aca="false">Headcount!AA72*(Assumptions!$D$148+Assumptions!$D$149+Assumptions!$D$150+Assumptions!$D$151)+Headcount!AA75*Assumptions!$D$152+Headcount!AA76+INDEX(Assumptions!$D$147:$F$147,1,AA$5)/12</f>
        <v>99080</v>
      </c>
      <c r="AB49" s="11" t="n">
        <f aca="false">Headcount!AB72*(Assumptions!$D$148+Assumptions!$D$149+Assumptions!$D$150+Assumptions!$D$151)+Headcount!AB75*Assumptions!$D$152+Headcount!AB76+INDEX(Assumptions!$D$147:$F$147,1,AB$5)/12</f>
        <v>85400</v>
      </c>
      <c r="AC49" s="11" t="n">
        <f aca="false">Headcount!AC72*(Assumptions!$D$148+Assumptions!$D$149+Assumptions!$D$150+Assumptions!$D$151)+Headcount!AC75*Assumptions!$D$152+Headcount!AC76+INDEX(Assumptions!$D$147:$F$147,1,AC$5)/12</f>
        <v>57900</v>
      </c>
      <c r="AD49" s="11" t="n">
        <f aca="false">Headcount!AD72*(Assumptions!$D$148+Assumptions!$D$149+Assumptions!$D$150+Assumptions!$D$151)+Headcount!AD75*Assumptions!$D$152+Headcount!AD76+INDEX(Assumptions!$D$147:$F$147,1,AD$5)/12</f>
        <v>127560</v>
      </c>
      <c r="AE49" s="11" t="n">
        <f aca="false">Headcount!AE72*(Assumptions!$D$148+Assumptions!$D$149+Assumptions!$D$150+Assumptions!$D$151)+Headcount!AE75*Assumptions!$D$152+Headcount!AE76+INDEX(Assumptions!$D$147:$F$147,1,AE$5)/12</f>
        <v>92100</v>
      </c>
      <c r="AF49" s="11" t="n">
        <f aca="false">Headcount!AF72*(Assumptions!$D$148+Assumptions!$D$149+Assumptions!$D$150+Assumptions!$D$151)+Headcount!AF75*Assumptions!$D$152+Headcount!AF76+INDEX(Assumptions!$D$147:$F$147,1,AF$5)/12</f>
        <v>63500</v>
      </c>
      <c r="AG49" s="11" t="n">
        <f aca="false">Headcount!AG72*(Assumptions!$D$148+Assumptions!$D$149+Assumptions!$D$150+Assumptions!$D$151)+Headcount!AG75*Assumptions!$D$152+Headcount!AG76+INDEX(Assumptions!$D$147:$F$147,1,AG$5)/12</f>
        <v>63500</v>
      </c>
      <c r="AH49" s="11" t="n">
        <f aca="false">Headcount!AH72*(Assumptions!$D$148+Assumptions!$D$149+Assumptions!$D$150+Assumptions!$D$151)+Headcount!AH75*Assumptions!$D$152+Headcount!AH76+INDEX(Assumptions!$D$147:$F$147,1,AH$5)/12</f>
        <v>63500</v>
      </c>
      <c r="AI49" s="11" t="n">
        <f aca="false">Headcount!AI72*(Assumptions!$D$148+Assumptions!$D$149+Assumptions!$D$150+Assumptions!$D$151)+Headcount!AI75*Assumptions!$D$152+Headcount!AI76+INDEX(Assumptions!$D$147:$F$147,1,AI$5)/12</f>
        <v>63500</v>
      </c>
      <c r="AJ49" s="11" t="n">
        <f aca="false">Headcount!AJ72*(Assumptions!$D$148+Assumptions!$D$149+Assumptions!$D$150+Assumptions!$D$151)+Headcount!AJ75*Assumptions!$D$152+Headcount!AJ76+INDEX(Assumptions!$D$147:$F$147,1,AJ$5)/12</f>
        <v>63500</v>
      </c>
      <c r="AK49" s="11" t="n">
        <f aca="false">Headcount!AK72*(Assumptions!$D$148+Assumptions!$D$149+Assumptions!$D$150+Assumptions!$D$151)+Headcount!AK75*Assumptions!$D$152+Headcount!AK76+INDEX(Assumptions!$D$147:$F$147,1,AK$5)/12</f>
        <v>63500</v>
      </c>
      <c r="AL49" s="11" t="n">
        <f aca="false">Headcount!AL72*(Assumptions!$D$148+Assumptions!$D$149+Assumptions!$D$150+Assumptions!$D$151)+Headcount!AL75*Assumptions!$D$152+Headcount!AL76+INDEX(Assumptions!$D$147:$F$147,1,AL$5)/12</f>
        <v>63500</v>
      </c>
      <c r="AM49" s="11" t="n">
        <f aca="false">Headcount!AM72*(Assumptions!$D$148+Assumptions!$D$149+Assumptions!$D$150+Assumptions!$D$151)+Headcount!AM75*Assumptions!$D$152+Headcount!AM76+INDEX(Assumptions!$D$147:$F$147,1,AM$5)/12</f>
        <v>63500</v>
      </c>
    </row>
    <row r="50" customFormat="false" ht="15" hidden="false" customHeight="true" outlineLevel="0" collapsed="false">
      <c r="A50" s="5" t="s">
        <v>942</v>
      </c>
      <c r="B50" s="10" t="s">
        <v>64</v>
      </c>
      <c r="C50" s="12" t="n">
        <f aca="false">SUM(D50:AM50)</f>
        <v>327642</v>
      </c>
      <c r="D50" s="11" t="n">
        <f aca="false">Assumptions!$D$154*(D39+D40+D42+D44+D45+D46+D47+D49)</f>
        <v>9103.66666666667</v>
      </c>
      <c r="E50" s="11" t="n">
        <f aca="false">Assumptions!$D$154*(E39+E40+E42+E44+E45+E46+E47+E49)</f>
        <v>1978.66666666667</v>
      </c>
      <c r="F50" s="11" t="n">
        <f aca="false">Assumptions!$D$154*(F39+F40+F42+F44+F45+F46+F47+F49)</f>
        <v>3517.16666666667</v>
      </c>
      <c r="G50" s="11" t="n">
        <f aca="false">Assumptions!$D$154*(G39+G40+G42+G44+G45+G46+G47+G49)</f>
        <v>3270.66666666667</v>
      </c>
      <c r="H50" s="11" t="n">
        <f aca="false">Assumptions!$D$154*(H39+H40+H42+H44+H45+H46+H47+H49)</f>
        <v>4655.16666666667</v>
      </c>
      <c r="I50" s="11" t="n">
        <f aca="false">Assumptions!$D$154*(I39+I40+I42+I44+I45+I46+I47+I49)</f>
        <v>5783.16666666667</v>
      </c>
      <c r="J50" s="11" t="n">
        <f aca="false">Assumptions!$D$154*(J39+J40+J42+J44+J45+J46+J47+J49)</f>
        <v>2383.16666666667</v>
      </c>
      <c r="K50" s="11" t="n">
        <f aca="false">Assumptions!$D$154*(K39+K40+K42+K44+K45+K46+K47+K49)</f>
        <v>5956.16666666667</v>
      </c>
      <c r="L50" s="11" t="n">
        <f aca="false">Assumptions!$D$154*(L39+L40+L42+L44+L45+L46+L47+L49)</f>
        <v>6521.66666666667</v>
      </c>
      <c r="M50" s="11" t="n">
        <f aca="false">Assumptions!$D$154*(M39+M40+M42+M44+M45+M46+M47+M49)</f>
        <v>7103.16666666667</v>
      </c>
      <c r="N50" s="11" t="n">
        <f aca="false">Assumptions!$D$154*(N39+N40+N42+N44+N45+N46+N47+N49)</f>
        <v>5210.16666666667</v>
      </c>
      <c r="O50" s="11" t="n">
        <f aca="false">Assumptions!$D$154*(O39+O40+O42+O44+O45+O46+O47+O49)</f>
        <v>7594.16666666667</v>
      </c>
      <c r="P50" s="11" t="n">
        <f aca="false">Assumptions!$D$154*(P39+P40+P42+P44+P45+P46+P47+P49)</f>
        <v>28898.6666666667</v>
      </c>
      <c r="Q50" s="11" t="n">
        <f aca="false">Assumptions!$D$154*(Q39+Q40+Q42+Q44+Q45+Q46+Q47+Q49)</f>
        <v>7485.66666666667</v>
      </c>
      <c r="R50" s="11" t="n">
        <f aca="false">Assumptions!$D$154*(R39+R40+R42+R44+R45+R46+R47+R49)</f>
        <v>9771.16666666667</v>
      </c>
      <c r="S50" s="11" t="n">
        <f aca="false">Assumptions!$D$154*(S39+S40+S42+S44+S45+S46+S47+S49)</f>
        <v>8110.66666666667</v>
      </c>
      <c r="T50" s="11" t="n">
        <f aca="false">Assumptions!$D$154*(T39+T40+T42+T44+T45+T46+T47+T49)</f>
        <v>7204.16666666667</v>
      </c>
      <c r="U50" s="11" t="n">
        <f aca="false">Assumptions!$D$154*(U39+U40+U42+U44+U45+U46+U47+U49)</f>
        <v>7695.16666666667</v>
      </c>
      <c r="V50" s="11" t="n">
        <f aca="false">Assumptions!$D$154*(V39+V40+V42+V44+V45+V46+V47+V49)</f>
        <v>7316.16666666667</v>
      </c>
      <c r="W50" s="11" t="n">
        <f aca="false">Assumptions!$D$154*(W39+W40+W42+W44+W45+W46+W47+W49)</f>
        <v>8743.16666666667</v>
      </c>
      <c r="X50" s="11" t="n">
        <f aca="false">Assumptions!$D$154*(X39+X40+X42+X44+X45+X46+X47+X49)</f>
        <v>7566.66666666667</v>
      </c>
      <c r="Y50" s="11" t="n">
        <f aca="false">Assumptions!$D$154*(Y39+Y40+Y42+Y44+Y45+Y46+Y47+Y49)</f>
        <v>9361.16666666667</v>
      </c>
      <c r="Z50" s="11" t="n">
        <f aca="false">Assumptions!$D$154*(Z39+Z40+Z42+Z44+Z45+Z46+Z47+Z49)</f>
        <v>7556.16666666667</v>
      </c>
      <c r="AA50" s="11" t="n">
        <f aca="false">Assumptions!$D$154*(AA39+AA40+AA42+AA44+AA45+AA46+AA47+AA49)</f>
        <v>9308.16666666667</v>
      </c>
      <c r="AB50" s="11" t="n">
        <f aca="false">Assumptions!$D$154*(AB39+AB40+AB42+AB44+AB45+AB46+AB47+AB49)</f>
        <v>11332.5</v>
      </c>
      <c r="AC50" s="11" t="n">
        <f aca="false">Assumptions!$D$154*(AC39+AC40+AC42+AC44+AC45+AC46+AC47+AC49)</f>
        <v>23332.5</v>
      </c>
      <c r="AD50" s="11" t="n">
        <f aca="false">Assumptions!$D$154*(AD39+AD40+AD42+AD44+AD45+AD46+AD47+AD49)</f>
        <v>14003</v>
      </c>
      <c r="AE50" s="11" t="n">
        <f aca="false">Assumptions!$D$154*(AE39+AE40+AE42+AE44+AE45+AE46+AE47+AE49)</f>
        <v>11917.5</v>
      </c>
      <c r="AF50" s="11" t="n">
        <f aca="false">Assumptions!$D$154*(AF39+AF40+AF42+AF44+AF45+AF46+AF47+AF49)</f>
        <v>10425</v>
      </c>
      <c r="AG50" s="11" t="n">
        <f aca="false">Assumptions!$D$154*(AG39+AG40+AG42+AG44+AG45+AG46+AG47+AG49)</f>
        <v>10300</v>
      </c>
      <c r="AH50" s="11" t="n">
        <f aca="false">Assumptions!$D$154*(AH39+AH40+AH42+AH44+AH45+AH46+AH47+AH49)</f>
        <v>10175</v>
      </c>
      <c r="AI50" s="11" t="n">
        <f aca="false">Assumptions!$D$154*(AI39+AI40+AI42+AI44+AI45+AI46+AI47+AI49)</f>
        <v>10175</v>
      </c>
      <c r="AJ50" s="11" t="n">
        <f aca="false">Assumptions!$D$154*(AJ39+AJ40+AJ42+AJ44+AJ45+AJ46+AJ47+AJ49)</f>
        <v>10362.5</v>
      </c>
      <c r="AK50" s="11" t="n">
        <f aca="false">Assumptions!$D$154*(AK39+AK40+AK42+AK44+AK45+AK46+AK47+AK49)</f>
        <v>11425</v>
      </c>
      <c r="AL50" s="11" t="n">
        <f aca="false">Assumptions!$D$154*(AL39+AL40+AL42+AL44+AL45+AL46+AL47+AL49)</f>
        <v>11550</v>
      </c>
      <c r="AM50" s="11" t="n">
        <f aca="false">Assumptions!$D$154*(AM39+AM40+AM42+AM44+AM45+AM46+AM47+AM49)</f>
        <v>10550</v>
      </c>
    </row>
    <row r="51" customFormat="false" ht="15" hidden="false" customHeight="true" outlineLevel="0" collapsed="false">
      <c r="A51" s="5" t="s">
        <v>943</v>
      </c>
      <c r="B51" s="10" t="s">
        <v>64</v>
      </c>
      <c r="C51" s="12" t="n">
        <f aca="false">SUM(D51:AM51)</f>
        <v>0</v>
      </c>
      <c r="D51" s="11" t="n">
        <f aca="false">Scenario_Control!$M$24*IF(AND(D$3&gt;=Assumptions!$D$167,D$3&lt;=Assumptions!$D$167+2),Assumptions!$D$225/3,0)</f>
        <v>0</v>
      </c>
      <c r="E51" s="11" t="n">
        <f aca="false">Scenario_Control!$M$24*IF(AND(E$3&gt;=Assumptions!$D$167,E$3&lt;=Assumptions!$D$167+2),Assumptions!$D$225/3,0)</f>
        <v>0</v>
      </c>
      <c r="F51" s="11" t="n">
        <f aca="false">Scenario_Control!$M$24*IF(AND(F$3&gt;=Assumptions!$D$167,F$3&lt;=Assumptions!$D$167+2),Assumptions!$D$225/3,0)</f>
        <v>0</v>
      </c>
      <c r="G51" s="11" t="n">
        <f aca="false">Scenario_Control!$M$24*IF(AND(G$3&gt;=Assumptions!$D$167,G$3&lt;=Assumptions!$D$167+2),Assumptions!$D$225/3,0)</f>
        <v>0</v>
      </c>
      <c r="H51" s="11" t="n">
        <f aca="false">Scenario_Control!$M$24*IF(AND(H$3&gt;=Assumptions!$D$167,H$3&lt;=Assumptions!$D$167+2),Assumptions!$D$225/3,0)</f>
        <v>0</v>
      </c>
      <c r="I51" s="11" t="n">
        <f aca="false">Scenario_Control!$M$24*IF(AND(I$3&gt;=Assumptions!$D$167,I$3&lt;=Assumptions!$D$167+2),Assumptions!$D$225/3,0)</f>
        <v>0</v>
      </c>
      <c r="J51" s="11" t="n">
        <f aca="false">Scenario_Control!$M$24*IF(AND(J$3&gt;=Assumptions!$D$167,J$3&lt;=Assumptions!$D$167+2),Assumptions!$D$225/3,0)</f>
        <v>0</v>
      </c>
      <c r="K51" s="11" t="n">
        <f aca="false">Scenario_Control!$M$24*IF(AND(K$3&gt;=Assumptions!$D$167,K$3&lt;=Assumptions!$D$167+2),Assumptions!$D$225/3,0)</f>
        <v>0</v>
      </c>
      <c r="L51" s="11" t="n">
        <f aca="false">Scenario_Control!$M$24*IF(AND(L$3&gt;=Assumptions!$D$167,L$3&lt;=Assumptions!$D$167+2),Assumptions!$D$225/3,0)</f>
        <v>0</v>
      </c>
      <c r="M51" s="11" t="n">
        <f aca="false">Scenario_Control!$M$24*IF(AND(M$3&gt;=Assumptions!$D$167,M$3&lt;=Assumptions!$D$167+2),Assumptions!$D$225/3,0)</f>
        <v>0</v>
      </c>
      <c r="N51" s="11" t="n">
        <f aca="false">Scenario_Control!$M$24*IF(AND(N$3&gt;=Assumptions!$D$167,N$3&lt;=Assumptions!$D$167+2),Assumptions!$D$225/3,0)</f>
        <v>0</v>
      </c>
      <c r="O51" s="11" t="n">
        <f aca="false">Scenario_Control!$M$24*IF(AND(O$3&gt;=Assumptions!$D$167,O$3&lt;=Assumptions!$D$167+2),Assumptions!$D$225/3,0)</f>
        <v>0</v>
      </c>
      <c r="P51" s="11" t="n">
        <f aca="false">Scenario_Control!$M$24*IF(AND(P$3&gt;=Assumptions!$D$167,P$3&lt;=Assumptions!$D$167+2),Assumptions!$D$225/3,0)</f>
        <v>0</v>
      </c>
      <c r="Q51" s="11" t="n">
        <f aca="false">Scenario_Control!$M$24*IF(AND(Q$3&gt;=Assumptions!$D$167,Q$3&lt;=Assumptions!$D$167+2),Assumptions!$D$225/3,0)</f>
        <v>0</v>
      </c>
      <c r="R51" s="11" t="n">
        <f aca="false">Scenario_Control!$M$24*IF(AND(R$3&gt;=Assumptions!$D$167,R$3&lt;=Assumptions!$D$167+2),Assumptions!$D$225/3,0)</f>
        <v>0</v>
      </c>
      <c r="S51" s="11" t="n">
        <f aca="false">Scenario_Control!$M$24*IF(AND(S$3&gt;=Assumptions!$D$167,S$3&lt;=Assumptions!$D$167+2),Assumptions!$D$225/3,0)</f>
        <v>0</v>
      </c>
      <c r="T51" s="11" t="n">
        <f aca="false">Scenario_Control!$M$24*IF(AND(T$3&gt;=Assumptions!$D$167,T$3&lt;=Assumptions!$D$167+2),Assumptions!$D$225/3,0)</f>
        <v>0</v>
      </c>
      <c r="U51" s="11" t="n">
        <f aca="false">Scenario_Control!$M$24*IF(AND(U$3&gt;=Assumptions!$D$167,U$3&lt;=Assumptions!$D$167+2),Assumptions!$D$225/3,0)</f>
        <v>0</v>
      </c>
      <c r="V51" s="11" t="n">
        <f aca="false">Scenario_Control!$M$24*IF(AND(V$3&gt;=Assumptions!$D$167,V$3&lt;=Assumptions!$D$167+2),Assumptions!$D$225/3,0)</f>
        <v>0</v>
      </c>
      <c r="W51" s="11" t="n">
        <f aca="false">Scenario_Control!$M$24*IF(AND(W$3&gt;=Assumptions!$D$167,W$3&lt;=Assumptions!$D$167+2),Assumptions!$D$225/3,0)</f>
        <v>0</v>
      </c>
      <c r="X51" s="11" t="n">
        <f aca="false">Scenario_Control!$M$24*IF(AND(X$3&gt;=Assumptions!$D$167,X$3&lt;=Assumptions!$D$167+2),Assumptions!$D$225/3,0)</f>
        <v>0</v>
      </c>
      <c r="Y51" s="11" t="n">
        <f aca="false">Scenario_Control!$M$24*IF(AND(Y$3&gt;=Assumptions!$D$167,Y$3&lt;=Assumptions!$D$167+2),Assumptions!$D$225/3,0)</f>
        <v>0</v>
      </c>
      <c r="Z51" s="11" t="n">
        <f aca="false">Scenario_Control!$M$24*IF(AND(Z$3&gt;=Assumptions!$D$167,Z$3&lt;=Assumptions!$D$167+2),Assumptions!$D$225/3,0)</f>
        <v>0</v>
      </c>
      <c r="AA51" s="11" t="n">
        <f aca="false">Scenario_Control!$M$24*IF(AND(AA$3&gt;=Assumptions!$D$167,AA$3&lt;=Assumptions!$D$167+2),Assumptions!$D$225/3,0)</f>
        <v>0</v>
      </c>
      <c r="AB51" s="11" t="n">
        <f aca="false">Scenario_Control!$M$24*IF(AND(AB$3&gt;=Assumptions!$D$167,AB$3&lt;=Assumptions!$D$167+2),Assumptions!$D$225/3,0)</f>
        <v>0</v>
      </c>
      <c r="AC51" s="11" t="n">
        <f aca="false">Scenario_Control!$M$24*IF(AND(AC$3&gt;=Assumptions!$D$167,AC$3&lt;=Assumptions!$D$167+2),Assumptions!$D$225/3,0)</f>
        <v>0</v>
      </c>
      <c r="AD51" s="11" t="n">
        <f aca="false">Scenario_Control!$M$24*IF(AND(AD$3&gt;=Assumptions!$D$167,AD$3&lt;=Assumptions!$D$167+2),Assumptions!$D$225/3,0)</f>
        <v>0</v>
      </c>
      <c r="AE51" s="11" t="n">
        <f aca="false">Scenario_Control!$M$24*IF(AND(AE$3&gt;=Assumptions!$D$167,AE$3&lt;=Assumptions!$D$167+2),Assumptions!$D$225/3,0)</f>
        <v>0</v>
      </c>
      <c r="AF51" s="11" t="n">
        <f aca="false">Scenario_Control!$M$24*IF(AND(AF$3&gt;=Assumptions!$D$167,AF$3&lt;=Assumptions!$D$167+2),Assumptions!$D$225/3,0)</f>
        <v>0</v>
      </c>
      <c r="AG51" s="11" t="n">
        <f aca="false">Scenario_Control!$M$24*IF(AND(AG$3&gt;=Assumptions!$D$167,AG$3&lt;=Assumptions!$D$167+2),Assumptions!$D$225/3,0)</f>
        <v>0</v>
      </c>
      <c r="AH51" s="11" t="n">
        <f aca="false">Scenario_Control!$M$24*IF(AND(AH$3&gt;=Assumptions!$D$167,AH$3&lt;=Assumptions!$D$167+2),Assumptions!$D$225/3,0)</f>
        <v>0</v>
      </c>
      <c r="AI51" s="11" t="n">
        <f aca="false">Scenario_Control!$M$24*IF(AND(AI$3&gt;=Assumptions!$D$167,AI$3&lt;=Assumptions!$D$167+2),Assumptions!$D$225/3,0)</f>
        <v>0</v>
      </c>
      <c r="AJ51" s="11" t="n">
        <f aca="false">Scenario_Control!$M$24*IF(AND(AJ$3&gt;=Assumptions!$D$167,AJ$3&lt;=Assumptions!$D$167+2),Assumptions!$D$225/3,0)</f>
        <v>0</v>
      </c>
      <c r="AK51" s="11" t="n">
        <f aca="false">Scenario_Control!$M$24*IF(AND(AK$3&gt;=Assumptions!$D$167,AK$3&lt;=Assumptions!$D$167+2),Assumptions!$D$225/3,0)</f>
        <v>0</v>
      </c>
      <c r="AL51" s="11" t="n">
        <f aca="false">Scenario_Control!$M$24*IF(AND(AL$3&gt;=Assumptions!$D$167,AL$3&lt;=Assumptions!$D$167+2),Assumptions!$D$225/3,0)</f>
        <v>0</v>
      </c>
      <c r="AM51" s="11" t="n">
        <f aca="false">Scenario_Control!$M$24*IF(AND(AM$3&gt;=Assumptions!$D$167,AM$3&lt;=Assumptions!$D$167+2),Assumptions!$D$225/3,0)</f>
        <v>0</v>
      </c>
    </row>
    <row r="52" customFormat="false" ht="15" hidden="false" customHeight="true" outlineLevel="0" collapsed="false">
      <c r="A52" s="13" t="s">
        <v>944</v>
      </c>
      <c r="B52" s="14" t="s">
        <v>64</v>
      </c>
      <c r="C52" s="15" t="n">
        <f aca="false">SUM(D52:AM52)</f>
        <v>23569565.3707925</v>
      </c>
      <c r="D52" s="15" t="n">
        <f aca="false">SUM(D36:D51)</f>
        <v>213477</v>
      </c>
      <c r="E52" s="15" t="n">
        <f aca="false">SUM(E36:E51)</f>
        <v>63802</v>
      </c>
      <c r="F52" s="15" t="n">
        <f aca="false">SUM(F36:F51)</f>
        <v>115888.510416667</v>
      </c>
      <c r="G52" s="15" t="n">
        <f aca="false">SUM(G36:G51)</f>
        <v>126249.019097222</v>
      </c>
      <c r="H52" s="15" t="n">
        <f aca="false">SUM(H36:H51)</f>
        <v>189645.565972222</v>
      </c>
      <c r="I52" s="15" t="n">
        <f aca="false">SUM(I36:I51)</f>
        <v>260934.942708333</v>
      </c>
      <c r="J52" s="15" t="n">
        <f aca="false">SUM(J36:J51)</f>
        <v>189733.680555556</v>
      </c>
      <c r="K52" s="15" t="n">
        <f aca="false">SUM(K36:K51)</f>
        <v>312754.427083333</v>
      </c>
      <c r="L52" s="15" t="n">
        <f aca="false">SUM(L36:L51)</f>
        <v>378528.808333333</v>
      </c>
      <c r="M52" s="15" t="n">
        <f aca="false">SUM(M36:M51)</f>
        <v>434471.513194445</v>
      </c>
      <c r="N52" s="15" t="n">
        <f aca="false">SUM(N36:N51)</f>
        <v>408718.456597222</v>
      </c>
      <c r="O52" s="15" t="n">
        <f aca="false">SUM(O36:O51)</f>
        <v>517835.404513889</v>
      </c>
      <c r="P52" s="15" t="n">
        <f aca="false">SUM(P36:P51)</f>
        <v>1008440.95295139</v>
      </c>
      <c r="Q52" s="15" t="n">
        <f aca="false">SUM(Q36:Q51)</f>
        <v>578115.380208333</v>
      </c>
      <c r="R52" s="15" t="n">
        <f aca="false">SUM(R36:R51)</f>
        <v>675686.125520833</v>
      </c>
      <c r="S52" s="15" t="n">
        <f aca="false">SUM(S36:S51)</f>
        <v>663688.323350694</v>
      </c>
      <c r="T52" s="15" t="n">
        <f aca="false">SUM(T36:T51)</f>
        <v>648177.118284722</v>
      </c>
      <c r="U52" s="15" t="n">
        <f aca="false">SUM(U36:U51)</f>
        <v>677828.346722222</v>
      </c>
      <c r="V52" s="15" t="n">
        <f aca="false">SUM(V36:V51)</f>
        <v>672523.694722222</v>
      </c>
      <c r="W52" s="15" t="n">
        <f aca="false">SUM(W36:W51)</f>
        <v>733265.961041667</v>
      </c>
      <c r="X52" s="15" t="n">
        <f aca="false">SUM(X36:X51)</f>
        <v>715881.876691667</v>
      </c>
      <c r="Y52" s="15" t="n">
        <f aca="false">SUM(Y36:Y51)</f>
        <v>776177.742893056</v>
      </c>
      <c r="Z52" s="15" t="n">
        <f aca="false">SUM(Z36:Z51)</f>
        <v>738324.71965625</v>
      </c>
      <c r="AA52" s="15" t="n">
        <f aca="false">SUM(AA36:AA51)</f>
        <v>809145.509534722</v>
      </c>
      <c r="AB52" s="15" t="n">
        <f aca="false">SUM(AB36:AB51)</f>
        <v>899362.43366</v>
      </c>
      <c r="AC52" s="15" t="n">
        <f aca="false">SUM(AC36:AC51)</f>
        <v>1149036.68448333</v>
      </c>
      <c r="AD52" s="15" t="n">
        <f aca="false">SUM(AD36:AD51)</f>
        <v>997750.03597</v>
      </c>
      <c r="AE52" s="15" t="n">
        <f aca="false">SUM(AE36:AE51)</f>
        <v>974602.481577778</v>
      </c>
      <c r="AF52" s="15" t="n">
        <f aca="false">SUM(AF36:AF51)</f>
        <v>951714.823258711</v>
      </c>
      <c r="AG52" s="15" t="n">
        <f aca="false">SUM(AG36:AG51)</f>
        <v>952540.8733056</v>
      </c>
      <c r="AH52" s="15" t="n">
        <f aca="false">SUM(AH36:AH51)</f>
        <v>956898.051823111</v>
      </c>
      <c r="AI52" s="15" t="n">
        <f aca="false">SUM(AI36:AI51)</f>
        <v>955097.614071333</v>
      </c>
      <c r="AJ52" s="15" t="n">
        <f aca="false">SUM(AJ36:AJ51)</f>
        <v>948504.089504853</v>
      </c>
      <c r="AK52" s="15" t="n">
        <f aca="false">SUM(AK36:AK51)</f>
        <v>961507.140181831</v>
      </c>
      <c r="AL52" s="15" t="n">
        <f aca="false">SUM(AL36:AL51)</f>
        <v>964859.987830533</v>
      </c>
      <c r="AM52" s="15" t="n">
        <f aca="false">SUM(AM36:AM51)</f>
        <v>948396.075075378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7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 collapsed="false" customWidth="true" hidden="false" outlineLevel="0" max="47" min="41" style="1" width="12"/>
    <col collapsed="false" customWidth="true" hidden="false" outlineLevel="0" max="49" min="48" style="0" width="14"/>
  </cols>
  <sheetData>
    <row r="1" customFormat="false" ht="17.25" hidden="false" customHeight="true" outlineLevel="0" collapsed="false">
      <c r="A1" s="2" t="s">
        <v>945</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23.2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c r="AO8" s="7" t="s">
        <v>946</v>
      </c>
      <c r="AP8" s="7" t="s">
        <v>947</v>
      </c>
      <c r="AQ8" s="7" t="s">
        <v>948</v>
      </c>
      <c r="AR8" s="7" t="s">
        <v>949</v>
      </c>
      <c r="AS8" s="7" t="s">
        <v>950</v>
      </c>
      <c r="AT8" s="7" t="s">
        <v>951</v>
      </c>
      <c r="AU8" s="7" t="s">
        <v>952</v>
      </c>
      <c r="AV8" s="7" t="s">
        <v>953</v>
      </c>
      <c r="AW8" s="7" t="s">
        <v>954</v>
      </c>
    </row>
    <row r="9" customFormat="false" ht="15" hidden="false" customHeight="true" outlineLevel="0" collapsed="false">
      <c r="A9" s="5" t="s">
        <v>955</v>
      </c>
      <c r="B9" s="10" t="s">
        <v>82</v>
      </c>
      <c r="C9" s="12" t="n">
        <f aca="false">SUM(D9:AM9)</f>
        <v>333817.2</v>
      </c>
      <c r="D9" s="11" t="n">
        <f aca="false">$AO9*IF(D$3&gt;=$AP9+$AQ9*Scenario_Control!$M$19,$AS9*(1+Assumptions!$D$9)/12*(1+Assumptions!$D$8)^(D$5-1)*IF($AQ9=1,Scenario_Control!$M$20,1),0)</f>
        <v>9000</v>
      </c>
      <c r="E9" s="11" t="n">
        <f aca="false">$AO9*IF(E$3&gt;=$AP9+$AQ9*Scenario_Control!$M$19,$AS9*(1+Assumptions!$D$9)/12*(1+Assumptions!$D$8)^(E$5-1)*IF($AQ9=1,Scenario_Control!$M$20,1),0)</f>
        <v>9000</v>
      </c>
      <c r="F9" s="11" t="n">
        <f aca="false">$AO9*IF(F$3&gt;=$AP9+$AQ9*Scenario_Control!$M$19,$AS9*(1+Assumptions!$D$9)/12*(1+Assumptions!$D$8)^(F$5-1)*IF($AQ9=1,Scenario_Control!$M$20,1),0)</f>
        <v>9000</v>
      </c>
      <c r="G9" s="11" t="n">
        <f aca="false">$AO9*IF(G$3&gt;=$AP9+$AQ9*Scenario_Control!$M$19,$AS9*(1+Assumptions!$D$9)/12*(1+Assumptions!$D$8)^(G$5-1)*IF($AQ9=1,Scenario_Control!$M$20,1),0)</f>
        <v>9000</v>
      </c>
      <c r="H9" s="11" t="n">
        <f aca="false">$AO9*IF(H$3&gt;=$AP9+$AQ9*Scenario_Control!$M$19,$AS9*(1+Assumptions!$D$9)/12*(1+Assumptions!$D$8)^(H$5-1)*IF($AQ9=1,Scenario_Control!$M$20,1),0)</f>
        <v>9000</v>
      </c>
      <c r="I9" s="11" t="n">
        <f aca="false">$AO9*IF(I$3&gt;=$AP9+$AQ9*Scenario_Control!$M$19,$AS9*(1+Assumptions!$D$9)/12*(1+Assumptions!$D$8)^(I$5-1)*IF($AQ9=1,Scenario_Control!$M$20,1),0)</f>
        <v>9000</v>
      </c>
      <c r="J9" s="11" t="n">
        <f aca="false">$AO9*IF(J$3&gt;=$AP9+$AQ9*Scenario_Control!$M$19,$AS9*(1+Assumptions!$D$9)/12*(1+Assumptions!$D$8)^(J$5-1)*IF($AQ9=1,Scenario_Control!$M$20,1),0)</f>
        <v>9000</v>
      </c>
      <c r="K9" s="11" t="n">
        <f aca="false">$AO9*IF(K$3&gt;=$AP9+$AQ9*Scenario_Control!$M$19,$AS9*(1+Assumptions!$D$9)/12*(1+Assumptions!$D$8)^(K$5-1)*IF($AQ9=1,Scenario_Control!$M$20,1),0)</f>
        <v>9000</v>
      </c>
      <c r="L9" s="11" t="n">
        <f aca="false">$AO9*IF(L$3&gt;=$AP9+$AQ9*Scenario_Control!$M$19,$AS9*(1+Assumptions!$D$9)/12*(1+Assumptions!$D$8)^(L$5-1)*IF($AQ9=1,Scenario_Control!$M$20,1),0)</f>
        <v>9000</v>
      </c>
      <c r="M9" s="11" t="n">
        <f aca="false">$AO9*IF(M$3&gt;=$AP9+$AQ9*Scenario_Control!$M$19,$AS9*(1+Assumptions!$D$9)/12*(1+Assumptions!$D$8)^(M$5-1)*IF($AQ9=1,Scenario_Control!$M$20,1),0)</f>
        <v>9000</v>
      </c>
      <c r="N9" s="11" t="n">
        <f aca="false">$AO9*IF(N$3&gt;=$AP9+$AQ9*Scenario_Control!$M$19,$AS9*(1+Assumptions!$D$9)/12*(1+Assumptions!$D$8)^(N$5-1)*IF($AQ9=1,Scenario_Control!$M$20,1),0)</f>
        <v>9000</v>
      </c>
      <c r="O9" s="11" t="n">
        <f aca="false">$AO9*IF(O$3&gt;=$AP9+$AQ9*Scenario_Control!$M$19,$AS9*(1+Assumptions!$D$9)/12*(1+Assumptions!$D$8)^(O$5-1)*IF($AQ9=1,Scenario_Control!$M$20,1),0)</f>
        <v>9000</v>
      </c>
      <c r="P9" s="11" t="n">
        <f aca="false">$AO9*IF(P$3&gt;=$AP9+$AQ9*Scenario_Control!$M$19,$AS9*(1+Assumptions!$D$9)/12*(1+Assumptions!$D$8)^(P$5-1)*IF($AQ9=1,Scenario_Control!$M$20,1),0)</f>
        <v>9270</v>
      </c>
      <c r="Q9" s="11" t="n">
        <f aca="false">$AO9*IF(Q$3&gt;=$AP9+$AQ9*Scenario_Control!$M$19,$AS9*(1+Assumptions!$D$9)/12*(1+Assumptions!$D$8)^(Q$5-1)*IF($AQ9=1,Scenario_Control!$M$20,1),0)</f>
        <v>9270</v>
      </c>
      <c r="R9" s="11" t="n">
        <f aca="false">$AO9*IF(R$3&gt;=$AP9+$AQ9*Scenario_Control!$M$19,$AS9*(1+Assumptions!$D$9)/12*(1+Assumptions!$D$8)^(R$5-1)*IF($AQ9=1,Scenario_Control!$M$20,1),0)</f>
        <v>9270</v>
      </c>
      <c r="S9" s="11" t="n">
        <f aca="false">$AO9*IF(S$3&gt;=$AP9+$AQ9*Scenario_Control!$M$19,$AS9*(1+Assumptions!$D$9)/12*(1+Assumptions!$D$8)^(S$5-1)*IF($AQ9=1,Scenario_Control!$M$20,1),0)</f>
        <v>9270</v>
      </c>
      <c r="T9" s="11" t="n">
        <f aca="false">$AO9*IF(T$3&gt;=$AP9+$AQ9*Scenario_Control!$M$19,$AS9*(1+Assumptions!$D$9)/12*(1+Assumptions!$D$8)^(T$5-1)*IF($AQ9=1,Scenario_Control!$M$20,1),0)</f>
        <v>9270</v>
      </c>
      <c r="U9" s="11" t="n">
        <f aca="false">$AO9*IF(U$3&gt;=$AP9+$AQ9*Scenario_Control!$M$19,$AS9*(1+Assumptions!$D$9)/12*(1+Assumptions!$D$8)^(U$5-1)*IF($AQ9=1,Scenario_Control!$M$20,1),0)</f>
        <v>9270</v>
      </c>
      <c r="V9" s="11" t="n">
        <f aca="false">$AO9*IF(V$3&gt;=$AP9+$AQ9*Scenario_Control!$M$19,$AS9*(1+Assumptions!$D$9)/12*(1+Assumptions!$D$8)^(V$5-1)*IF($AQ9=1,Scenario_Control!$M$20,1),0)</f>
        <v>9270</v>
      </c>
      <c r="W9" s="11" t="n">
        <f aca="false">$AO9*IF(W$3&gt;=$AP9+$AQ9*Scenario_Control!$M$19,$AS9*(1+Assumptions!$D$9)/12*(1+Assumptions!$D$8)^(W$5-1)*IF($AQ9=1,Scenario_Control!$M$20,1),0)</f>
        <v>9270</v>
      </c>
      <c r="X9" s="11" t="n">
        <f aca="false">$AO9*IF(X$3&gt;=$AP9+$AQ9*Scenario_Control!$M$19,$AS9*(1+Assumptions!$D$9)/12*(1+Assumptions!$D$8)^(X$5-1)*IF($AQ9=1,Scenario_Control!$M$20,1),0)</f>
        <v>9270</v>
      </c>
      <c r="Y9" s="11" t="n">
        <f aca="false">$AO9*IF(Y$3&gt;=$AP9+$AQ9*Scenario_Control!$M$19,$AS9*(1+Assumptions!$D$9)/12*(1+Assumptions!$D$8)^(Y$5-1)*IF($AQ9=1,Scenario_Control!$M$20,1),0)</f>
        <v>9270</v>
      </c>
      <c r="Z9" s="11" t="n">
        <f aca="false">$AO9*IF(Z$3&gt;=$AP9+$AQ9*Scenario_Control!$M$19,$AS9*(1+Assumptions!$D$9)/12*(1+Assumptions!$D$8)^(Z$5-1)*IF($AQ9=1,Scenario_Control!$M$20,1),0)</f>
        <v>9270</v>
      </c>
      <c r="AA9" s="11" t="n">
        <f aca="false">$AO9*IF(AA$3&gt;=$AP9+$AQ9*Scenario_Control!$M$19,$AS9*(1+Assumptions!$D$9)/12*(1+Assumptions!$D$8)^(AA$5-1)*IF($AQ9=1,Scenario_Control!$M$20,1),0)</f>
        <v>9270</v>
      </c>
      <c r="AB9" s="11" t="n">
        <f aca="false">$AO9*IF(AB$3&gt;=$AP9+$AQ9*Scenario_Control!$M$19,$AS9*(1+Assumptions!$D$9)/12*(1+Assumptions!$D$8)^(AB$5-1)*IF($AQ9=1,Scenario_Control!$M$20,1),0)</f>
        <v>9548.1</v>
      </c>
      <c r="AC9" s="11" t="n">
        <f aca="false">$AO9*IF(AC$3&gt;=$AP9+$AQ9*Scenario_Control!$M$19,$AS9*(1+Assumptions!$D$9)/12*(1+Assumptions!$D$8)^(AC$5-1)*IF($AQ9=1,Scenario_Control!$M$20,1),0)</f>
        <v>9548.1</v>
      </c>
      <c r="AD9" s="11" t="n">
        <f aca="false">$AO9*IF(AD$3&gt;=$AP9+$AQ9*Scenario_Control!$M$19,$AS9*(1+Assumptions!$D$9)/12*(1+Assumptions!$D$8)^(AD$5-1)*IF($AQ9=1,Scenario_Control!$M$20,1),0)</f>
        <v>9548.1</v>
      </c>
      <c r="AE9" s="11" t="n">
        <f aca="false">$AO9*IF(AE$3&gt;=$AP9+$AQ9*Scenario_Control!$M$19,$AS9*(1+Assumptions!$D$9)/12*(1+Assumptions!$D$8)^(AE$5-1)*IF($AQ9=1,Scenario_Control!$M$20,1),0)</f>
        <v>9548.1</v>
      </c>
      <c r="AF9" s="11" t="n">
        <f aca="false">$AO9*IF(AF$3&gt;=$AP9+$AQ9*Scenario_Control!$M$19,$AS9*(1+Assumptions!$D$9)/12*(1+Assumptions!$D$8)^(AF$5-1)*IF($AQ9=1,Scenario_Control!$M$20,1),0)</f>
        <v>9548.1</v>
      </c>
      <c r="AG9" s="11" t="n">
        <f aca="false">$AO9*IF(AG$3&gt;=$AP9+$AQ9*Scenario_Control!$M$19,$AS9*(1+Assumptions!$D$9)/12*(1+Assumptions!$D$8)^(AG$5-1)*IF($AQ9=1,Scenario_Control!$M$20,1),0)</f>
        <v>9548.1</v>
      </c>
      <c r="AH9" s="11" t="n">
        <f aca="false">$AO9*IF(AH$3&gt;=$AP9+$AQ9*Scenario_Control!$M$19,$AS9*(1+Assumptions!$D$9)/12*(1+Assumptions!$D$8)^(AH$5-1)*IF($AQ9=1,Scenario_Control!$M$20,1),0)</f>
        <v>9548.1</v>
      </c>
      <c r="AI9" s="11" t="n">
        <f aca="false">$AO9*IF(AI$3&gt;=$AP9+$AQ9*Scenario_Control!$M$19,$AS9*(1+Assumptions!$D$9)/12*(1+Assumptions!$D$8)^(AI$5-1)*IF($AQ9=1,Scenario_Control!$M$20,1),0)</f>
        <v>9548.1</v>
      </c>
      <c r="AJ9" s="11" t="n">
        <f aca="false">$AO9*IF(AJ$3&gt;=$AP9+$AQ9*Scenario_Control!$M$19,$AS9*(1+Assumptions!$D$9)/12*(1+Assumptions!$D$8)^(AJ$5-1)*IF($AQ9=1,Scenario_Control!$M$20,1),0)</f>
        <v>9548.1</v>
      </c>
      <c r="AK9" s="11" t="n">
        <f aca="false">$AO9*IF(AK$3&gt;=$AP9+$AQ9*Scenario_Control!$M$19,$AS9*(1+Assumptions!$D$9)/12*(1+Assumptions!$D$8)^(AK$5-1)*IF($AQ9=1,Scenario_Control!$M$20,1),0)</f>
        <v>9548.1</v>
      </c>
      <c r="AL9" s="11" t="n">
        <f aca="false">$AO9*IF(AL$3&gt;=$AP9+$AQ9*Scenario_Control!$M$19,$AS9*(1+Assumptions!$D$9)/12*(1+Assumptions!$D$8)^(AL$5-1)*IF($AQ9=1,Scenario_Control!$M$20,1),0)</f>
        <v>9548.1</v>
      </c>
      <c r="AM9" s="11" t="n">
        <f aca="false">$AO9*IF(AM$3&gt;=$AP9+$AQ9*Scenario_Control!$M$19,$AS9*(1+Assumptions!$D$9)/12*(1+Assumptions!$D$8)^(AM$5-1)*IF($AQ9=1,Scenario_Control!$M$20,1),0)</f>
        <v>9548.1</v>
      </c>
      <c r="AO9" s="58" t="n">
        <v>1</v>
      </c>
      <c r="AP9" s="58" t="n">
        <v>1</v>
      </c>
      <c r="AQ9" s="58" t="n">
        <v>0</v>
      </c>
      <c r="AR9" s="58" t="n">
        <v>0</v>
      </c>
      <c r="AS9" s="30" t="n">
        <v>90000</v>
      </c>
      <c r="AT9" s="58" t="s">
        <v>82</v>
      </c>
      <c r="AU9" s="58" t="s">
        <v>956</v>
      </c>
      <c r="AV9" s="58" t="s">
        <v>956</v>
      </c>
      <c r="AW9" s="58" t="n">
        <f aca="false">AP9+AQ9*Scenario_Control!$M$19</f>
        <v>1</v>
      </c>
    </row>
    <row r="10" customFormat="false" ht="15" hidden="false" customHeight="true" outlineLevel="0" collapsed="false">
      <c r="A10" s="5" t="s">
        <v>957</v>
      </c>
      <c r="B10" s="10" t="s">
        <v>80</v>
      </c>
      <c r="C10" s="12" t="n">
        <f aca="false">SUM(D10:AM10)</f>
        <v>482180.4</v>
      </c>
      <c r="D10" s="11" t="n">
        <f aca="false">$AO10*IF(D$3&gt;=$AP10+$AQ10*Scenario_Control!$M$19,$AS10*(1+Assumptions!$D$9)/12*(1+Assumptions!$D$8)^(D$5-1)*IF($AQ10=1,Scenario_Control!$M$20,1),0)</f>
        <v>13000</v>
      </c>
      <c r="E10" s="11" t="n">
        <f aca="false">$AO10*IF(E$3&gt;=$AP10+$AQ10*Scenario_Control!$M$19,$AS10*(1+Assumptions!$D$9)/12*(1+Assumptions!$D$8)^(E$5-1)*IF($AQ10=1,Scenario_Control!$M$20,1),0)</f>
        <v>13000</v>
      </c>
      <c r="F10" s="11" t="n">
        <f aca="false">$AO10*IF(F$3&gt;=$AP10+$AQ10*Scenario_Control!$M$19,$AS10*(1+Assumptions!$D$9)/12*(1+Assumptions!$D$8)^(F$5-1)*IF($AQ10=1,Scenario_Control!$M$20,1),0)</f>
        <v>13000</v>
      </c>
      <c r="G10" s="11" t="n">
        <f aca="false">$AO10*IF(G$3&gt;=$AP10+$AQ10*Scenario_Control!$M$19,$AS10*(1+Assumptions!$D$9)/12*(1+Assumptions!$D$8)^(G$5-1)*IF($AQ10=1,Scenario_Control!$M$20,1),0)</f>
        <v>13000</v>
      </c>
      <c r="H10" s="11" t="n">
        <f aca="false">$AO10*IF(H$3&gt;=$AP10+$AQ10*Scenario_Control!$M$19,$AS10*(1+Assumptions!$D$9)/12*(1+Assumptions!$D$8)^(H$5-1)*IF($AQ10=1,Scenario_Control!$M$20,1),0)</f>
        <v>13000</v>
      </c>
      <c r="I10" s="11" t="n">
        <f aca="false">$AO10*IF(I$3&gt;=$AP10+$AQ10*Scenario_Control!$M$19,$AS10*(1+Assumptions!$D$9)/12*(1+Assumptions!$D$8)^(I$5-1)*IF($AQ10=1,Scenario_Control!$M$20,1),0)</f>
        <v>13000</v>
      </c>
      <c r="J10" s="11" t="n">
        <f aca="false">$AO10*IF(J$3&gt;=$AP10+$AQ10*Scenario_Control!$M$19,$AS10*(1+Assumptions!$D$9)/12*(1+Assumptions!$D$8)^(J$5-1)*IF($AQ10=1,Scenario_Control!$M$20,1),0)</f>
        <v>13000</v>
      </c>
      <c r="K10" s="11" t="n">
        <f aca="false">$AO10*IF(K$3&gt;=$AP10+$AQ10*Scenario_Control!$M$19,$AS10*(1+Assumptions!$D$9)/12*(1+Assumptions!$D$8)^(K$5-1)*IF($AQ10=1,Scenario_Control!$M$20,1),0)</f>
        <v>13000</v>
      </c>
      <c r="L10" s="11" t="n">
        <f aca="false">$AO10*IF(L$3&gt;=$AP10+$AQ10*Scenario_Control!$M$19,$AS10*(1+Assumptions!$D$9)/12*(1+Assumptions!$D$8)^(L$5-1)*IF($AQ10=1,Scenario_Control!$M$20,1),0)</f>
        <v>13000</v>
      </c>
      <c r="M10" s="11" t="n">
        <f aca="false">$AO10*IF(M$3&gt;=$AP10+$AQ10*Scenario_Control!$M$19,$AS10*(1+Assumptions!$D$9)/12*(1+Assumptions!$D$8)^(M$5-1)*IF($AQ10=1,Scenario_Control!$M$20,1),0)</f>
        <v>13000</v>
      </c>
      <c r="N10" s="11" t="n">
        <f aca="false">$AO10*IF(N$3&gt;=$AP10+$AQ10*Scenario_Control!$M$19,$AS10*(1+Assumptions!$D$9)/12*(1+Assumptions!$D$8)^(N$5-1)*IF($AQ10=1,Scenario_Control!$M$20,1),0)</f>
        <v>13000</v>
      </c>
      <c r="O10" s="11" t="n">
        <f aca="false">$AO10*IF(O$3&gt;=$AP10+$AQ10*Scenario_Control!$M$19,$AS10*(1+Assumptions!$D$9)/12*(1+Assumptions!$D$8)^(O$5-1)*IF($AQ10=1,Scenario_Control!$M$20,1),0)</f>
        <v>13000</v>
      </c>
      <c r="P10" s="11" t="n">
        <f aca="false">$AO10*IF(P$3&gt;=$AP10+$AQ10*Scenario_Control!$M$19,$AS10*(1+Assumptions!$D$9)/12*(1+Assumptions!$D$8)^(P$5-1)*IF($AQ10=1,Scenario_Control!$M$20,1),0)</f>
        <v>13390</v>
      </c>
      <c r="Q10" s="11" t="n">
        <f aca="false">$AO10*IF(Q$3&gt;=$AP10+$AQ10*Scenario_Control!$M$19,$AS10*(1+Assumptions!$D$9)/12*(1+Assumptions!$D$8)^(Q$5-1)*IF($AQ10=1,Scenario_Control!$M$20,1),0)</f>
        <v>13390</v>
      </c>
      <c r="R10" s="11" t="n">
        <f aca="false">$AO10*IF(R$3&gt;=$AP10+$AQ10*Scenario_Control!$M$19,$AS10*(1+Assumptions!$D$9)/12*(1+Assumptions!$D$8)^(R$5-1)*IF($AQ10=1,Scenario_Control!$M$20,1),0)</f>
        <v>13390</v>
      </c>
      <c r="S10" s="11" t="n">
        <f aca="false">$AO10*IF(S$3&gt;=$AP10+$AQ10*Scenario_Control!$M$19,$AS10*(1+Assumptions!$D$9)/12*(1+Assumptions!$D$8)^(S$5-1)*IF($AQ10=1,Scenario_Control!$M$20,1),0)</f>
        <v>13390</v>
      </c>
      <c r="T10" s="11" t="n">
        <f aca="false">$AO10*IF(T$3&gt;=$AP10+$AQ10*Scenario_Control!$M$19,$AS10*(1+Assumptions!$D$9)/12*(1+Assumptions!$D$8)^(T$5-1)*IF($AQ10=1,Scenario_Control!$M$20,1),0)</f>
        <v>13390</v>
      </c>
      <c r="U10" s="11" t="n">
        <f aca="false">$AO10*IF(U$3&gt;=$AP10+$AQ10*Scenario_Control!$M$19,$AS10*(1+Assumptions!$D$9)/12*(1+Assumptions!$D$8)^(U$5-1)*IF($AQ10=1,Scenario_Control!$M$20,1),0)</f>
        <v>13390</v>
      </c>
      <c r="V10" s="11" t="n">
        <f aca="false">$AO10*IF(V$3&gt;=$AP10+$AQ10*Scenario_Control!$M$19,$AS10*(1+Assumptions!$D$9)/12*(1+Assumptions!$D$8)^(V$5-1)*IF($AQ10=1,Scenario_Control!$M$20,1),0)</f>
        <v>13390</v>
      </c>
      <c r="W10" s="11" t="n">
        <f aca="false">$AO10*IF(W$3&gt;=$AP10+$AQ10*Scenario_Control!$M$19,$AS10*(1+Assumptions!$D$9)/12*(1+Assumptions!$D$8)^(W$5-1)*IF($AQ10=1,Scenario_Control!$M$20,1),0)</f>
        <v>13390</v>
      </c>
      <c r="X10" s="11" t="n">
        <f aca="false">$AO10*IF(X$3&gt;=$AP10+$AQ10*Scenario_Control!$M$19,$AS10*(1+Assumptions!$D$9)/12*(1+Assumptions!$D$8)^(X$5-1)*IF($AQ10=1,Scenario_Control!$M$20,1),0)</f>
        <v>13390</v>
      </c>
      <c r="Y10" s="11" t="n">
        <f aca="false">$AO10*IF(Y$3&gt;=$AP10+$AQ10*Scenario_Control!$M$19,$AS10*(1+Assumptions!$D$9)/12*(1+Assumptions!$D$8)^(Y$5-1)*IF($AQ10=1,Scenario_Control!$M$20,1),0)</f>
        <v>13390</v>
      </c>
      <c r="Z10" s="11" t="n">
        <f aca="false">$AO10*IF(Z$3&gt;=$AP10+$AQ10*Scenario_Control!$M$19,$AS10*(1+Assumptions!$D$9)/12*(1+Assumptions!$D$8)^(Z$5-1)*IF($AQ10=1,Scenario_Control!$M$20,1),0)</f>
        <v>13390</v>
      </c>
      <c r="AA10" s="11" t="n">
        <f aca="false">$AO10*IF(AA$3&gt;=$AP10+$AQ10*Scenario_Control!$M$19,$AS10*(1+Assumptions!$D$9)/12*(1+Assumptions!$D$8)^(AA$5-1)*IF($AQ10=1,Scenario_Control!$M$20,1),0)</f>
        <v>13390</v>
      </c>
      <c r="AB10" s="11" t="n">
        <f aca="false">$AO10*IF(AB$3&gt;=$AP10+$AQ10*Scenario_Control!$M$19,$AS10*(1+Assumptions!$D$9)/12*(1+Assumptions!$D$8)^(AB$5-1)*IF($AQ10=1,Scenario_Control!$M$20,1),0)</f>
        <v>13791.7</v>
      </c>
      <c r="AC10" s="11" t="n">
        <f aca="false">$AO10*IF(AC$3&gt;=$AP10+$AQ10*Scenario_Control!$M$19,$AS10*(1+Assumptions!$D$9)/12*(1+Assumptions!$D$8)^(AC$5-1)*IF($AQ10=1,Scenario_Control!$M$20,1),0)</f>
        <v>13791.7</v>
      </c>
      <c r="AD10" s="11" t="n">
        <f aca="false">$AO10*IF(AD$3&gt;=$AP10+$AQ10*Scenario_Control!$M$19,$AS10*(1+Assumptions!$D$9)/12*(1+Assumptions!$D$8)^(AD$5-1)*IF($AQ10=1,Scenario_Control!$M$20,1),0)</f>
        <v>13791.7</v>
      </c>
      <c r="AE10" s="11" t="n">
        <f aca="false">$AO10*IF(AE$3&gt;=$AP10+$AQ10*Scenario_Control!$M$19,$AS10*(1+Assumptions!$D$9)/12*(1+Assumptions!$D$8)^(AE$5-1)*IF($AQ10=1,Scenario_Control!$M$20,1),0)</f>
        <v>13791.7</v>
      </c>
      <c r="AF10" s="11" t="n">
        <f aca="false">$AO10*IF(AF$3&gt;=$AP10+$AQ10*Scenario_Control!$M$19,$AS10*(1+Assumptions!$D$9)/12*(1+Assumptions!$D$8)^(AF$5-1)*IF($AQ10=1,Scenario_Control!$M$20,1),0)</f>
        <v>13791.7</v>
      </c>
      <c r="AG10" s="11" t="n">
        <f aca="false">$AO10*IF(AG$3&gt;=$AP10+$AQ10*Scenario_Control!$M$19,$AS10*(1+Assumptions!$D$9)/12*(1+Assumptions!$D$8)^(AG$5-1)*IF($AQ10=1,Scenario_Control!$M$20,1),0)</f>
        <v>13791.7</v>
      </c>
      <c r="AH10" s="11" t="n">
        <f aca="false">$AO10*IF(AH$3&gt;=$AP10+$AQ10*Scenario_Control!$M$19,$AS10*(1+Assumptions!$D$9)/12*(1+Assumptions!$D$8)^(AH$5-1)*IF($AQ10=1,Scenario_Control!$M$20,1),0)</f>
        <v>13791.7</v>
      </c>
      <c r="AI10" s="11" t="n">
        <f aca="false">$AO10*IF(AI$3&gt;=$AP10+$AQ10*Scenario_Control!$M$19,$AS10*(1+Assumptions!$D$9)/12*(1+Assumptions!$D$8)^(AI$5-1)*IF($AQ10=1,Scenario_Control!$M$20,1),0)</f>
        <v>13791.7</v>
      </c>
      <c r="AJ10" s="11" t="n">
        <f aca="false">$AO10*IF(AJ$3&gt;=$AP10+$AQ10*Scenario_Control!$M$19,$AS10*(1+Assumptions!$D$9)/12*(1+Assumptions!$D$8)^(AJ$5-1)*IF($AQ10=1,Scenario_Control!$M$20,1),0)</f>
        <v>13791.7</v>
      </c>
      <c r="AK10" s="11" t="n">
        <f aca="false">$AO10*IF(AK$3&gt;=$AP10+$AQ10*Scenario_Control!$M$19,$AS10*(1+Assumptions!$D$9)/12*(1+Assumptions!$D$8)^(AK$5-1)*IF($AQ10=1,Scenario_Control!$M$20,1),0)</f>
        <v>13791.7</v>
      </c>
      <c r="AL10" s="11" t="n">
        <f aca="false">$AO10*IF(AL$3&gt;=$AP10+$AQ10*Scenario_Control!$M$19,$AS10*(1+Assumptions!$D$9)/12*(1+Assumptions!$D$8)^(AL$5-1)*IF($AQ10=1,Scenario_Control!$M$20,1),0)</f>
        <v>13791.7</v>
      </c>
      <c r="AM10" s="11" t="n">
        <f aca="false">$AO10*IF(AM$3&gt;=$AP10+$AQ10*Scenario_Control!$M$19,$AS10*(1+Assumptions!$D$9)/12*(1+Assumptions!$D$8)^(AM$5-1)*IF($AQ10=1,Scenario_Control!$M$20,1),0)</f>
        <v>13791.7</v>
      </c>
      <c r="AO10" s="58" t="n">
        <v>1</v>
      </c>
      <c r="AP10" s="58" t="n">
        <v>1</v>
      </c>
      <c r="AQ10" s="58" t="n">
        <v>0</v>
      </c>
      <c r="AR10" s="58" t="n">
        <v>0</v>
      </c>
      <c r="AS10" s="30" t="n">
        <v>130000</v>
      </c>
      <c r="AT10" s="58" t="s">
        <v>80</v>
      </c>
      <c r="AU10" s="58" t="s">
        <v>956</v>
      </c>
      <c r="AV10" s="58" t="s">
        <v>956</v>
      </c>
      <c r="AW10" s="58" t="n">
        <f aca="false">AP10+AQ10*Scenario_Control!$M$19</f>
        <v>1</v>
      </c>
    </row>
    <row r="11" customFormat="false" ht="15" hidden="false" customHeight="true" outlineLevel="0" collapsed="false">
      <c r="A11" s="5" t="s">
        <v>958</v>
      </c>
      <c r="B11" s="10" t="s">
        <v>80</v>
      </c>
      <c r="C11" s="12" t="n">
        <f aca="false">SUM(D11:AM11)</f>
        <v>684270.6</v>
      </c>
      <c r="D11" s="11" t="n">
        <f aca="false">$AO11*IF(D$3&gt;=$AP11+$AQ11*Scenario_Control!$M$19,$AS11*(1+Assumptions!$D$9)/12*(1+Assumptions!$D$8)^(D$5-1)*IF($AQ11=1,Scenario_Control!$M$20,1),0)</f>
        <v>0</v>
      </c>
      <c r="E11" s="11" t="n">
        <f aca="false">$AO11*IF(E$3&gt;=$AP11+$AQ11*Scenario_Control!$M$19,$AS11*(1+Assumptions!$D$9)/12*(1+Assumptions!$D$8)^(E$5-1)*IF($AQ11=1,Scenario_Control!$M$20,1),0)</f>
        <v>0</v>
      </c>
      <c r="F11" s="11" t="n">
        <f aca="false">$AO11*IF(F$3&gt;=$AP11+$AQ11*Scenario_Control!$M$19,$AS11*(1+Assumptions!$D$9)/12*(1+Assumptions!$D$8)^(F$5-1)*IF($AQ11=1,Scenario_Control!$M$20,1),0)</f>
        <v>19500</v>
      </c>
      <c r="G11" s="11" t="n">
        <f aca="false">$AO11*IF(G$3&gt;=$AP11+$AQ11*Scenario_Control!$M$19,$AS11*(1+Assumptions!$D$9)/12*(1+Assumptions!$D$8)^(G$5-1)*IF($AQ11=1,Scenario_Control!$M$20,1),0)</f>
        <v>19500</v>
      </c>
      <c r="H11" s="11" t="n">
        <f aca="false">$AO11*IF(H$3&gt;=$AP11+$AQ11*Scenario_Control!$M$19,$AS11*(1+Assumptions!$D$9)/12*(1+Assumptions!$D$8)^(H$5-1)*IF($AQ11=1,Scenario_Control!$M$20,1),0)</f>
        <v>19500</v>
      </c>
      <c r="I11" s="11" t="n">
        <f aca="false">$AO11*IF(I$3&gt;=$AP11+$AQ11*Scenario_Control!$M$19,$AS11*(1+Assumptions!$D$9)/12*(1+Assumptions!$D$8)^(I$5-1)*IF($AQ11=1,Scenario_Control!$M$20,1),0)</f>
        <v>19500</v>
      </c>
      <c r="J11" s="11" t="n">
        <f aca="false">$AO11*IF(J$3&gt;=$AP11+$AQ11*Scenario_Control!$M$19,$AS11*(1+Assumptions!$D$9)/12*(1+Assumptions!$D$8)^(J$5-1)*IF($AQ11=1,Scenario_Control!$M$20,1),0)</f>
        <v>19500</v>
      </c>
      <c r="K11" s="11" t="n">
        <f aca="false">$AO11*IF(K$3&gt;=$AP11+$AQ11*Scenario_Control!$M$19,$AS11*(1+Assumptions!$D$9)/12*(1+Assumptions!$D$8)^(K$5-1)*IF($AQ11=1,Scenario_Control!$M$20,1),0)</f>
        <v>19500</v>
      </c>
      <c r="L11" s="11" t="n">
        <f aca="false">$AO11*IF(L$3&gt;=$AP11+$AQ11*Scenario_Control!$M$19,$AS11*(1+Assumptions!$D$9)/12*(1+Assumptions!$D$8)^(L$5-1)*IF($AQ11=1,Scenario_Control!$M$20,1),0)</f>
        <v>19500</v>
      </c>
      <c r="M11" s="11" t="n">
        <f aca="false">$AO11*IF(M$3&gt;=$AP11+$AQ11*Scenario_Control!$M$19,$AS11*(1+Assumptions!$D$9)/12*(1+Assumptions!$D$8)^(M$5-1)*IF($AQ11=1,Scenario_Control!$M$20,1),0)</f>
        <v>19500</v>
      </c>
      <c r="N11" s="11" t="n">
        <f aca="false">$AO11*IF(N$3&gt;=$AP11+$AQ11*Scenario_Control!$M$19,$AS11*(1+Assumptions!$D$9)/12*(1+Assumptions!$D$8)^(N$5-1)*IF($AQ11=1,Scenario_Control!$M$20,1),0)</f>
        <v>19500</v>
      </c>
      <c r="O11" s="11" t="n">
        <f aca="false">$AO11*IF(O$3&gt;=$AP11+$AQ11*Scenario_Control!$M$19,$AS11*(1+Assumptions!$D$9)/12*(1+Assumptions!$D$8)^(O$5-1)*IF($AQ11=1,Scenario_Control!$M$20,1),0)</f>
        <v>19500</v>
      </c>
      <c r="P11" s="11" t="n">
        <f aca="false">$AO11*IF(P$3&gt;=$AP11+$AQ11*Scenario_Control!$M$19,$AS11*(1+Assumptions!$D$9)/12*(1+Assumptions!$D$8)^(P$5-1)*IF($AQ11=1,Scenario_Control!$M$20,1),0)</f>
        <v>20085</v>
      </c>
      <c r="Q11" s="11" t="n">
        <f aca="false">$AO11*IF(Q$3&gt;=$AP11+$AQ11*Scenario_Control!$M$19,$AS11*(1+Assumptions!$D$9)/12*(1+Assumptions!$D$8)^(Q$5-1)*IF($AQ11=1,Scenario_Control!$M$20,1),0)</f>
        <v>20085</v>
      </c>
      <c r="R11" s="11" t="n">
        <f aca="false">$AO11*IF(R$3&gt;=$AP11+$AQ11*Scenario_Control!$M$19,$AS11*(1+Assumptions!$D$9)/12*(1+Assumptions!$D$8)^(R$5-1)*IF($AQ11=1,Scenario_Control!$M$20,1),0)</f>
        <v>20085</v>
      </c>
      <c r="S11" s="11" t="n">
        <f aca="false">$AO11*IF(S$3&gt;=$AP11+$AQ11*Scenario_Control!$M$19,$AS11*(1+Assumptions!$D$9)/12*(1+Assumptions!$D$8)^(S$5-1)*IF($AQ11=1,Scenario_Control!$M$20,1),0)</f>
        <v>20085</v>
      </c>
      <c r="T11" s="11" t="n">
        <f aca="false">$AO11*IF(T$3&gt;=$AP11+$AQ11*Scenario_Control!$M$19,$AS11*(1+Assumptions!$D$9)/12*(1+Assumptions!$D$8)^(T$5-1)*IF($AQ11=1,Scenario_Control!$M$20,1),0)</f>
        <v>20085</v>
      </c>
      <c r="U11" s="11" t="n">
        <f aca="false">$AO11*IF(U$3&gt;=$AP11+$AQ11*Scenario_Control!$M$19,$AS11*(1+Assumptions!$D$9)/12*(1+Assumptions!$D$8)^(U$5-1)*IF($AQ11=1,Scenario_Control!$M$20,1),0)</f>
        <v>20085</v>
      </c>
      <c r="V11" s="11" t="n">
        <f aca="false">$AO11*IF(V$3&gt;=$AP11+$AQ11*Scenario_Control!$M$19,$AS11*(1+Assumptions!$D$9)/12*(1+Assumptions!$D$8)^(V$5-1)*IF($AQ11=1,Scenario_Control!$M$20,1),0)</f>
        <v>20085</v>
      </c>
      <c r="W11" s="11" t="n">
        <f aca="false">$AO11*IF(W$3&gt;=$AP11+$AQ11*Scenario_Control!$M$19,$AS11*(1+Assumptions!$D$9)/12*(1+Assumptions!$D$8)^(W$5-1)*IF($AQ11=1,Scenario_Control!$M$20,1),0)</f>
        <v>20085</v>
      </c>
      <c r="X11" s="11" t="n">
        <f aca="false">$AO11*IF(X$3&gt;=$AP11+$AQ11*Scenario_Control!$M$19,$AS11*(1+Assumptions!$D$9)/12*(1+Assumptions!$D$8)^(X$5-1)*IF($AQ11=1,Scenario_Control!$M$20,1),0)</f>
        <v>20085</v>
      </c>
      <c r="Y11" s="11" t="n">
        <f aca="false">$AO11*IF(Y$3&gt;=$AP11+$AQ11*Scenario_Control!$M$19,$AS11*(1+Assumptions!$D$9)/12*(1+Assumptions!$D$8)^(Y$5-1)*IF($AQ11=1,Scenario_Control!$M$20,1),0)</f>
        <v>20085</v>
      </c>
      <c r="Z11" s="11" t="n">
        <f aca="false">$AO11*IF(Z$3&gt;=$AP11+$AQ11*Scenario_Control!$M$19,$AS11*(1+Assumptions!$D$9)/12*(1+Assumptions!$D$8)^(Z$5-1)*IF($AQ11=1,Scenario_Control!$M$20,1),0)</f>
        <v>20085</v>
      </c>
      <c r="AA11" s="11" t="n">
        <f aca="false">$AO11*IF(AA$3&gt;=$AP11+$AQ11*Scenario_Control!$M$19,$AS11*(1+Assumptions!$D$9)/12*(1+Assumptions!$D$8)^(AA$5-1)*IF($AQ11=1,Scenario_Control!$M$20,1),0)</f>
        <v>20085</v>
      </c>
      <c r="AB11" s="11" t="n">
        <f aca="false">$AO11*IF(AB$3&gt;=$AP11+$AQ11*Scenario_Control!$M$19,$AS11*(1+Assumptions!$D$9)/12*(1+Assumptions!$D$8)^(AB$5-1)*IF($AQ11=1,Scenario_Control!$M$20,1),0)</f>
        <v>20687.55</v>
      </c>
      <c r="AC11" s="11" t="n">
        <f aca="false">$AO11*IF(AC$3&gt;=$AP11+$AQ11*Scenario_Control!$M$19,$AS11*(1+Assumptions!$D$9)/12*(1+Assumptions!$D$8)^(AC$5-1)*IF($AQ11=1,Scenario_Control!$M$20,1),0)</f>
        <v>20687.55</v>
      </c>
      <c r="AD11" s="11" t="n">
        <f aca="false">$AO11*IF(AD$3&gt;=$AP11+$AQ11*Scenario_Control!$M$19,$AS11*(1+Assumptions!$D$9)/12*(1+Assumptions!$D$8)^(AD$5-1)*IF($AQ11=1,Scenario_Control!$M$20,1),0)</f>
        <v>20687.55</v>
      </c>
      <c r="AE11" s="11" t="n">
        <f aca="false">$AO11*IF(AE$3&gt;=$AP11+$AQ11*Scenario_Control!$M$19,$AS11*(1+Assumptions!$D$9)/12*(1+Assumptions!$D$8)^(AE$5-1)*IF($AQ11=1,Scenario_Control!$M$20,1),0)</f>
        <v>20687.55</v>
      </c>
      <c r="AF11" s="11" t="n">
        <f aca="false">$AO11*IF(AF$3&gt;=$AP11+$AQ11*Scenario_Control!$M$19,$AS11*(1+Assumptions!$D$9)/12*(1+Assumptions!$D$8)^(AF$5-1)*IF($AQ11=1,Scenario_Control!$M$20,1),0)</f>
        <v>20687.55</v>
      </c>
      <c r="AG11" s="11" t="n">
        <f aca="false">$AO11*IF(AG$3&gt;=$AP11+$AQ11*Scenario_Control!$M$19,$AS11*(1+Assumptions!$D$9)/12*(1+Assumptions!$D$8)^(AG$5-1)*IF($AQ11=1,Scenario_Control!$M$20,1),0)</f>
        <v>20687.55</v>
      </c>
      <c r="AH11" s="11" t="n">
        <f aca="false">$AO11*IF(AH$3&gt;=$AP11+$AQ11*Scenario_Control!$M$19,$AS11*(1+Assumptions!$D$9)/12*(1+Assumptions!$D$8)^(AH$5-1)*IF($AQ11=1,Scenario_Control!$M$20,1),0)</f>
        <v>20687.55</v>
      </c>
      <c r="AI11" s="11" t="n">
        <f aca="false">$AO11*IF(AI$3&gt;=$AP11+$AQ11*Scenario_Control!$M$19,$AS11*(1+Assumptions!$D$9)/12*(1+Assumptions!$D$8)^(AI$5-1)*IF($AQ11=1,Scenario_Control!$M$20,1),0)</f>
        <v>20687.55</v>
      </c>
      <c r="AJ11" s="11" t="n">
        <f aca="false">$AO11*IF(AJ$3&gt;=$AP11+$AQ11*Scenario_Control!$M$19,$AS11*(1+Assumptions!$D$9)/12*(1+Assumptions!$D$8)^(AJ$5-1)*IF($AQ11=1,Scenario_Control!$M$20,1),0)</f>
        <v>20687.55</v>
      </c>
      <c r="AK11" s="11" t="n">
        <f aca="false">$AO11*IF(AK$3&gt;=$AP11+$AQ11*Scenario_Control!$M$19,$AS11*(1+Assumptions!$D$9)/12*(1+Assumptions!$D$8)^(AK$5-1)*IF($AQ11=1,Scenario_Control!$M$20,1),0)</f>
        <v>20687.55</v>
      </c>
      <c r="AL11" s="11" t="n">
        <f aca="false">$AO11*IF(AL$3&gt;=$AP11+$AQ11*Scenario_Control!$M$19,$AS11*(1+Assumptions!$D$9)/12*(1+Assumptions!$D$8)^(AL$5-1)*IF($AQ11=1,Scenario_Control!$M$20,1),0)</f>
        <v>20687.55</v>
      </c>
      <c r="AM11" s="11" t="n">
        <f aca="false">$AO11*IF(AM$3&gt;=$AP11+$AQ11*Scenario_Control!$M$19,$AS11*(1+Assumptions!$D$9)/12*(1+Assumptions!$D$8)^(AM$5-1)*IF($AQ11=1,Scenario_Control!$M$20,1),0)</f>
        <v>20687.55</v>
      </c>
      <c r="AO11" s="58" t="n">
        <v>1</v>
      </c>
      <c r="AP11" s="58" t="n">
        <v>3</v>
      </c>
      <c r="AQ11" s="58" t="n">
        <v>0</v>
      </c>
      <c r="AR11" s="58" t="n">
        <v>1</v>
      </c>
      <c r="AS11" s="30" t="n">
        <v>195000</v>
      </c>
      <c r="AT11" s="58" t="s">
        <v>80</v>
      </c>
      <c r="AU11" s="58" t="s">
        <v>956</v>
      </c>
      <c r="AV11" s="58" t="s">
        <v>956</v>
      </c>
      <c r="AW11" s="58" t="n">
        <f aca="false">AP11+AQ11*Scenario_Control!$M$19</f>
        <v>3</v>
      </c>
    </row>
    <row r="12" customFormat="false" ht="15" hidden="false" customHeight="true" outlineLevel="0" collapsed="false">
      <c r="A12" s="5" t="s">
        <v>959</v>
      </c>
      <c r="B12" s="10" t="s">
        <v>80</v>
      </c>
      <c r="C12" s="12" t="n">
        <f aca="false">SUM(D12:AM12)</f>
        <v>528407.4</v>
      </c>
      <c r="D12" s="11" t="n">
        <f aca="false">$AO12*IF(D$3&gt;=$AP12+$AQ12*Scenario_Control!$M$19,$AS12*(1+Assumptions!$D$9)/12*(1+Assumptions!$D$8)^(D$5-1)*IF($AQ12=1,Scenario_Control!$M$20,1),0)</f>
        <v>0</v>
      </c>
      <c r="E12" s="11" t="n">
        <f aca="false">$AO12*IF(E$3&gt;=$AP12+$AQ12*Scenario_Control!$M$19,$AS12*(1+Assumptions!$D$9)/12*(1+Assumptions!$D$8)^(E$5-1)*IF($AQ12=1,Scenario_Control!$M$20,1),0)</f>
        <v>0</v>
      </c>
      <c r="F12" s="11" t="n">
        <f aca="false">$AO12*IF(F$3&gt;=$AP12+$AQ12*Scenario_Control!$M$19,$AS12*(1+Assumptions!$D$9)/12*(1+Assumptions!$D$8)^(F$5-1)*IF($AQ12=1,Scenario_Control!$M$20,1),0)</f>
        <v>0</v>
      </c>
      <c r="G12" s="11" t="n">
        <f aca="false">$AO12*IF(G$3&gt;=$AP12+$AQ12*Scenario_Control!$M$19,$AS12*(1+Assumptions!$D$9)/12*(1+Assumptions!$D$8)^(G$5-1)*IF($AQ12=1,Scenario_Control!$M$20,1),0)</f>
        <v>15500</v>
      </c>
      <c r="H12" s="11" t="n">
        <f aca="false">$AO12*IF(H$3&gt;=$AP12+$AQ12*Scenario_Control!$M$19,$AS12*(1+Assumptions!$D$9)/12*(1+Assumptions!$D$8)^(H$5-1)*IF($AQ12=1,Scenario_Control!$M$20,1),0)</f>
        <v>15500</v>
      </c>
      <c r="I12" s="11" t="n">
        <f aca="false">$AO12*IF(I$3&gt;=$AP12+$AQ12*Scenario_Control!$M$19,$AS12*(1+Assumptions!$D$9)/12*(1+Assumptions!$D$8)^(I$5-1)*IF($AQ12=1,Scenario_Control!$M$20,1),0)</f>
        <v>15500</v>
      </c>
      <c r="J12" s="11" t="n">
        <f aca="false">$AO12*IF(J$3&gt;=$AP12+$AQ12*Scenario_Control!$M$19,$AS12*(1+Assumptions!$D$9)/12*(1+Assumptions!$D$8)^(J$5-1)*IF($AQ12=1,Scenario_Control!$M$20,1),0)</f>
        <v>15500</v>
      </c>
      <c r="K12" s="11" t="n">
        <f aca="false">$AO12*IF(K$3&gt;=$AP12+$AQ12*Scenario_Control!$M$19,$AS12*(1+Assumptions!$D$9)/12*(1+Assumptions!$D$8)^(K$5-1)*IF($AQ12=1,Scenario_Control!$M$20,1),0)</f>
        <v>15500</v>
      </c>
      <c r="L12" s="11" t="n">
        <f aca="false">$AO12*IF(L$3&gt;=$AP12+$AQ12*Scenario_Control!$M$19,$AS12*(1+Assumptions!$D$9)/12*(1+Assumptions!$D$8)^(L$5-1)*IF($AQ12=1,Scenario_Control!$M$20,1),0)</f>
        <v>15500</v>
      </c>
      <c r="M12" s="11" t="n">
        <f aca="false">$AO12*IF(M$3&gt;=$AP12+$AQ12*Scenario_Control!$M$19,$AS12*(1+Assumptions!$D$9)/12*(1+Assumptions!$D$8)^(M$5-1)*IF($AQ12=1,Scenario_Control!$M$20,1),0)</f>
        <v>15500</v>
      </c>
      <c r="N12" s="11" t="n">
        <f aca="false">$AO12*IF(N$3&gt;=$AP12+$AQ12*Scenario_Control!$M$19,$AS12*(1+Assumptions!$D$9)/12*(1+Assumptions!$D$8)^(N$5-1)*IF($AQ12=1,Scenario_Control!$M$20,1),0)</f>
        <v>15500</v>
      </c>
      <c r="O12" s="11" t="n">
        <f aca="false">$AO12*IF(O$3&gt;=$AP12+$AQ12*Scenario_Control!$M$19,$AS12*(1+Assumptions!$D$9)/12*(1+Assumptions!$D$8)^(O$5-1)*IF($AQ12=1,Scenario_Control!$M$20,1),0)</f>
        <v>15500</v>
      </c>
      <c r="P12" s="11" t="n">
        <f aca="false">$AO12*IF(P$3&gt;=$AP12+$AQ12*Scenario_Control!$M$19,$AS12*(1+Assumptions!$D$9)/12*(1+Assumptions!$D$8)^(P$5-1)*IF($AQ12=1,Scenario_Control!$M$20,1),0)</f>
        <v>15965</v>
      </c>
      <c r="Q12" s="11" t="n">
        <f aca="false">$AO12*IF(Q$3&gt;=$AP12+$AQ12*Scenario_Control!$M$19,$AS12*(1+Assumptions!$D$9)/12*(1+Assumptions!$D$8)^(Q$5-1)*IF($AQ12=1,Scenario_Control!$M$20,1),0)</f>
        <v>15965</v>
      </c>
      <c r="R12" s="11" t="n">
        <f aca="false">$AO12*IF(R$3&gt;=$AP12+$AQ12*Scenario_Control!$M$19,$AS12*(1+Assumptions!$D$9)/12*(1+Assumptions!$D$8)^(R$5-1)*IF($AQ12=1,Scenario_Control!$M$20,1),0)</f>
        <v>15965</v>
      </c>
      <c r="S12" s="11" t="n">
        <f aca="false">$AO12*IF(S$3&gt;=$AP12+$AQ12*Scenario_Control!$M$19,$AS12*(1+Assumptions!$D$9)/12*(1+Assumptions!$D$8)^(S$5-1)*IF($AQ12=1,Scenario_Control!$M$20,1),0)</f>
        <v>15965</v>
      </c>
      <c r="T12" s="11" t="n">
        <f aca="false">$AO12*IF(T$3&gt;=$AP12+$AQ12*Scenario_Control!$M$19,$AS12*(1+Assumptions!$D$9)/12*(1+Assumptions!$D$8)^(T$5-1)*IF($AQ12=1,Scenario_Control!$M$20,1),0)</f>
        <v>15965</v>
      </c>
      <c r="U12" s="11" t="n">
        <f aca="false">$AO12*IF(U$3&gt;=$AP12+$AQ12*Scenario_Control!$M$19,$AS12*(1+Assumptions!$D$9)/12*(1+Assumptions!$D$8)^(U$5-1)*IF($AQ12=1,Scenario_Control!$M$20,1),0)</f>
        <v>15965</v>
      </c>
      <c r="V12" s="11" t="n">
        <f aca="false">$AO12*IF(V$3&gt;=$AP12+$AQ12*Scenario_Control!$M$19,$AS12*(1+Assumptions!$D$9)/12*(1+Assumptions!$D$8)^(V$5-1)*IF($AQ12=1,Scenario_Control!$M$20,1),0)</f>
        <v>15965</v>
      </c>
      <c r="W12" s="11" t="n">
        <f aca="false">$AO12*IF(W$3&gt;=$AP12+$AQ12*Scenario_Control!$M$19,$AS12*(1+Assumptions!$D$9)/12*(1+Assumptions!$D$8)^(W$5-1)*IF($AQ12=1,Scenario_Control!$M$20,1),0)</f>
        <v>15965</v>
      </c>
      <c r="X12" s="11" t="n">
        <f aca="false">$AO12*IF(X$3&gt;=$AP12+$AQ12*Scenario_Control!$M$19,$AS12*(1+Assumptions!$D$9)/12*(1+Assumptions!$D$8)^(X$5-1)*IF($AQ12=1,Scenario_Control!$M$20,1),0)</f>
        <v>15965</v>
      </c>
      <c r="Y12" s="11" t="n">
        <f aca="false">$AO12*IF(Y$3&gt;=$AP12+$AQ12*Scenario_Control!$M$19,$AS12*(1+Assumptions!$D$9)/12*(1+Assumptions!$D$8)^(Y$5-1)*IF($AQ12=1,Scenario_Control!$M$20,1),0)</f>
        <v>15965</v>
      </c>
      <c r="Z12" s="11" t="n">
        <f aca="false">$AO12*IF(Z$3&gt;=$AP12+$AQ12*Scenario_Control!$M$19,$AS12*(1+Assumptions!$D$9)/12*(1+Assumptions!$D$8)^(Z$5-1)*IF($AQ12=1,Scenario_Control!$M$20,1),0)</f>
        <v>15965</v>
      </c>
      <c r="AA12" s="11" t="n">
        <f aca="false">$AO12*IF(AA$3&gt;=$AP12+$AQ12*Scenario_Control!$M$19,$AS12*(1+Assumptions!$D$9)/12*(1+Assumptions!$D$8)^(AA$5-1)*IF($AQ12=1,Scenario_Control!$M$20,1),0)</f>
        <v>15965</v>
      </c>
      <c r="AB12" s="11" t="n">
        <f aca="false">$AO12*IF(AB$3&gt;=$AP12+$AQ12*Scenario_Control!$M$19,$AS12*(1+Assumptions!$D$9)/12*(1+Assumptions!$D$8)^(AB$5-1)*IF($AQ12=1,Scenario_Control!$M$20,1),0)</f>
        <v>16443.95</v>
      </c>
      <c r="AC12" s="11" t="n">
        <f aca="false">$AO12*IF(AC$3&gt;=$AP12+$AQ12*Scenario_Control!$M$19,$AS12*(1+Assumptions!$D$9)/12*(1+Assumptions!$D$8)^(AC$5-1)*IF($AQ12=1,Scenario_Control!$M$20,1),0)</f>
        <v>16443.95</v>
      </c>
      <c r="AD12" s="11" t="n">
        <f aca="false">$AO12*IF(AD$3&gt;=$AP12+$AQ12*Scenario_Control!$M$19,$AS12*(1+Assumptions!$D$9)/12*(1+Assumptions!$D$8)^(AD$5-1)*IF($AQ12=1,Scenario_Control!$M$20,1),0)</f>
        <v>16443.95</v>
      </c>
      <c r="AE12" s="11" t="n">
        <f aca="false">$AO12*IF(AE$3&gt;=$AP12+$AQ12*Scenario_Control!$M$19,$AS12*(1+Assumptions!$D$9)/12*(1+Assumptions!$D$8)^(AE$5-1)*IF($AQ12=1,Scenario_Control!$M$20,1),0)</f>
        <v>16443.95</v>
      </c>
      <c r="AF12" s="11" t="n">
        <f aca="false">$AO12*IF(AF$3&gt;=$AP12+$AQ12*Scenario_Control!$M$19,$AS12*(1+Assumptions!$D$9)/12*(1+Assumptions!$D$8)^(AF$5-1)*IF($AQ12=1,Scenario_Control!$M$20,1),0)</f>
        <v>16443.95</v>
      </c>
      <c r="AG12" s="11" t="n">
        <f aca="false">$AO12*IF(AG$3&gt;=$AP12+$AQ12*Scenario_Control!$M$19,$AS12*(1+Assumptions!$D$9)/12*(1+Assumptions!$D$8)^(AG$5-1)*IF($AQ12=1,Scenario_Control!$M$20,1),0)</f>
        <v>16443.95</v>
      </c>
      <c r="AH12" s="11" t="n">
        <f aca="false">$AO12*IF(AH$3&gt;=$AP12+$AQ12*Scenario_Control!$M$19,$AS12*(1+Assumptions!$D$9)/12*(1+Assumptions!$D$8)^(AH$5-1)*IF($AQ12=1,Scenario_Control!$M$20,1),0)</f>
        <v>16443.95</v>
      </c>
      <c r="AI12" s="11" t="n">
        <f aca="false">$AO12*IF(AI$3&gt;=$AP12+$AQ12*Scenario_Control!$M$19,$AS12*(1+Assumptions!$D$9)/12*(1+Assumptions!$D$8)^(AI$5-1)*IF($AQ12=1,Scenario_Control!$M$20,1),0)</f>
        <v>16443.95</v>
      </c>
      <c r="AJ12" s="11" t="n">
        <f aca="false">$AO12*IF(AJ$3&gt;=$AP12+$AQ12*Scenario_Control!$M$19,$AS12*(1+Assumptions!$D$9)/12*(1+Assumptions!$D$8)^(AJ$5-1)*IF($AQ12=1,Scenario_Control!$M$20,1),0)</f>
        <v>16443.95</v>
      </c>
      <c r="AK12" s="11" t="n">
        <f aca="false">$AO12*IF(AK$3&gt;=$AP12+$AQ12*Scenario_Control!$M$19,$AS12*(1+Assumptions!$D$9)/12*(1+Assumptions!$D$8)^(AK$5-1)*IF($AQ12=1,Scenario_Control!$M$20,1),0)</f>
        <v>16443.95</v>
      </c>
      <c r="AL12" s="11" t="n">
        <f aca="false">$AO12*IF(AL$3&gt;=$AP12+$AQ12*Scenario_Control!$M$19,$AS12*(1+Assumptions!$D$9)/12*(1+Assumptions!$D$8)^(AL$5-1)*IF($AQ12=1,Scenario_Control!$M$20,1),0)</f>
        <v>16443.95</v>
      </c>
      <c r="AM12" s="11" t="n">
        <f aca="false">$AO12*IF(AM$3&gt;=$AP12+$AQ12*Scenario_Control!$M$19,$AS12*(1+Assumptions!$D$9)/12*(1+Assumptions!$D$8)^(AM$5-1)*IF($AQ12=1,Scenario_Control!$M$20,1),0)</f>
        <v>16443.95</v>
      </c>
      <c r="AO12" s="58" t="n">
        <v>1</v>
      </c>
      <c r="AP12" s="58" t="n">
        <v>4</v>
      </c>
      <c r="AQ12" s="58" t="n">
        <v>0</v>
      </c>
      <c r="AR12" s="58" t="n">
        <v>1</v>
      </c>
      <c r="AS12" s="30" t="n">
        <v>155000</v>
      </c>
      <c r="AT12" s="58" t="s">
        <v>80</v>
      </c>
      <c r="AU12" s="58" t="s">
        <v>956</v>
      </c>
      <c r="AV12" s="58" t="s">
        <v>956</v>
      </c>
      <c r="AW12" s="58" t="n">
        <f aca="false">AP12+AQ12*Scenario_Control!$M$19</f>
        <v>4</v>
      </c>
    </row>
    <row r="13" customFormat="false" ht="15" hidden="false" customHeight="true" outlineLevel="0" collapsed="false">
      <c r="A13" s="5" t="s">
        <v>960</v>
      </c>
      <c r="B13" s="10" t="s">
        <v>80</v>
      </c>
      <c r="C13" s="12" t="n">
        <f aca="false">SUM(D13:AM13)</f>
        <v>1125087.2</v>
      </c>
      <c r="D13" s="11" t="n">
        <f aca="false">$AO13*IF(D$3&gt;=$AP13+$AQ13*Scenario_Control!$M$19,$AS13*(1+Assumptions!$D$9)/12*(1+Assumptions!$D$8)^(D$5-1)*IF($AQ13=1,Scenario_Control!$M$20,1),0)</f>
        <v>0</v>
      </c>
      <c r="E13" s="11" t="n">
        <f aca="false">$AO13*IF(E$3&gt;=$AP13+$AQ13*Scenario_Control!$M$19,$AS13*(1+Assumptions!$D$9)/12*(1+Assumptions!$D$8)^(E$5-1)*IF($AQ13=1,Scenario_Control!$M$20,1),0)</f>
        <v>0</v>
      </c>
      <c r="F13" s="11" t="n">
        <f aca="false">$AO13*IF(F$3&gt;=$AP13+$AQ13*Scenario_Control!$M$19,$AS13*(1+Assumptions!$D$9)/12*(1+Assumptions!$D$8)^(F$5-1)*IF($AQ13=1,Scenario_Control!$M$20,1),0)</f>
        <v>0</v>
      </c>
      <c r="G13" s="11" t="n">
        <f aca="false">$AO13*IF(G$3&gt;=$AP13+$AQ13*Scenario_Control!$M$19,$AS13*(1+Assumptions!$D$9)/12*(1+Assumptions!$D$8)^(G$5-1)*IF($AQ13=1,Scenario_Control!$M$20,1),0)</f>
        <v>0</v>
      </c>
      <c r="H13" s="11" t="n">
        <f aca="false">$AO13*IF(H$3&gt;=$AP13+$AQ13*Scenario_Control!$M$19,$AS13*(1+Assumptions!$D$9)/12*(1+Assumptions!$D$8)^(H$5-1)*IF($AQ13=1,Scenario_Control!$M$20,1),0)</f>
        <v>34000</v>
      </c>
      <c r="I13" s="11" t="n">
        <f aca="false">$AO13*IF(I$3&gt;=$AP13+$AQ13*Scenario_Control!$M$19,$AS13*(1+Assumptions!$D$9)/12*(1+Assumptions!$D$8)^(I$5-1)*IF($AQ13=1,Scenario_Control!$M$20,1),0)</f>
        <v>34000</v>
      </c>
      <c r="J13" s="11" t="n">
        <f aca="false">$AO13*IF(J$3&gt;=$AP13+$AQ13*Scenario_Control!$M$19,$AS13*(1+Assumptions!$D$9)/12*(1+Assumptions!$D$8)^(J$5-1)*IF($AQ13=1,Scenario_Control!$M$20,1),0)</f>
        <v>34000</v>
      </c>
      <c r="K13" s="11" t="n">
        <f aca="false">$AO13*IF(K$3&gt;=$AP13+$AQ13*Scenario_Control!$M$19,$AS13*(1+Assumptions!$D$9)/12*(1+Assumptions!$D$8)^(K$5-1)*IF($AQ13=1,Scenario_Control!$M$20,1),0)</f>
        <v>34000</v>
      </c>
      <c r="L13" s="11" t="n">
        <f aca="false">$AO13*IF(L$3&gt;=$AP13+$AQ13*Scenario_Control!$M$19,$AS13*(1+Assumptions!$D$9)/12*(1+Assumptions!$D$8)^(L$5-1)*IF($AQ13=1,Scenario_Control!$M$20,1),0)</f>
        <v>34000</v>
      </c>
      <c r="M13" s="11" t="n">
        <f aca="false">$AO13*IF(M$3&gt;=$AP13+$AQ13*Scenario_Control!$M$19,$AS13*(1+Assumptions!$D$9)/12*(1+Assumptions!$D$8)^(M$5-1)*IF($AQ13=1,Scenario_Control!$M$20,1),0)</f>
        <v>34000</v>
      </c>
      <c r="N13" s="11" t="n">
        <f aca="false">$AO13*IF(N$3&gt;=$AP13+$AQ13*Scenario_Control!$M$19,$AS13*(1+Assumptions!$D$9)/12*(1+Assumptions!$D$8)^(N$5-1)*IF($AQ13=1,Scenario_Control!$M$20,1),0)</f>
        <v>34000</v>
      </c>
      <c r="O13" s="11" t="n">
        <f aca="false">$AO13*IF(O$3&gt;=$AP13+$AQ13*Scenario_Control!$M$19,$AS13*(1+Assumptions!$D$9)/12*(1+Assumptions!$D$8)^(O$5-1)*IF($AQ13=1,Scenario_Control!$M$20,1),0)</f>
        <v>34000</v>
      </c>
      <c r="P13" s="11" t="n">
        <f aca="false">$AO13*IF(P$3&gt;=$AP13+$AQ13*Scenario_Control!$M$19,$AS13*(1+Assumptions!$D$9)/12*(1+Assumptions!$D$8)^(P$5-1)*IF($AQ13=1,Scenario_Control!$M$20,1),0)</f>
        <v>35020</v>
      </c>
      <c r="Q13" s="11" t="n">
        <f aca="false">$AO13*IF(Q$3&gt;=$AP13+$AQ13*Scenario_Control!$M$19,$AS13*(1+Assumptions!$D$9)/12*(1+Assumptions!$D$8)^(Q$5-1)*IF($AQ13=1,Scenario_Control!$M$20,1),0)</f>
        <v>35020</v>
      </c>
      <c r="R13" s="11" t="n">
        <f aca="false">$AO13*IF(R$3&gt;=$AP13+$AQ13*Scenario_Control!$M$19,$AS13*(1+Assumptions!$D$9)/12*(1+Assumptions!$D$8)^(R$5-1)*IF($AQ13=1,Scenario_Control!$M$20,1),0)</f>
        <v>35020</v>
      </c>
      <c r="S13" s="11" t="n">
        <f aca="false">$AO13*IF(S$3&gt;=$AP13+$AQ13*Scenario_Control!$M$19,$AS13*(1+Assumptions!$D$9)/12*(1+Assumptions!$D$8)^(S$5-1)*IF($AQ13=1,Scenario_Control!$M$20,1),0)</f>
        <v>35020</v>
      </c>
      <c r="T13" s="11" t="n">
        <f aca="false">$AO13*IF(T$3&gt;=$AP13+$AQ13*Scenario_Control!$M$19,$AS13*(1+Assumptions!$D$9)/12*(1+Assumptions!$D$8)^(T$5-1)*IF($AQ13=1,Scenario_Control!$M$20,1),0)</f>
        <v>35020</v>
      </c>
      <c r="U13" s="11" t="n">
        <f aca="false">$AO13*IF(U$3&gt;=$AP13+$AQ13*Scenario_Control!$M$19,$AS13*(1+Assumptions!$D$9)/12*(1+Assumptions!$D$8)^(U$5-1)*IF($AQ13=1,Scenario_Control!$M$20,1),0)</f>
        <v>35020</v>
      </c>
      <c r="V13" s="11" t="n">
        <f aca="false">$AO13*IF(V$3&gt;=$AP13+$AQ13*Scenario_Control!$M$19,$AS13*(1+Assumptions!$D$9)/12*(1+Assumptions!$D$8)^(V$5-1)*IF($AQ13=1,Scenario_Control!$M$20,1),0)</f>
        <v>35020</v>
      </c>
      <c r="W13" s="11" t="n">
        <f aca="false">$AO13*IF(W$3&gt;=$AP13+$AQ13*Scenario_Control!$M$19,$AS13*(1+Assumptions!$D$9)/12*(1+Assumptions!$D$8)^(W$5-1)*IF($AQ13=1,Scenario_Control!$M$20,1),0)</f>
        <v>35020</v>
      </c>
      <c r="X13" s="11" t="n">
        <f aca="false">$AO13*IF(X$3&gt;=$AP13+$AQ13*Scenario_Control!$M$19,$AS13*(1+Assumptions!$D$9)/12*(1+Assumptions!$D$8)^(X$5-1)*IF($AQ13=1,Scenario_Control!$M$20,1),0)</f>
        <v>35020</v>
      </c>
      <c r="Y13" s="11" t="n">
        <f aca="false">$AO13*IF(Y$3&gt;=$AP13+$AQ13*Scenario_Control!$M$19,$AS13*(1+Assumptions!$D$9)/12*(1+Assumptions!$D$8)^(Y$5-1)*IF($AQ13=1,Scenario_Control!$M$20,1),0)</f>
        <v>35020</v>
      </c>
      <c r="Z13" s="11" t="n">
        <f aca="false">$AO13*IF(Z$3&gt;=$AP13+$AQ13*Scenario_Control!$M$19,$AS13*(1+Assumptions!$D$9)/12*(1+Assumptions!$D$8)^(Z$5-1)*IF($AQ13=1,Scenario_Control!$M$20,1),0)</f>
        <v>35020</v>
      </c>
      <c r="AA13" s="11" t="n">
        <f aca="false">$AO13*IF(AA$3&gt;=$AP13+$AQ13*Scenario_Control!$M$19,$AS13*(1+Assumptions!$D$9)/12*(1+Assumptions!$D$8)^(AA$5-1)*IF($AQ13=1,Scenario_Control!$M$20,1),0)</f>
        <v>35020</v>
      </c>
      <c r="AB13" s="11" t="n">
        <f aca="false">$AO13*IF(AB$3&gt;=$AP13+$AQ13*Scenario_Control!$M$19,$AS13*(1+Assumptions!$D$9)/12*(1+Assumptions!$D$8)^(AB$5-1)*IF($AQ13=1,Scenario_Control!$M$20,1),0)</f>
        <v>36070.6</v>
      </c>
      <c r="AC13" s="11" t="n">
        <f aca="false">$AO13*IF(AC$3&gt;=$AP13+$AQ13*Scenario_Control!$M$19,$AS13*(1+Assumptions!$D$9)/12*(1+Assumptions!$D$8)^(AC$5-1)*IF($AQ13=1,Scenario_Control!$M$20,1),0)</f>
        <v>36070.6</v>
      </c>
      <c r="AD13" s="11" t="n">
        <f aca="false">$AO13*IF(AD$3&gt;=$AP13+$AQ13*Scenario_Control!$M$19,$AS13*(1+Assumptions!$D$9)/12*(1+Assumptions!$D$8)^(AD$5-1)*IF($AQ13=1,Scenario_Control!$M$20,1),0)</f>
        <v>36070.6</v>
      </c>
      <c r="AE13" s="11" t="n">
        <f aca="false">$AO13*IF(AE$3&gt;=$AP13+$AQ13*Scenario_Control!$M$19,$AS13*(1+Assumptions!$D$9)/12*(1+Assumptions!$D$8)^(AE$5-1)*IF($AQ13=1,Scenario_Control!$M$20,1),0)</f>
        <v>36070.6</v>
      </c>
      <c r="AF13" s="11" t="n">
        <f aca="false">$AO13*IF(AF$3&gt;=$AP13+$AQ13*Scenario_Control!$M$19,$AS13*(1+Assumptions!$D$9)/12*(1+Assumptions!$D$8)^(AF$5-1)*IF($AQ13=1,Scenario_Control!$M$20,1),0)</f>
        <v>36070.6</v>
      </c>
      <c r="AG13" s="11" t="n">
        <f aca="false">$AO13*IF(AG$3&gt;=$AP13+$AQ13*Scenario_Control!$M$19,$AS13*(1+Assumptions!$D$9)/12*(1+Assumptions!$D$8)^(AG$5-1)*IF($AQ13=1,Scenario_Control!$M$20,1),0)</f>
        <v>36070.6</v>
      </c>
      <c r="AH13" s="11" t="n">
        <f aca="false">$AO13*IF(AH$3&gt;=$AP13+$AQ13*Scenario_Control!$M$19,$AS13*(1+Assumptions!$D$9)/12*(1+Assumptions!$D$8)^(AH$5-1)*IF($AQ13=1,Scenario_Control!$M$20,1),0)</f>
        <v>36070.6</v>
      </c>
      <c r="AI13" s="11" t="n">
        <f aca="false">$AO13*IF(AI$3&gt;=$AP13+$AQ13*Scenario_Control!$M$19,$AS13*(1+Assumptions!$D$9)/12*(1+Assumptions!$D$8)^(AI$5-1)*IF($AQ13=1,Scenario_Control!$M$20,1),0)</f>
        <v>36070.6</v>
      </c>
      <c r="AJ13" s="11" t="n">
        <f aca="false">$AO13*IF(AJ$3&gt;=$AP13+$AQ13*Scenario_Control!$M$19,$AS13*(1+Assumptions!$D$9)/12*(1+Assumptions!$D$8)^(AJ$5-1)*IF($AQ13=1,Scenario_Control!$M$20,1),0)</f>
        <v>36070.6</v>
      </c>
      <c r="AK13" s="11" t="n">
        <f aca="false">$AO13*IF(AK$3&gt;=$AP13+$AQ13*Scenario_Control!$M$19,$AS13*(1+Assumptions!$D$9)/12*(1+Assumptions!$D$8)^(AK$5-1)*IF($AQ13=1,Scenario_Control!$M$20,1),0)</f>
        <v>36070.6</v>
      </c>
      <c r="AL13" s="11" t="n">
        <f aca="false">$AO13*IF(AL$3&gt;=$AP13+$AQ13*Scenario_Control!$M$19,$AS13*(1+Assumptions!$D$9)/12*(1+Assumptions!$D$8)^(AL$5-1)*IF($AQ13=1,Scenario_Control!$M$20,1),0)</f>
        <v>36070.6</v>
      </c>
      <c r="AM13" s="11" t="n">
        <f aca="false">$AO13*IF(AM$3&gt;=$AP13+$AQ13*Scenario_Control!$M$19,$AS13*(1+Assumptions!$D$9)/12*(1+Assumptions!$D$8)^(AM$5-1)*IF($AQ13=1,Scenario_Control!$M$20,1),0)</f>
        <v>36070.6</v>
      </c>
      <c r="AO13" s="58" t="n">
        <v>2</v>
      </c>
      <c r="AP13" s="58" t="n">
        <v>5</v>
      </c>
      <c r="AQ13" s="58" t="n">
        <v>0</v>
      </c>
      <c r="AR13" s="58" t="n">
        <v>1</v>
      </c>
      <c r="AS13" s="30" t="n">
        <v>170000</v>
      </c>
      <c r="AT13" s="58" t="s">
        <v>80</v>
      </c>
      <c r="AU13" s="58" t="s">
        <v>956</v>
      </c>
      <c r="AV13" s="58" t="s">
        <v>956</v>
      </c>
      <c r="AW13" s="58" t="n">
        <f aca="false">AP13+AQ13*Scenario_Control!$M$19</f>
        <v>5</v>
      </c>
    </row>
    <row r="14" customFormat="false" ht="15" hidden="false" customHeight="true" outlineLevel="0" collapsed="false">
      <c r="A14" s="5" t="s">
        <v>961</v>
      </c>
      <c r="B14" s="10" t="s">
        <v>80</v>
      </c>
      <c r="C14" s="12" t="n">
        <f aca="false">SUM(D14:AM14)</f>
        <v>1058996.4</v>
      </c>
      <c r="D14" s="11" t="n">
        <f aca="false">$AO14*IF(D$3&gt;=$AP14+$AQ14*Scenario_Control!$M$19,$AS14*(1+Assumptions!$D$9)/12*(1+Assumptions!$D$8)^(D$5-1)*IF($AQ14=1,Scenario_Control!$M$20,1),0)</f>
        <v>0</v>
      </c>
      <c r="E14" s="11" t="n">
        <f aca="false">$AO14*IF(E$3&gt;=$AP14+$AQ14*Scenario_Control!$M$19,$AS14*(1+Assumptions!$D$9)/12*(1+Assumptions!$D$8)^(E$5-1)*IF($AQ14=1,Scenario_Control!$M$20,1),0)</f>
        <v>0</v>
      </c>
      <c r="F14" s="11" t="n">
        <f aca="false">$AO14*IF(F$3&gt;=$AP14+$AQ14*Scenario_Control!$M$19,$AS14*(1+Assumptions!$D$9)/12*(1+Assumptions!$D$8)^(F$5-1)*IF($AQ14=1,Scenario_Control!$M$20,1),0)</f>
        <v>0</v>
      </c>
      <c r="G14" s="11" t="n">
        <f aca="false">$AO14*IF(G$3&gt;=$AP14+$AQ14*Scenario_Control!$M$19,$AS14*(1+Assumptions!$D$9)/12*(1+Assumptions!$D$8)^(G$5-1)*IF($AQ14=1,Scenario_Control!$M$20,1),0)</f>
        <v>0</v>
      </c>
      <c r="H14" s="11" t="n">
        <f aca="false">$AO14*IF(H$3&gt;=$AP14+$AQ14*Scenario_Control!$M$19,$AS14*(1+Assumptions!$D$9)/12*(1+Assumptions!$D$8)^(H$5-1)*IF($AQ14=1,Scenario_Control!$M$20,1),0)</f>
        <v>0</v>
      </c>
      <c r="I14" s="11" t="n">
        <f aca="false">$AO14*IF(I$3&gt;=$AP14+$AQ14*Scenario_Control!$M$19,$AS14*(1+Assumptions!$D$9)/12*(1+Assumptions!$D$8)^(I$5-1)*IF($AQ14=1,Scenario_Control!$M$20,1),0)</f>
        <v>33000</v>
      </c>
      <c r="J14" s="11" t="n">
        <f aca="false">$AO14*IF(J$3&gt;=$AP14+$AQ14*Scenario_Control!$M$19,$AS14*(1+Assumptions!$D$9)/12*(1+Assumptions!$D$8)^(J$5-1)*IF($AQ14=1,Scenario_Control!$M$20,1),0)</f>
        <v>33000</v>
      </c>
      <c r="K14" s="11" t="n">
        <f aca="false">$AO14*IF(K$3&gt;=$AP14+$AQ14*Scenario_Control!$M$19,$AS14*(1+Assumptions!$D$9)/12*(1+Assumptions!$D$8)^(K$5-1)*IF($AQ14=1,Scenario_Control!$M$20,1),0)</f>
        <v>33000</v>
      </c>
      <c r="L14" s="11" t="n">
        <f aca="false">$AO14*IF(L$3&gt;=$AP14+$AQ14*Scenario_Control!$M$19,$AS14*(1+Assumptions!$D$9)/12*(1+Assumptions!$D$8)^(L$5-1)*IF($AQ14=1,Scenario_Control!$M$20,1),0)</f>
        <v>33000</v>
      </c>
      <c r="M14" s="11" t="n">
        <f aca="false">$AO14*IF(M$3&gt;=$AP14+$AQ14*Scenario_Control!$M$19,$AS14*(1+Assumptions!$D$9)/12*(1+Assumptions!$D$8)^(M$5-1)*IF($AQ14=1,Scenario_Control!$M$20,1),0)</f>
        <v>33000</v>
      </c>
      <c r="N14" s="11" t="n">
        <f aca="false">$AO14*IF(N$3&gt;=$AP14+$AQ14*Scenario_Control!$M$19,$AS14*(1+Assumptions!$D$9)/12*(1+Assumptions!$D$8)^(N$5-1)*IF($AQ14=1,Scenario_Control!$M$20,1),0)</f>
        <v>33000</v>
      </c>
      <c r="O14" s="11" t="n">
        <f aca="false">$AO14*IF(O$3&gt;=$AP14+$AQ14*Scenario_Control!$M$19,$AS14*(1+Assumptions!$D$9)/12*(1+Assumptions!$D$8)^(O$5-1)*IF($AQ14=1,Scenario_Control!$M$20,1),0)</f>
        <v>33000</v>
      </c>
      <c r="P14" s="11" t="n">
        <f aca="false">$AO14*IF(P$3&gt;=$AP14+$AQ14*Scenario_Control!$M$19,$AS14*(1+Assumptions!$D$9)/12*(1+Assumptions!$D$8)^(P$5-1)*IF($AQ14=1,Scenario_Control!$M$20,1),0)</f>
        <v>33990</v>
      </c>
      <c r="Q14" s="11" t="n">
        <f aca="false">$AO14*IF(Q$3&gt;=$AP14+$AQ14*Scenario_Control!$M$19,$AS14*(1+Assumptions!$D$9)/12*(1+Assumptions!$D$8)^(Q$5-1)*IF($AQ14=1,Scenario_Control!$M$20,1),0)</f>
        <v>33990</v>
      </c>
      <c r="R14" s="11" t="n">
        <f aca="false">$AO14*IF(R$3&gt;=$AP14+$AQ14*Scenario_Control!$M$19,$AS14*(1+Assumptions!$D$9)/12*(1+Assumptions!$D$8)^(R$5-1)*IF($AQ14=1,Scenario_Control!$M$20,1),0)</f>
        <v>33990</v>
      </c>
      <c r="S14" s="11" t="n">
        <f aca="false">$AO14*IF(S$3&gt;=$AP14+$AQ14*Scenario_Control!$M$19,$AS14*(1+Assumptions!$D$9)/12*(1+Assumptions!$D$8)^(S$5-1)*IF($AQ14=1,Scenario_Control!$M$20,1),0)</f>
        <v>33990</v>
      </c>
      <c r="T14" s="11" t="n">
        <f aca="false">$AO14*IF(T$3&gt;=$AP14+$AQ14*Scenario_Control!$M$19,$AS14*(1+Assumptions!$D$9)/12*(1+Assumptions!$D$8)^(T$5-1)*IF($AQ14=1,Scenario_Control!$M$20,1),0)</f>
        <v>33990</v>
      </c>
      <c r="U14" s="11" t="n">
        <f aca="false">$AO14*IF(U$3&gt;=$AP14+$AQ14*Scenario_Control!$M$19,$AS14*(1+Assumptions!$D$9)/12*(1+Assumptions!$D$8)^(U$5-1)*IF($AQ14=1,Scenario_Control!$M$20,1),0)</f>
        <v>33990</v>
      </c>
      <c r="V14" s="11" t="n">
        <f aca="false">$AO14*IF(V$3&gt;=$AP14+$AQ14*Scenario_Control!$M$19,$AS14*(1+Assumptions!$D$9)/12*(1+Assumptions!$D$8)^(V$5-1)*IF($AQ14=1,Scenario_Control!$M$20,1),0)</f>
        <v>33990</v>
      </c>
      <c r="W14" s="11" t="n">
        <f aca="false">$AO14*IF(W$3&gt;=$AP14+$AQ14*Scenario_Control!$M$19,$AS14*(1+Assumptions!$D$9)/12*(1+Assumptions!$D$8)^(W$5-1)*IF($AQ14=1,Scenario_Control!$M$20,1),0)</f>
        <v>33990</v>
      </c>
      <c r="X14" s="11" t="n">
        <f aca="false">$AO14*IF(X$3&gt;=$AP14+$AQ14*Scenario_Control!$M$19,$AS14*(1+Assumptions!$D$9)/12*(1+Assumptions!$D$8)^(X$5-1)*IF($AQ14=1,Scenario_Control!$M$20,1),0)</f>
        <v>33990</v>
      </c>
      <c r="Y14" s="11" t="n">
        <f aca="false">$AO14*IF(Y$3&gt;=$AP14+$AQ14*Scenario_Control!$M$19,$AS14*(1+Assumptions!$D$9)/12*(1+Assumptions!$D$8)^(Y$5-1)*IF($AQ14=1,Scenario_Control!$M$20,1),0)</f>
        <v>33990</v>
      </c>
      <c r="Z14" s="11" t="n">
        <f aca="false">$AO14*IF(Z$3&gt;=$AP14+$AQ14*Scenario_Control!$M$19,$AS14*(1+Assumptions!$D$9)/12*(1+Assumptions!$D$8)^(Z$5-1)*IF($AQ14=1,Scenario_Control!$M$20,1),0)</f>
        <v>33990</v>
      </c>
      <c r="AA14" s="11" t="n">
        <f aca="false">$AO14*IF(AA$3&gt;=$AP14+$AQ14*Scenario_Control!$M$19,$AS14*(1+Assumptions!$D$9)/12*(1+Assumptions!$D$8)^(AA$5-1)*IF($AQ14=1,Scenario_Control!$M$20,1),0)</f>
        <v>33990</v>
      </c>
      <c r="AB14" s="11" t="n">
        <f aca="false">$AO14*IF(AB$3&gt;=$AP14+$AQ14*Scenario_Control!$M$19,$AS14*(1+Assumptions!$D$9)/12*(1+Assumptions!$D$8)^(AB$5-1)*IF($AQ14=1,Scenario_Control!$M$20,1),0)</f>
        <v>35009.7</v>
      </c>
      <c r="AC14" s="11" t="n">
        <f aca="false">$AO14*IF(AC$3&gt;=$AP14+$AQ14*Scenario_Control!$M$19,$AS14*(1+Assumptions!$D$9)/12*(1+Assumptions!$D$8)^(AC$5-1)*IF($AQ14=1,Scenario_Control!$M$20,1),0)</f>
        <v>35009.7</v>
      </c>
      <c r="AD14" s="11" t="n">
        <f aca="false">$AO14*IF(AD$3&gt;=$AP14+$AQ14*Scenario_Control!$M$19,$AS14*(1+Assumptions!$D$9)/12*(1+Assumptions!$D$8)^(AD$5-1)*IF($AQ14=1,Scenario_Control!$M$20,1),0)</f>
        <v>35009.7</v>
      </c>
      <c r="AE14" s="11" t="n">
        <f aca="false">$AO14*IF(AE$3&gt;=$AP14+$AQ14*Scenario_Control!$M$19,$AS14*(1+Assumptions!$D$9)/12*(1+Assumptions!$D$8)^(AE$5-1)*IF($AQ14=1,Scenario_Control!$M$20,1),0)</f>
        <v>35009.7</v>
      </c>
      <c r="AF14" s="11" t="n">
        <f aca="false">$AO14*IF(AF$3&gt;=$AP14+$AQ14*Scenario_Control!$M$19,$AS14*(1+Assumptions!$D$9)/12*(1+Assumptions!$D$8)^(AF$5-1)*IF($AQ14=1,Scenario_Control!$M$20,1),0)</f>
        <v>35009.7</v>
      </c>
      <c r="AG14" s="11" t="n">
        <f aca="false">$AO14*IF(AG$3&gt;=$AP14+$AQ14*Scenario_Control!$M$19,$AS14*(1+Assumptions!$D$9)/12*(1+Assumptions!$D$8)^(AG$5-1)*IF($AQ14=1,Scenario_Control!$M$20,1),0)</f>
        <v>35009.7</v>
      </c>
      <c r="AH14" s="11" t="n">
        <f aca="false">$AO14*IF(AH$3&gt;=$AP14+$AQ14*Scenario_Control!$M$19,$AS14*(1+Assumptions!$D$9)/12*(1+Assumptions!$D$8)^(AH$5-1)*IF($AQ14=1,Scenario_Control!$M$20,1),0)</f>
        <v>35009.7</v>
      </c>
      <c r="AI14" s="11" t="n">
        <f aca="false">$AO14*IF(AI$3&gt;=$AP14+$AQ14*Scenario_Control!$M$19,$AS14*(1+Assumptions!$D$9)/12*(1+Assumptions!$D$8)^(AI$5-1)*IF($AQ14=1,Scenario_Control!$M$20,1),0)</f>
        <v>35009.7</v>
      </c>
      <c r="AJ14" s="11" t="n">
        <f aca="false">$AO14*IF(AJ$3&gt;=$AP14+$AQ14*Scenario_Control!$M$19,$AS14*(1+Assumptions!$D$9)/12*(1+Assumptions!$D$8)^(AJ$5-1)*IF($AQ14=1,Scenario_Control!$M$20,1),0)</f>
        <v>35009.7</v>
      </c>
      <c r="AK14" s="11" t="n">
        <f aca="false">$AO14*IF(AK$3&gt;=$AP14+$AQ14*Scenario_Control!$M$19,$AS14*(1+Assumptions!$D$9)/12*(1+Assumptions!$D$8)^(AK$5-1)*IF($AQ14=1,Scenario_Control!$M$20,1),0)</f>
        <v>35009.7</v>
      </c>
      <c r="AL14" s="11" t="n">
        <f aca="false">$AO14*IF(AL$3&gt;=$AP14+$AQ14*Scenario_Control!$M$19,$AS14*(1+Assumptions!$D$9)/12*(1+Assumptions!$D$8)^(AL$5-1)*IF($AQ14=1,Scenario_Control!$M$20,1),0)</f>
        <v>35009.7</v>
      </c>
      <c r="AM14" s="11" t="n">
        <f aca="false">$AO14*IF(AM$3&gt;=$AP14+$AQ14*Scenario_Control!$M$19,$AS14*(1+Assumptions!$D$9)/12*(1+Assumptions!$D$8)^(AM$5-1)*IF($AQ14=1,Scenario_Control!$M$20,1),0)</f>
        <v>35009.7</v>
      </c>
      <c r="AO14" s="58" t="n">
        <v>2</v>
      </c>
      <c r="AP14" s="58" t="n">
        <v>6</v>
      </c>
      <c r="AQ14" s="58" t="n">
        <v>0</v>
      </c>
      <c r="AR14" s="58" t="n">
        <v>1</v>
      </c>
      <c r="AS14" s="30" t="n">
        <v>165000</v>
      </c>
      <c r="AT14" s="58" t="s">
        <v>80</v>
      </c>
      <c r="AU14" s="58" t="s">
        <v>956</v>
      </c>
      <c r="AV14" s="58" t="s">
        <v>956</v>
      </c>
      <c r="AW14" s="58" t="n">
        <f aca="false">AP14+AQ14*Scenario_Control!$M$19</f>
        <v>6</v>
      </c>
    </row>
    <row r="15" customFormat="false" ht="15" hidden="false" customHeight="true" outlineLevel="0" collapsed="false">
      <c r="A15" s="5" t="s">
        <v>962</v>
      </c>
      <c r="B15" s="10" t="s">
        <v>80</v>
      </c>
      <c r="C15" s="12" t="n">
        <f aca="false">SUM(D15:AM15)</f>
        <v>465316.6</v>
      </c>
      <c r="D15" s="11" t="n">
        <f aca="false">$AO15*IF(D$3&gt;=$AP15+$AQ15*Scenario_Control!$M$19,$AS15*(1+Assumptions!$D$9)/12*(1+Assumptions!$D$8)^(D$5-1)*IF($AQ15=1,Scenario_Control!$M$20,1),0)</f>
        <v>0</v>
      </c>
      <c r="E15" s="11" t="n">
        <f aca="false">$AO15*IF(E$3&gt;=$AP15+$AQ15*Scenario_Control!$M$19,$AS15*(1+Assumptions!$D$9)/12*(1+Assumptions!$D$8)^(E$5-1)*IF($AQ15=1,Scenario_Control!$M$20,1),0)</f>
        <v>0</v>
      </c>
      <c r="F15" s="11" t="n">
        <f aca="false">$AO15*IF(F$3&gt;=$AP15+$AQ15*Scenario_Control!$M$19,$AS15*(1+Assumptions!$D$9)/12*(1+Assumptions!$D$8)^(F$5-1)*IF($AQ15=1,Scenario_Control!$M$20,1),0)</f>
        <v>0</v>
      </c>
      <c r="G15" s="11" t="n">
        <f aca="false">$AO15*IF(G$3&gt;=$AP15+$AQ15*Scenario_Control!$M$19,$AS15*(1+Assumptions!$D$9)/12*(1+Assumptions!$D$8)^(G$5-1)*IF($AQ15=1,Scenario_Control!$M$20,1),0)</f>
        <v>0</v>
      </c>
      <c r="H15" s="11" t="n">
        <f aca="false">$AO15*IF(H$3&gt;=$AP15+$AQ15*Scenario_Control!$M$19,$AS15*(1+Assumptions!$D$9)/12*(1+Assumptions!$D$8)^(H$5-1)*IF($AQ15=1,Scenario_Control!$M$20,1),0)</f>
        <v>0</v>
      </c>
      <c r="I15" s="11" t="n">
        <f aca="false">$AO15*IF(I$3&gt;=$AP15+$AQ15*Scenario_Control!$M$19,$AS15*(1+Assumptions!$D$9)/12*(1+Assumptions!$D$8)^(I$5-1)*IF($AQ15=1,Scenario_Control!$M$20,1),0)</f>
        <v>14500</v>
      </c>
      <c r="J15" s="11" t="n">
        <f aca="false">$AO15*IF(J$3&gt;=$AP15+$AQ15*Scenario_Control!$M$19,$AS15*(1+Assumptions!$D$9)/12*(1+Assumptions!$D$8)^(J$5-1)*IF($AQ15=1,Scenario_Control!$M$20,1),0)</f>
        <v>14500</v>
      </c>
      <c r="K15" s="11" t="n">
        <f aca="false">$AO15*IF(K$3&gt;=$AP15+$AQ15*Scenario_Control!$M$19,$AS15*(1+Assumptions!$D$9)/12*(1+Assumptions!$D$8)^(K$5-1)*IF($AQ15=1,Scenario_Control!$M$20,1),0)</f>
        <v>14500</v>
      </c>
      <c r="L15" s="11" t="n">
        <f aca="false">$AO15*IF(L$3&gt;=$AP15+$AQ15*Scenario_Control!$M$19,$AS15*(1+Assumptions!$D$9)/12*(1+Assumptions!$D$8)^(L$5-1)*IF($AQ15=1,Scenario_Control!$M$20,1),0)</f>
        <v>14500</v>
      </c>
      <c r="M15" s="11" t="n">
        <f aca="false">$AO15*IF(M$3&gt;=$AP15+$AQ15*Scenario_Control!$M$19,$AS15*(1+Assumptions!$D$9)/12*(1+Assumptions!$D$8)^(M$5-1)*IF($AQ15=1,Scenario_Control!$M$20,1),0)</f>
        <v>14500</v>
      </c>
      <c r="N15" s="11" t="n">
        <f aca="false">$AO15*IF(N$3&gt;=$AP15+$AQ15*Scenario_Control!$M$19,$AS15*(1+Assumptions!$D$9)/12*(1+Assumptions!$D$8)^(N$5-1)*IF($AQ15=1,Scenario_Control!$M$20,1),0)</f>
        <v>14500</v>
      </c>
      <c r="O15" s="11" t="n">
        <f aca="false">$AO15*IF(O$3&gt;=$AP15+$AQ15*Scenario_Control!$M$19,$AS15*(1+Assumptions!$D$9)/12*(1+Assumptions!$D$8)^(O$5-1)*IF($AQ15=1,Scenario_Control!$M$20,1),0)</f>
        <v>14500</v>
      </c>
      <c r="P15" s="11" t="n">
        <f aca="false">$AO15*IF(P$3&gt;=$AP15+$AQ15*Scenario_Control!$M$19,$AS15*(1+Assumptions!$D$9)/12*(1+Assumptions!$D$8)^(P$5-1)*IF($AQ15=1,Scenario_Control!$M$20,1),0)</f>
        <v>14935</v>
      </c>
      <c r="Q15" s="11" t="n">
        <f aca="false">$AO15*IF(Q$3&gt;=$AP15+$AQ15*Scenario_Control!$M$19,$AS15*(1+Assumptions!$D$9)/12*(1+Assumptions!$D$8)^(Q$5-1)*IF($AQ15=1,Scenario_Control!$M$20,1),0)</f>
        <v>14935</v>
      </c>
      <c r="R15" s="11" t="n">
        <f aca="false">$AO15*IF(R$3&gt;=$AP15+$AQ15*Scenario_Control!$M$19,$AS15*(1+Assumptions!$D$9)/12*(1+Assumptions!$D$8)^(R$5-1)*IF($AQ15=1,Scenario_Control!$M$20,1),0)</f>
        <v>14935</v>
      </c>
      <c r="S15" s="11" t="n">
        <f aca="false">$AO15*IF(S$3&gt;=$AP15+$AQ15*Scenario_Control!$M$19,$AS15*(1+Assumptions!$D$9)/12*(1+Assumptions!$D$8)^(S$5-1)*IF($AQ15=1,Scenario_Control!$M$20,1),0)</f>
        <v>14935</v>
      </c>
      <c r="T15" s="11" t="n">
        <f aca="false">$AO15*IF(T$3&gt;=$AP15+$AQ15*Scenario_Control!$M$19,$AS15*(1+Assumptions!$D$9)/12*(1+Assumptions!$D$8)^(T$5-1)*IF($AQ15=1,Scenario_Control!$M$20,1),0)</f>
        <v>14935</v>
      </c>
      <c r="U15" s="11" t="n">
        <f aca="false">$AO15*IF(U$3&gt;=$AP15+$AQ15*Scenario_Control!$M$19,$AS15*(1+Assumptions!$D$9)/12*(1+Assumptions!$D$8)^(U$5-1)*IF($AQ15=1,Scenario_Control!$M$20,1),0)</f>
        <v>14935</v>
      </c>
      <c r="V15" s="11" t="n">
        <f aca="false">$AO15*IF(V$3&gt;=$AP15+$AQ15*Scenario_Control!$M$19,$AS15*(1+Assumptions!$D$9)/12*(1+Assumptions!$D$8)^(V$5-1)*IF($AQ15=1,Scenario_Control!$M$20,1),0)</f>
        <v>14935</v>
      </c>
      <c r="W15" s="11" t="n">
        <f aca="false">$AO15*IF(W$3&gt;=$AP15+$AQ15*Scenario_Control!$M$19,$AS15*(1+Assumptions!$D$9)/12*(1+Assumptions!$D$8)^(W$5-1)*IF($AQ15=1,Scenario_Control!$M$20,1),0)</f>
        <v>14935</v>
      </c>
      <c r="X15" s="11" t="n">
        <f aca="false">$AO15*IF(X$3&gt;=$AP15+$AQ15*Scenario_Control!$M$19,$AS15*(1+Assumptions!$D$9)/12*(1+Assumptions!$D$8)^(X$5-1)*IF($AQ15=1,Scenario_Control!$M$20,1),0)</f>
        <v>14935</v>
      </c>
      <c r="Y15" s="11" t="n">
        <f aca="false">$AO15*IF(Y$3&gt;=$AP15+$AQ15*Scenario_Control!$M$19,$AS15*(1+Assumptions!$D$9)/12*(1+Assumptions!$D$8)^(Y$5-1)*IF($AQ15=1,Scenario_Control!$M$20,1),0)</f>
        <v>14935</v>
      </c>
      <c r="Z15" s="11" t="n">
        <f aca="false">$AO15*IF(Z$3&gt;=$AP15+$AQ15*Scenario_Control!$M$19,$AS15*(1+Assumptions!$D$9)/12*(1+Assumptions!$D$8)^(Z$5-1)*IF($AQ15=1,Scenario_Control!$M$20,1),0)</f>
        <v>14935</v>
      </c>
      <c r="AA15" s="11" t="n">
        <f aca="false">$AO15*IF(AA$3&gt;=$AP15+$AQ15*Scenario_Control!$M$19,$AS15*(1+Assumptions!$D$9)/12*(1+Assumptions!$D$8)^(AA$5-1)*IF($AQ15=1,Scenario_Control!$M$20,1),0)</f>
        <v>14935</v>
      </c>
      <c r="AB15" s="11" t="n">
        <f aca="false">$AO15*IF(AB$3&gt;=$AP15+$AQ15*Scenario_Control!$M$19,$AS15*(1+Assumptions!$D$9)/12*(1+Assumptions!$D$8)^(AB$5-1)*IF($AQ15=1,Scenario_Control!$M$20,1),0)</f>
        <v>15383.05</v>
      </c>
      <c r="AC15" s="11" t="n">
        <f aca="false">$AO15*IF(AC$3&gt;=$AP15+$AQ15*Scenario_Control!$M$19,$AS15*(1+Assumptions!$D$9)/12*(1+Assumptions!$D$8)^(AC$5-1)*IF($AQ15=1,Scenario_Control!$M$20,1),0)</f>
        <v>15383.05</v>
      </c>
      <c r="AD15" s="11" t="n">
        <f aca="false">$AO15*IF(AD$3&gt;=$AP15+$AQ15*Scenario_Control!$M$19,$AS15*(1+Assumptions!$D$9)/12*(1+Assumptions!$D$8)^(AD$5-1)*IF($AQ15=1,Scenario_Control!$M$20,1),0)</f>
        <v>15383.05</v>
      </c>
      <c r="AE15" s="11" t="n">
        <f aca="false">$AO15*IF(AE$3&gt;=$AP15+$AQ15*Scenario_Control!$M$19,$AS15*(1+Assumptions!$D$9)/12*(1+Assumptions!$D$8)^(AE$5-1)*IF($AQ15=1,Scenario_Control!$M$20,1),0)</f>
        <v>15383.05</v>
      </c>
      <c r="AF15" s="11" t="n">
        <f aca="false">$AO15*IF(AF$3&gt;=$AP15+$AQ15*Scenario_Control!$M$19,$AS15*(1+Assumptions!$D$9)/12*(1+Assumptions!$D$8)^(AF$5-1)*IF($AQ15=1,Scenario_Control!$M$20,1),0)</f>
        <v>15383.05</v>
      </c>
      <c r="AG15" s="11" t="n">
        <f aca="false">$AO15*IF(AG$3&gt;=$AP15+$AQ15*Scenario_Control!$M$19,$AS15*(1+Assumptions!$D$9)/12*(1+Assumptions!$D$8)^(AG$5-1)*IF($AQ15=1,Scenario_Control!$M$20,1),0)</f>
        <v>15383.05</v>
      </c>
      <c r="AH15" s="11" t="n">
        <f aca="false">$AO15*IF(AH$3&gt;=$AP15+$AQ15*Scenario_Control!$M$19,$AS15*(1+Assumptions!$D$9)/12*(1+Assumptions!$D$8)^(AH$5-1)*IF($AQ15=1,Scenario_Control!$M$20,1),0)</f>
        <v>15383.05</v>
      </c>
      <c r="AI15" s="11" t="n">
        <f aca="false">$AO15*IF(AI$3&gt;=$AP15+$AQ15*Scenario_Control!$M$19,$AS15*(1+Assumptions!$D$9)/12*(1+Assumptions!$D$8)^(AI$5-1)*IF($AQ15=1,Scenario_Control!$M$20,1),0)</f>
        <v>15383.05</v>
      </c>
      <c r="AJ15" s="11" t="n">
        <f aca="false">$AO15*IF(AJ$3&gt;=$AP15+$AQ15*Scenario_Control!$M$19,$AS15*(1+Assumptions!$D$9)/12*(1+Assumptions!$D$8)^(AJ$5-1)*IF($AQ15=1,Scenario_Control!$M$20,1),0)</f>
        <v>15383.05</v>
      </c>
      <c r="AK15" s="11" t="n">
        <f aca="false">$AO15*IF(AK$3&gt;=$AP15+$AQ15*Scenario_Control!$M$19,$AS15*(1+Assumptions!$D$9)/12*(1+Assumptions!$D$8)^(AK$5-1)*IF($AQ15=1,Scenario_Control!$M$20,1),0)</f>
        <v>15383.05</v>
      </c>
      <c r="AL15" s="11" t="n">
        <f aca="false">$AO15*IF(AL$3&gt;=$AP15+$AQ15*Scenario_Control!$M$19,$AS15*(1+Assumptions!$D$9)/12*(1+Assumptions!$D$8)^(AL$5-1)*IF($AQ15=1,Scenario_Control!$M$20,1),0)</f>
        <v>15383.05</v>
      </c>
      <c r="AM15" s="11" t="n">
        <f aca="false">$AO15*IF(AM$3&gt;=$AP15+$AQ15*Scenario_Control!$M$19,$AS15*(1+Assumptions!$D$9)/12*(1+Assumptions!$D$8)^(AM$5-1)*IF($AQ15=1,Scenario_Control!$M$20,1),0)</f>
        <v>15383.05</v>
      </c>
      <c r="AO15" s="58" t="n">
        <v>1</v>
      </c>
      <c r="AP15" s="58" t="n">
        <v>6</v>
      </c>
      <c r="AQ15" s="58" t="n">
        <v>0</v>
      </c>
      <c r="AR15" s="58" t="n">
        <v>1</v>
      </c>
      <c r="AS15" s="30" t="n">
        <v>145000</v>
      </c>
      <c r="AT15" s="58" t="s">
        <v>80</v>
      </c>
      <c r="AU15" s="58" t="s">
        <v>956</v>
      </c>
      <c r="AV15" s="58" t="s">
        <v>956</v>
      </c>
      <c r="AW15" s="58" t="n">
        <f aca="false">AP15+AQ15*Scenario_Control!$M$19</f>
        <v>6</v>
      </c>
    </row>
    <row r="16" customFormat="false" ht="15" hidden="false" customHeight="true" outlineLevel="0" collapsed="false">
      <c r="A16" s="5" t="s">
        <v>963</v>
      </c>
      <c r="B16" s="10" t="s">
        <v>964</v>
      </c>
      <c r="C16" s="12" t="n">
        <f aca="false">SUM(D16:AM16)</f>
        <v>421271.2</v>
      </c>
      <c r="D16" s="11" t="n">
        <f aca="false">$AO16*IF(D$3&gt;=$AP16+$AQ16*Scenario_Control!$M$19,$AS16*(1+Assumptions!$D$9)/12*(1+Assumptions!$D$8)^(D$5-1)*IF($AQ16=1,Scenario_Control!$M$20,1),0)</f>
        <v>0</v>
      </c>
      <c r="E16" s="11" t="n">
        <f aca="false">$AO16*IF(E$3&gt;=$AP16+$AQ16*Scenario_Control!$M$19,$AS16*(1+Assumptions!$D$9)/12*(1+Assumptions!$D$8)^(E$5-1)*IF($AQ16=1,Scenario_Control!$M$20,1),0)</f>
        <v>0</v>
      </c>
      <c r="F16" s="11" t="n">
        <f aca="false">$AO16*IF(F$3&gt;=$AP16+$AQ16*Scenario_Control!$M$19,$AS16*(1+Assumptions!$D$9)/12*(1+Assumptions!$D$8)^(F$5-1)*IF($AQ16=1,Scenario_Control!$M$20,1),0)</f>
        <v>0</v>
      </c>
      <c r="G16" s="11" t="n">
        <f aca="false">$AO16*IF(G$3&gt;=$AP16+$AQ16*Scenario_Control!$M$19,$AS16*(1+Assumptions!$D$9)/12*(1+Assumptions!$D$8)^(G$5-1)*IF($AQ16=1,Scenario_Control!$M$20,1),0)</f>
        <v>0</v>
      </c>
      <c r="H16" s="11" t="n">
        <f aca="false">$AO16*IF(H$3&gt;=$AP16+$AQ16*Scenario_Control!$M$19,$AS16*(1+Assumptions!$D$9)/12*(1+Assumptions!$D$8)^(H$5-1)*IF($AQ16=1,Scenario_Control!$M$20,1),0)</f>
        <v>0</v>
      </c>
      <c r="I16" s="11" t="n">
        <f aca="false">$AO16*IF(I$3&gt;=$AP16+$AQ16*Scenario_Control!$M$19,$AS16*(1+Assumptions!$D$9)/12*(1+Assumptions!$D$8)^(I$5-1)*IF($AQ16=1,Scenario_Control!$M$20,1),0)</f>
        <v>0</v>
      </c>
      <c r="J16" s="11" t="n">
        <f aca="false">$AO16*IF(J$3&gt;=$AP16+$AQ16*Scenario_Control!$M$19,$AS16*(1+Assumptions!$D$9)/12*(1+Assumptions!$D$8)^(J$5-1)*IF($AQ16=1,Scenario_Control!$M$20,1),0)</f>
        <v>0</v>
      </c>
      <c r="K16" s="11" t="n">
        <f aca="false">$AO16*IF(K$3&gt;=$AP16+$AQ16*Scenario_Control!$M$19,$AS16*(1+Assumptions!$D$9)/12*(1+Assumptions!$D$8)^(K$5-1)*IF($AQ16=1,Scenario_Control!$M$20,1),0)</f>
        <v>14000</v>
      </c>
      <c r="L16" s="11" t="n">
        <f aca="false">$AO16*IF(L$3&gt;=$AP16+$AQ16*Scenario_Control!$M$19,$AS16*(1+Assumptions!$D$9)/12*(1+Assumptions!$D$8)^(L$5-1)*IF($AQ16=1,Scenario_Control!$M$20,1),0)</f>
        <v>14000</v>
      </c>
      <c r="M16" s="11" t="n">
        <f aca="false">$AO16*IF(M$3&gt;=$AP16+$AQ16*Scenario_Control!$M$19,$AS16*(1+Assumptions!$D$9)/12*(1+Assumptions!$D$8)^(M$5-1)*IF($AQ16=1,Scenario_Control!$M$20,1),0)</f>
        <v>14000</v>
      </c>
      <c r="N16" s="11" t="n">
        <f aca="false">$AO16*IF(N$3&gt;=$AP16+$AQ16*Scenario_Control!$M$19,$AS16*(1+Assumptions!$D$9)/12*(1+Assumptions!$D$8)^(N$5-1)*IF($AQ16=1,Scenario_Control!$M$20,1),0)</f>
        <v>14000</v>
      </c>
      <c r="O16" s="11" t="n">
        <f aca="false">$AO16*IF(O$3&gt;=$AP16+$AQ16*Scenario_Control!$M$19,$AS16*(1+Assumptions!$D$9)/12*(1+Assumptions!$D$8)^(O$5-1)*IF($AQ16=1,Scenario_Control!$M$20,1),0)</f>
        <v>14000</v>
      </c>
      <c r="P16" s="11" t="n">
        <f aca="false">$AO16*IF(P$3&gt;=$AP16+$AQ16*Scenario_Control!$M$19,$AS16*(1+Assumptions!$D$9)/12*(1+Assumptions!$D$8)^(P$5-1)*IF($AQ16=1,Scenario_Control!$M$20,1),0)</f>
        <v>14420</v>
      </c>
      <c r="Q16" s="11" t="n">
        <f aca="false">$AO16*IF(Q$3&gt;=$AP16+$AQ16*Scenario_Control!$M$19,$AS16*(1+Assumptions!$D$9)/12*(1+Assumptions!$D$8)^(Q$5-1)*IF($AQ16=1,Scenario_Control!$M$20,1),0)</f>
        <v>14420</v>
      </c>
      <c r="R16" s="11" t="n">
        <f aca="false">$AO16*IF(R$3&gt;=$AP16+$AQ16*Scenario_Control!$M$19,$AS16*(1+Assumptions!$D$9)/12*(1+Assumptions!$D$8)^(R$5-1)*IF($AQ16=1,Scenario_Control!$M$20,1),0)</f>
        <v>14420</v>
      </c>
      <c r="S16" s="11" t="n">
        <f aca="false">$AO16*IF(S$3&gt;=$AP16+$AQ16*Scenario_Control!$M$19,$AS16*(1+Assumptions!$D$9)/12*(1+Assumptions!$D$8)^(S$5-1)*IF($AQ16=1,Scenario_Control!$M$20,1),0)</f>
        <v>14420</v>
      </c>
      <c r="T16" s="11" t="n">
        <f aca="false">$AO16*IF(T$3&gt;=$AP16+$AQ16*Scenario_Control!$M$19,$AS16*(1+Assumptions!$D$9)/12*(1+Assumptions!$D$8)^(T$5-1)*IF($AQ16=1,Scenario_Control!$M$20,1),0)</f>
        <v>14420</v>
      </c>
      <c r="U16" s="11" t="n">
        <f aca="false">$AO16*IF(U$3&gt;=$AP16+$AQ16*Scenario_Control!$M$19,$AS16*(1+Assumptions!$D$9)/12*(1+Assumptions!$D$8)^(U$5-1)*IF($AQ16=1,Scenario_Control!$M$20,1),0)</f>
        <v>14420</v>
      </c>
      <c r="V16" s="11" t="n">
        <f aca="false">$AO16*IF(V$3&gt;=$AP16+$AQ16*Scenario_Control!$M$19,$AS16*(1+Assumptions!$D$9)/12*(1+Assumptions!$D$8)^(V$5-1)*IF($AQ16=1,Scenario_Control!$M$20,1),0)</f>
        <v>14420</v>
      </c>
      <c r="W16" s="11" t="n">
        <f aca="false">$AO16*IF(W$3&gt;=$AP16+$AQ16*Scenario_Control!$M$19,$AS16*(1+Assumptions!$D$9)/12*(1+Assumptions!$D$8)^(W$5-1)*IF($AQ16=1,Scenario_Control!$M$20,1),0)</f>
        <v>14420</v>
      </c>
      <c r="X16" s="11" t="n">
        <f aca="false">$AO16*IF(X$3&gt;=$AP16+$AQ16*Scenario_Control!$M$19,$AS16*(1+Assumptions!$D$9)/12*(1+Assumptions!$D$8)^(X$5-1)*IF($AQ16=1,Scenario_Control!$M$20,1),0)</f>
        <v>14420</v>
      </c>
      <c r="Y16" s="11" t="n">
        <f aca="false">$AO16*IF(Y$3&gt;=$AP16+$AQ16*Scenario_Control!$M$19,$AS16*(1+Assumptions!$D$9)/12*(1+Assumptions!$D$8)^(Y$5-1)*IF($AQ16=1,Scenario_Control!$M$20,1),0)</f>
        <v>14420</v>
      </c>
      <c r="Z16" s="11" t="n">
        <f aca="false">$AO16*IF(Z$3&gt;=$AP16+$AQ16*Scenario_Control!$M$19,$AS16*(1+Assumptions!$D$9)/12*(1+Assumptions!$D$8)^(Z$5-1)*IF($AQ16=1,Scenario_Control!$M$20,1),0)</f>
        <v>14420</v>
      </c>
      <c r="AA16" s="11" t="n">
        <f aca="false">$AO16*IF(AA$3&gt;=$AP16+$AQ16*Scenario_Control!$M$19,$AS16*(1+Assumptions!$D$9)/12*(1+Assumptions!$D$8)^(AA$5-1)*IF($AQ16=1,Scenario_Control!$M$20,1),0)</f>
        <v>14420</v>
      </c>
      <c r="AB16" s="11" t="n">
        <f aca="false">$AO16*IF(AB$3&gt;=$AP16+$AQ16*Scenario_Control!$M$19,$AS16*(1+Assumptions!$D$9)/12*(1+Assumptions!$D$8)^(AB$5-1)*IF($AQ16=1,Scenario_Control!$M$20,1),0)</f>
        <v>14852.6</v>
      </c>
      <c r="AC16" s="11" t="n">
        <f aca="false">$AO16*IF(AC$3&gt;=$AP16+$AQ16*Scenario_Control!$M$19,$AS16*(1+Assumptions!$D$9)/12*(1+Assumptions!$D$8)^(AC$5-1)*IF($AQ16=1,Scenario_Control!$M$20,1),0)</f>
        <v>14852.6</v>
      </c>
      <c r="AD16" s="11" t="n">
        <f aca="false">$AO16*IF(AD$3&gt;=$AP16+$AQ16*Scenario_Control!$M$19,$AS16*(1+Assumptions!$D$9)/12*(1+Assumptions!$D$8)^(AD$5-1)*IF($AQ16=1,Scenario_Control!$M$20,1),0)</f>
        <v>14852.6</v>
      </c>
      <c r="AE16" s="11" t="n">
        <f aca="false">$AO16*IF(AE$3&gt;=$AP16+$AQ16*Scenario_Control!$M$19,$AS16*(1+Assumptions!$D$9)/12*(1+Assumptions!$D$8)^(AE$5-1)*IF($AQ16=1,Scenario_Control!$M$20,1),0)</f>
        <v>14852.6</v>
      </c>
      <c r="AF16" s="11" t="n">
        <f aca="false">$AO16*IF(AF$3&gt;=$AP16+$AQ16*Scenario_Control!$M$19,$AS16*(1+Assumptions!$D$9)/12*(1+Assumptions!$D$8)^(AF$5-1)*IF($AQ16=1,Scenario_Control!$M$20,1),0)</f>
        <v>14852.6</v>
      </c>
      <c r="AG16" s="11" t="n">
        <f aca="false">$AO16*IF(AG$3&gt;=$AP16+$AQ16*Scenario_Control!$M$19,$AS16*(1+Assumptions!$D$9)/12*(1+Assumptions!$D$8)^(AG$5-1)*IF($AQ16=1,Scenario_Control!$M$20,1),0)</f>
        <v>14852.6</v>
      </c>
      <c r="AH16" s="11" t="n">
        <f aca="false">$AO16*IF(AH$3&gt;=$AP16+$AQ16*Scenario_Control!$M$19,$AS16*(1+Assumptions!$D$9)/12*(1+Assumptions!$D$8)^(AH$5-1)*IF($AQ16=1,Scenario_Control!$M$20,1),0)</f>
        <v>14852.6</v>
      </c>
      <c r="AI16" s="11" t="n">
        <f aca="false">$AO16*IF(AI$3&gt;=$AP16+$AQ16*Scenario_Control!$M$19,$AS16*(1+Assumptions!$D$9)/12*(1+Assumptions!$D$8)^(AI$5-1)*IF($AQ16=1,Scenario_Control!$M$20,1),0)</f>
        <v>14852.6</v>
      </c>
      <c r="AJ16" s="11" t="n">
        <f aca="false">$AO16*IF(AJ$3&gt;=$AP16+$AQ16*Scenario_Control!$M$19,$AS16*(1+Assumptions!$D$9)/12*(1+Assumptions!$D$8)^(AJ$5-1)*IF($AQ16=1,Scenario_Control!$M$20,1),0)</f>
        <v>14852.6</v>
      </c>
      <c r="AK16" s="11" t="n">
        <f aca="false">$AO16*IF(AK$3&gt;=$AP16+$AQ16*Scenario_Control!$M$19,$AS16*(1+Assumptions!$D$9)/12*(1+Assumptions!$D$8)^(AK$5-1)*IF($AQ16=1,Scenario_Control!$M$20,1),0)</f>
        <v>14852.6</v>
      </c>
      <c r="AL16" s="11" t="n">
        <f aca="false">$AO16*IF(AL$3&gt;=$AP16+$AQ16*Scenario_Control!$M$19,$AS16*(1+Assumptions!$D$9)/12*(1+Assumptions!$D$8)^(AL$5-1)*IF($AQ16=1,Scenario_Control!$M$20,1),0)</f>
        <v>14852.6</v>
      </c>
      <c r="AM16" s="11" t="n">
        <f aca="false">$AO16*IF(AM$3&gt;=$AP16+$AQ16*Scenario_Control!$M$19,$AS16*(1+Assumptions!$D$9)/12*(1+Assumptions!$D$8)^(AM$5-1)*IF($AQ16=1,Scenario_Control!$M$20,1),0)</f>
        <v>14852.6</v>
      </c>
      <c r="AO16" s="58" t="n">
        <v>1</v>
      </c>
      <c r="AP16" s="58" t="n">
        <v>8</v>
      </c>
      <c r="AQ16" s="58" t="n">
        <v>1</v>
      </c>
      <c r="AR16" s="58" t="n">
        <v>1</v>
      </c>
      <c r="AS16" s="30" t="n">
        <v>140000</v>
      </c>
      <c r="AT16" s="58" t="s">
        <v>964</v>
      </c>
      <c r="AU16" s="58" t="s">
        <v>965</v>
      </c>
      <c r="AV16" s="58" t="s">
        <v>966</v>
      </c>
      <c r="AW16" s="58" t="n">
        <f aca="false">AP16+AQ16*Scenario_Control!$M$19</f>
        <v>8</v>
      </c>
    </row>
    <row r="17" customFormat="false" ht="15" hidden="false" customHeight="true" outlineLevel="0" collapsed="false">
      <c r="A17" s="5" t="s">
        <v>967</v>
      </c>
      <c r="B17" s="10" t="s">
        <v>964</v>
      </c>
      <c r="C17" s="12" t="n">
        <f aca="false">SUM(D17:AM17)</f>
        <v>451362</v>
      </c>
      <c r="D17" s="11" t="n">
        <f aca="false">$AO17*IF(D$3&gt;=$AP17+$AQ17*Scenario_Control!$M$19,$AS17*(1+Assumptions!$D$9)/12*(1+Assumptions!$D$8)^(D$5-1)*IF($AQ17=1,Scenario_Control!$M$20,1),0)</f>
        <v>0</v>
      </c>
      <c r="E17" s="11" t="n">
        <f aca="false">$AO17*IF(E$3&gt;=$AP17+$AQ17*Scenario_Control!$M$19,$AS17*(1+Assumptions!$D$9)/12*(1+Assumptions!$D$8)^(E$5-1)*IF($AQ17=1,Scenario_Control!$M$20,1),0)</f>
        <v>0</v>
      </c>
      <c r="F17" s="11" t="n">
        <f aca="false">$AO17*IF(F$3&gt;=$AP17+$AQ17*Scenario_Control!$M$19,$AS17*(1+Assumptions!$D$9)/12*(1+Assumptions!$D$8)^(F$5-1)*IF($AQ17=1,Scenario_Control!$M$20,1),0)</f>
        <v>0</v>
      </c>
      <c r="G17" s="11" t="n">
        <f aca="false">$AO17*IF(G$3&gt;=$AP17+$AQ17*Scenario_Control!$M$19,$AS17*(1+Assumptions!$D$9)/12*(1+Assumptions!$D$8)^(G$5-1)*IF($AQ17=1,Scenario_Control!$M$20,1),0)</f>
        <v>0</v>
      </c>
      <c r="H17" s="11" t="n">
        <f aca="false">$AO17*IF(H$3&gt;=$AP17+$AQ17*Scenario_Control!$M$19,$AS17*(1+Assumptions!$D$9)/12*(1+Assumptions!$D$8)^(H$5-1)*IF($AQ17=1,Scenario_Control!$M$20,1),0)</f>
        <v>0</v>
      </c>
      <c r="I17" s="11" t="n">
        <f aca="false">$AO17*IF(I$3&gt;=$AP17+$AQ17*Scenario_Control!$M$19,$AS17*(1+Assumptions!$D$9)/12*(1+Assumptions!$D$8)^(I$5-1)*IF($AQ17=1,Scenario_Control!$M$20,1),0)</f>
        <v>0</v>
      </c>
      <c r="J17" s="11" t="n">
        <f aca="false">$AO17*IF(J$3&gt;=$AP17+$AQ17*Scenario_Control!$M$19,$AS17*(1+Assumptions!$D$9)/12*(1+Assumptions!$D$8)^(J$5-1)*IF($AQ17=1,Scenario_Control!$M$20,1),0)</f>
        <v>0</v>
      </c>
      <c r="K17" s="11" t="n">
        <f aca="false">$AO17*IF(K$3&gt;=$AP17+$AQ17*Scenario_Control!$M$19,$AS17*(1+Assumptions!$D$9)/12*(1+Assumptions!$D$8)^(K$5-1)*IF($AQ17=1,Scenario_Control!$M$20,1),0)</f>
        <v>15000</v>
      </c>
      <c r="L17" s="11" t="n">
        <f aca="false">$AO17*IF(L$3&gt;=$AP17+$AQ17*Scenario_Control!$M$19,$AS17*(1+Assumptions!$D$9)/12*(1+Assumptions!$D$8)^(L$5-1)*IF($AQ17=1,Scenario_Control!$M$20,1),0)</f>
        <v>15000</v>
      </c>
      <c r="M17" s="11" t="n">
        <f aca="false">$AO17*IF(M$3&gt;=$AP17+$AQ17*Scenario_Control!$M$19,$AS17*(1+Assumptions!$D$9)/12*(1+Assumptions!$D$8)^(M$5-1)*IF($AQ17=1,Scenario_Control!$M$20,1),0)</f>
        <v>15000</v>
      </c>
      <c r="N17" s="11" t="n">
        <f aca="false">$AO17*IF(N$3&gt;=$AP17+$AQ17*Scenario_Control!$M$19,$AS17*(1+Assumptions!$D$9)/12*(1+Assumptions!$D$8)^(N$5-1)*IF($AQ17=1,Scenario_Control!$M$20,1),0)</f>
        <v>15000</v>
      </c>
      <c r="O17" s="11" t="n">
        <f aca="false">$AO17*IF(O$3&gt;=$AP17+$AQ17*Scenario_Control!$M$19,$AS17*(1+Assumptions!$D$9)/12*(1+Assumptions!$D$8)^(O$5-1)*IF($AQ17=1,Scenario_Control!$M$20,1),0)</f>
        <v>15000</v>
      </c>
      <c r="P17" s="11" t="n">
        <f aca="false">$AO17*IF(P$3&gt;=$AP17+$AQ17*Scenario_Control!$M$19,$AS17*(1+Assumptions!$D$9)/12*(1+Assumptions!$D$8)^(P$5-1)*IF($AQ17=1,Scenario_Control!$M$20,1),0)</f>
        <v>15450</v>
      </c>
      <c r="Q17" s="11" t="n">
        <f aca="false">$AO17*IF(Q$3&gt;=$AP17+$AQ17*Scenario_Control!$M$19,$AS17*(1+Assumptions!$D$9)/12*(1+Assumptions!$D$8)^(Q$5-1)*IF($AQ17=1,Scenario_Control!$M$20,1),0)</f>
        <v>15450</v>
      </c>
      <c r="R17" s="11" t="n">
        <f aca="false">$AO17*IF(R$3&gt;=$AP17+$AQ17*Scenario_Control!$M$19,$AS17*(1+Assumptions!$D$9)/12*(1+Assumptions!$D$8)^(R$5-1)*IF($AQ17=1,Scenario_Control!$M$20,1),0)</f>
        <v>15450</v>
      </c>
      <c r="S17" s="11" t="n">
        <f aca="false">$AO17*IF(S$3&gt;=$AP17+$AQ17*Scenario_Control!$M$19,$AS17*(1+Assumptions!$D$9)/12*(1+Assumptions!$D$8)^(S$5-1)*IF($AQ17=1,Scenario_Control!$M$20,1),0)</f>
        <v>15450</v>
      </c>
      <c r="T17" s="11" t="n">
        <f aca="false">$AO17*IF(T$3&gt;=$AP17+$AQ17*Scenario_Control!$M$19,$AS17*(1+Assumptions!$D$9)/12*(1+Assumptions!$D$8)^(T$5-1)*IF($AQ17=1,Scenario_Control!$M$20,1),0)</f>
        <v>15450</v>
      </c>
      <c r="U17" s="11" t="n">
        <f aca="false">$AO17*IF(U$3&gt;=$AP17+$AQ17*Scenario_Control!$M$19,$AS17*(1+Assumptions!$D$9)/12*(1+Assumptions!$D$8)^(U$5-1)*IF($AQ17=1,Scenario_Control!$M$20,1),0)</f>
        <v>15450</v>
      </c>
      <c r="V17" s="11" t="n">
        <f aca="false">$AO17*IF(V$3&gt;=$AP17+$AQ17*Scenario_Control!$M$19,$AS17*(1+Assumptions!$D$9)/12*(1+Assumptions!$D$8)^(V$5-1)*IF($AQ17=1,Scenario_Control!$M$20,1),0)</f>
        <v>15450</v>
      </c>
      <c r="W17" s="11" t="n">
        <f aca="false">$AO17*IF(W$3&gt;=$AP17+$AQ17*Scenario_Control!$M$19,$AS17*(1+Assumptions!$D$9)/12*(1+Assumptions!$D$8)^(W$5-1)*IF($AQ17=1,Scenario_Control!$M$20,1),0)</f>
        <v>15450</v>
      </c>
      <c r="X17" s="11" t="n">
        <f aca="false">$AO17*IF(X$3&gt;=$AP17+$AQ17*Scenario_Control!$M$19,$AS17*(1+Assumptions!$D$9)/12*(1+Assumptions!$D$8)^(X$5-1)*IF($AQ17=1,Scenario_Control!$M$20,1),0)</f>
        <v>15450</v>
      </c>
      <c r="Y17" s="11" t="n">
        <f aca="false">$AO17*IF(Y$3&gt;=$AP17+$AQ17*Scenario_Control!$M$19,$AS17*(1+Assumptions!$D$9)/12*(1+Assumptions!$D$8)^(Y$5-1)*IF($AQ17=1,Scenario_Control!$M$20,1),0)</f>
        <v>15450</v>
      </c>
      <c r="Z17" s="11" t="n">
        <f aca="false">$AO17*IF(Z$3&gt;=$AP17+$AQ17*Scenario_Control!$M$19,$AS17*(1+Assumptions!$D$9)/12*(1+Assumptions!$D$8)^(Z$5-1)*IF($AQ17=1,Scenario_Control!$M$20,1),0)</f>
        <v>15450</v>
      </c>
      <c r="AA17" s="11" t="n">
        <f aca="false">$AO17*IF(AA$3&gt;=$AP17+$AQ17*Scenario_Control!$M$19,$AS17*(1+Assumptions!$D$9)/12*(1+Assumptions!$D$8)^(AA$5-1)*IF($AQ17=1,Scenario_Control!$M$20,1),0)</f>
        <v>15450</v>
      </c>
      <c r="AB17" s="11" t="n">
        <f aca="false">$AO17*IF(AB$3&gt;=$AP17+$AQ17*Scenario_Control!$M$19,$AS17*(1+Assumptions!$D$9)/12*(1+Assumptions!$D$8)^(AB$5-1)*IF($AQ17=1,Scenario_Control!$M$20,1),0)</f>
        <v>15913.5</v>
      </c>
      <c r="AC17" s="11" t="n">
        <f aca="false">$AO17*IF(AC$3&gt;=$AP17+$AQ17*Scenario_Control!$M$19,$AS17*(1+Assumptions!$D$9)/12*(1+Assumptions!$D$8)^(AC$5-1)*IF($AQ17=1,Scenario_Control!$M$20,1),0)</f>
        <v>15913.5</v>
      </c>
      <c r="AD17" s="11" t="n">
        <f aca="false">$AO17*IF(AD$3&gt;=$AP17+$AQ17*Scenario_Control!$M$19,$AS17*(1+Assumptions!$D$9)/12*(1+Assumptions!$D$8)^(AD$5-1)*IF($AQ17=1,Scenario_Control!$M$20,1),0)</f>
        <v>15913.5</v>
      </c>
      <c r="AE17" s="11" t="n">
        <f aca="false">$AO17*IF(AE$3&gt;=$AP17+$AQ17*Scenario_Control!$M$19,$AS17*(1+Assumptions!$D$9)/12*(1+Assumptions!$D$8)^(AE$5-1)*IF($AQ17=1,Scenario_Control!$M$20,1),0)</f>
        <v>15913.5</v>
      </c>
      <c r="AF17" s="11" t="n">
        <f aca="false">$AO17*IF(AF$3&gt;=$AP17+$AQ17*Scenario_Control!$M$19,$AS17*(1+Assumptions!$D$9)/12*(1+Assumptions!$D$8)^(AF$5-1)*IF($AQ17=1,Scenario_Control!$M$20,1),0)</f>
        <v>15913.5</v>
      </c>
      <c r="AG17" s="11" t="n">
        <f aca="false">$AO17*IF(AG$3&gt;=$AP17+$AQ17*Scenario_Control!$M$19,$AS17*(1+Assumptions!$D$9)/12*(1+Assumptions!$D$8)^(AG$5-1)*IF($AQ17=1,Scenario_Control!$M$20,1),0)</f>
        <v>15913.5</v>
      </c>
      <c r="AH17" s="11" t="n">
        <f aca="false">$AO17*IF(AH$3&gt;=$AP17+$AQ17*Scenario_Control!$M$19,$AS17*(1+Assumptions!$D$9)/12*(1+Assumptions!$D$8)^(AH$5-1)*IF($AQ17=1,Scenario_Control!$M$20,1),0)</f>
        <v>15913.5</v>
      </c>
      <c r="AI17" s="11" t="n">
        <f aca="false">$AO17*IF(AI$3&gt;=$AP17+$AQ17*Scenario_Control!$M$19,$AS17*(1+Assumptions!$D$9)/12*(1+Assumptions!$D$8)^(AI$5-1)*IF($AQ17=1,Scenario_Control!$M$20,1),0)</f>
        <v>15913.5</v>
      </c>
      <c r="AJ17" s="11" t="n">
        <f aca="false">$AO17*IF(AJ$3&gt;=$AP17+$AQ17*Scenario_Control!$M$19,$AS17*(1+Assumptions!$D$9)/12*(1+Assumptions!$D$8)^(AJ$5-1)*IF($AQ17=1,Scenario_Control!$M$20,1),0)</f>
        <v>15913.5</v>
      </c>
      <c r="AK17" s="11" t="n">
        <f aca="false">$AO17*IF(AK$3&gt;=$AP17+$AQ17*Scenario_Control!$M$19,$AS17*(1+Assumptions!$D$9)/12*(1+Assumptions!$D$8)^(AK$5-1)*IF($AQ17=1,Scenario_Control!$M$20,1),0)</f>
        <v>15913.5</v>
      </c>
      <c r="AL17" s="11" t="n">
        <f aca="false">$AO17*IF(AL$3&gt;=$AP17+$AQ17*Scenario_Control!$M$19,$AS17*(1+Assumptions!$D$9)/12*(1+Assumptions!$D$8)^(AL$5-1)*IF($AQ17=1,Scenario_Control!$M$20,1),0)</f>
        <v>15913.5</v>
      </c>
      <c r="AM17" s="11" t="n">
        <f aca="false">$AO17*IF(AM$3&gt;=$AP17+$AQ17*Scenario_Control!$M$19,$AS17*(1+Assumptions!$D$9)/12*(1+Assumptions!$D$8)^(AM$5-1)*IF($AQ17=1,Scenario_Control!$M$20,1),0)</f>
        <v>15913.5</v>
      </c>
      <c r="AO17" s="58" t="n">
        <v>1</v>
      </c>
      <c r="AP17" s="58" t="n">
        <v>8</v>
      </c>
      <c r="AQ17" s="58" t="n">
        <v>0</v>
      </c>
      <c r="AR17" s="58" t="n">
        <v>1</v>
      </c>
      <c r="AS17" s="30" t="n">
        <v>150000</v>
      </c>
      <c r="AT17" s="58" t="s">
        <v>964</v>
      </c>
      <c r="AU17" s="58" t="s">
        <v>968</v>
      </c>
      <c r="AV17" s="58" t="s">
        <v>956</v>
      </c>
      <c r="AW17" s="58" t="n">
        <f aca="false">AP17+AQ17*Scenario_Control!$M$19</f>
        <v>8</v>
      </c>
    </row>
    <row r="18" customFormat="false" ht="15" hidden="false" customHeight="true" outlineLevel="0" collapsed="false">
      <c r="A18" s="5" t="s">
        <v>969</v>
      </c>
      <c r="B18" s="10" t="s">
        <v>80</v>
      </c>
      <c r="C18" s="12" t="n">
        <f aca="false">SUM(D18:AM18)</f>
        <v>571725.2</v>
      </c>
      <c r="D18" s="11" t="n">
        <f aca="false">$AO18*IF(D$3&gt;=$AP18+$AQ18*Scenario_Control!$M$19,$AS18*(1+Assumptions!$D$9)/12*(1+Assumptions!$D$8)^(D$5-1)*IF($AQ18=1,Scenario_Control!$M$20,1),0)</f>
        <v>0</v>
      </c>
      <c r="E18" s="11" t="n">
        <f aca="false">$AO18*IF(E$3&gt;=$AP18+$AQ18*Scenario_Control!$M$19,$AS18*(1+Assumptions!$D$9)/12*(1+Assumptions!$D$8)^(E$5-1)*IF($AQ18=1,Scenario_Control!$M$20,1),0)</f>
        <v>0</v>
      </c>
      <c r="F18" s="11" t="n">
        <f aca="false">$AO18*IF(F$3&gt;=$AP18+$AQ18*Scenario_Control!$M$19,$AS18*(1+Assumptions!$D$9)/12*(1+Assumptions!$D$8)^(F$5-1)*IF($AQ18=1,Scenario_Control!$M$20,1),0)</f>
        <v>0</v>
      </c>
      <c r="G18" s="11" t="n">
        <f aca="false">$AO18*IF(G$3&gt;=$AP18+$AQ18*Scenario_Control!$M$19,$AS18*(1+Assumptions!$D$9)/12*(1+Assumptions!$D$8)^(G$5-1)*IF($AQ18=1,Scenario_Control!$M$20,1),0)</f>
        <v>0</v>
      </c>
      <c r="H18" s="11" t="n">
        <f aca="false">$AO18*IF(H$3&gt;=$AP18+$AQ18*Scenario_Control!$M$19,$AS18*(1+Assumptions!$D$9)/12*(1+Assumptions!$D$8)^(H$5-1)*IF($AQ18=1,Scenario_Control!$M$20,1),0)</f>
        <v>0</v>
      </c>
      <c r="I18" s="11" t="n">
        <f aca="false">$AO18*IF(I$3&gt;=$AP18+$AQ18*Scenario_Control!$M$19,$AS18*(1+Assumptions!$D$9)/12*(1+Assumptions!$D$8)^(I$5-1)*IF($AQ18=1,Scenario_Control!$M$20,1),0)</f>
        <v>0</v>
      </c>
      <c r="J18" s="11" t="n">
        <f aca="false">$AO18*IF(J$3&gt;=$AP18+$AQ18*Scenario_Control!$M$19,$AS18*(1+Assumptions!$D$9)/12*(1+Assumptions!$D$8)^(J$5-1)*IF($AQ18=1,Scenario_Control!$M$20,1),0)</f>
        <v>0</v>
      </c>
      <c r="K18" s="11" t="n">
        <f aca="false">$AO18*IF(K$3&gt;=$AP18+$AQ18*Scenario_Control!$M$19,$AS18*(1+Assumptions!$D$9)/12*(1+Assumptions!$D$8)^(K$5-1)*IF($AQ18=1,Scenario_Control!$M$20,1),0)</f>
        <v>19000</v>
      </c>
      <c r="L18" s="11" t="n">
        <f aca="false">$AO18*IF(L$3&gt;=$AP18+$AQ18*Scenario_Control!$M$19,$AS18*(1+Assumptions!$D$9)/12*(1+Assumptions!$D$8)^(L$5-1)*IF($AQ18=1,Scenario_Control!$M$20,1),0)</f>
        <v>19000</v>
      </c>
      <c r="M18" s="11" t="n">
        <f aca="false">$AO18*IF(M$3&gt;=$AP18+$AQ18*Scenario_Control!$M$19,$AS18*(1+Assumptions!$D$9)/12*(1+Assumptions!$D$8)^(M$5-1)*IF($AQ18=1,Scenario_Control!$M$20,1),0)</f>
        <v>19000</v>
      </c>
      <c r="N18" s="11" t="n">
        <f aca="false">$AO18*IF(N$3&gt;=$AP18+$AQ18*Scenario_Control!$M$19,$AS18*(1+Assumptions!$D$9)/12*(1+Assumptions!$D$8)^(N$5-1)*IF($AQ18=1,Scenario_Control!$M$20,1),0)</f>
        <v>19000</v>
      </c>
      <c r="O18" s="11" t="n">
        <f aca="false">$AO18*IF(O$3&gt;=$AP18+$AQ18*Scenario_Control!$M$19,$AS18*(1+Assumptions!$D$9)/12*(1+Assumptions!$D$8)^(O$5-1)*IF($AQ18=1,Scenario_Control!$M$20,1),0)</f>
        <v>19000</v>
      </c>
      <c r="P18" s="11" t="n">
        <f aca="false">$AO18*IF(P$3&gt;=$AP18+$AQ18*Scenario_Control!$M$19,$AS18*(1+Assumptions!$D$9)/12*(1+Assumptions!$D$8)^(P$5-1)*IF($AQ18=1,Scenario_Control!$M$20,1),0)</f>
        <v>19570</v>
      </c>
      <c r="Q18" s="11" t="n">
        <f aca="false">$AO18*IF(Q$3&gt;=$AP18+$AQ18*Scenario_Control!$M$19,$AS18*(1+Assumptions!$D$9)/12*(1+Assumptions!$D$8)^(Q$5-1)*IF($AQ18=1,Scenario_Control!$M$20,1),0)</f>
        <v>19570</v>
      </c>
      <c r="R18" s="11" t="n">
        <f aca="false">$AO18*IF(R$3&gt;=$AP18+$AQ18*Scenario_Control!$M$19,$AS18*(1+Assumptions!$D$9)/12*(1+Assumptions!$D$8)^(R$5-1)*IF($AQ18=1,Scenario_Control!$M$20,1),0)</f>
        <v>19570</v>
      </c>
      <c r="S18" s="11" t="n">
        <f aca="false">$AO18*IF(S$3&gt;=$AP18+$AQ18*Scenario_Control!$M$19,$AS18*(1+Assumptions!$D$9)/12*(1+Assumptions!$D$8)^(S$5-1)*IF($AQ18=1,Scenario_Control!$M$20,1),0)</f>
        <v>19570</v>
      </c>
      <c r="T18" s="11" t="n">
        <f aca="false">$AO18*IF(T$3&gt;=$AP18+$AQ18*Scenario_Control!$M$19,$AS18*(1+Assumptions!$D$9)/12*(1+Assumptions!$D$8)^(T$5-1)*IF($AQ18=1,Scenario_Control!$M$20,1),0)</f>
        <v>19570</v>
      </c>
      <c r="U18" s="11" t="n">
        <f aca="false">$AO18*IF(U$3&gt;=$AP18+$AQ18*Scenario_Control!$M$19,$AS18*(1+Assumptions!$D$9)/12*(1+Assumptions!$D$8)^(U$5-1)*IF($AQ18=1,Scenario_Control!$M$20,1),0)</f>
        <v>19570</v>
      </c>
      <c r="V18" s="11" t="n">
        <f aca="false">$AO18*IF(V$3&gt;=$AP18+$AQ18*Scenario_Control!$M$19,$AS18*(1+Assumptions!$D$9)/12*(1+Assumptions!$D$8)^(V$5-1)*IF($AQ18=1,Scenario_Control!$M$20,1),0)</f>
        <v>19570</v>
      </c>
      <c r="W18" s="11" t="n">
        <f aca="false">$AO18*IF(W$3&gt;=$AP18+$AQ18*Scenario_Control!$M$19,$AS18*(1+Assumptions!$D$9)/12*(1+Assumptions!$D$8)^(W$5-1)*IF($AQ18=1,Scenario_Control!$M$20,1),0)</f>
        <v>19570</v>
      </c>
      <c r="X18" s="11" t="n">
        <f aca="false">$AO18*IF(X$3&gt;=$AP18+$AQ18*Scenario_Control!$M$19,$AS18*(1+Assumptions!$D$9)/12*(1+Assumptions!$D$8)^(X$5-1)*IF($AQ18=1,Scenario_Control!$M$20,1),0)</f>
        <v>19570</v>
      </c>
      <c r="Y18" s="11" t="n">
        <f aca="false">$AO18*IF(Y$3&gt;=$AP18+$AQ18*Scenario_Control!$M$19,$AS18*(1+Assumptions!$D$9)/12*(1+Assumptions!$D$8)^(Y$5-1)*IF($AQ18=1,Scenario_Control!$M$20,1),0)</f>
        <v>19570</v>
      </c>
      <c r="Z18" s="11" t="n">
        <f aca="false">$AO18*IF(Z$3&gt;=$AP18+$AQ18*Scenario_Control!$M$19,$AS18*(1+Assumptions!$D$9)/12*(1+Assumptions!$D$8)^(Z$5-1)*IF($AQ18=1,Scenario_Control!$M$20,1),0)</f>
        <v>19570</v>
      </c>
      <c r="AA18" s="11" t="n">
        <f aca="false">$AO18*IF(AA$3&gt;=$AP18+$AQ18*Scenario_Control!$M$19,$AS18*(1+Assumptions!$D$9)/12*(1+Assumptions!$D$8)^(AA$5-1)*IF($AQ18=1,Scenario_Control!$M$20,1),0)</f>
        <v>19570</v>
      </c>
      <c r="AB18" s="11" t="n">
        <f aca="false">$AO18*IF(AB$3&gt;=$AP18+$AQ18*Scenario_Control!$M$19,$AS18*(1+Assumptions!$D$9)/12*(1+Assumptions!$D$8)^(AB$5-1)*IF($AQ18=1,Scenario_Control!$M$20,1),0)</f>
        <v>20157.1</v>
      </c>
      <c r="AC18" s="11" t="n">
        <f aca="false">$AO18*IF(AC$3&gt;=$AP18+$AQ18*Scenario_Control!$M$19,$AS18*(1+Assumptions!$D$9)/12*(1+Assumptions!$D$8)^(AC$5-1)*IF($AQ18=1,Scenario_Control!$M$20,1),0)</f>
        <v>20157.1</v>
      </c>
      <c r="AD18" s="11" t="n">
        <f aca="false">$AO18*IF(AD$3&gt;=$AP18+$AQ18*Scenario_Control!$M$19,$AS18*(1+Assumptions!$D$9)/12*(1+Assumptions!$D$8)^(AD$5-1)*IF($AQ18=1,Scenario_Control!$M$20,1),0)</f>
        <v>20157.1</v>
      </c>
      <c r="AE18" s="11" t="n">
        <f aca="false">$AO18*IF(AE$3&gt;=$AP18+$AQ18*Scenario_Control!$M$19,$AS18*(1+Assumptions!$D$9)/12*(1+Assumptions!$D$8)^(AE$5-1)*IF($AQ18=1,Scenario_Control!$M$20,1),0)</f>
        <v>20157.1</v>
      </c>
      <c r="AF18" s="11" t="n">
        <f aca="false">$AO18*IF(AF$3&gt;=$AP18+$AQ18*Scenario_Control!$M$19,$AS18*(1+Assumptions!$D$9)/12*(1+Assumptions!$D$8)^(AF$5-1)*IF($AQ18=1,Scenario_Control!$M$20,1),0)</f>
        <v>20157.1</v>
      </c>
      <c r="AG18" s="11" t="n">
        <f aca="false">$AO18*IF(AG$3&gt;=$AP18+$AQ18*Scenario_Control!$M$19,$AS18*(1+Assumptions!$D$9)/12*(1+Assumptions!$D$8)^(AG$5-1)*IF($AQ18=1,Scenario_Control!$M$20,1),0)</f>
        <v>20157.1</v>
      </c>
      <c r="AH18" s="11" t="n">
        <f aca="false">$AO18*IF(AH$3&gt;=$AP18+$AQ18*Scenario_Control!$M$19,$AS18*(1+Assumptions!$D$9)/12*(1+Assumptions!$D$8)^(AH$5-1)*IF($AQ18=1,Scenario_Control!$M$20,1),0)</f>
        <v>20157.1</v>
      </c>
      <c r="AI18" s="11" t="n">
        <f aca="false">$AO18*IF(AI$3&gt;=$AP18+$AQ18*Scenario_Control!$M$19,$AS18*(1+Assumptions!$D$9)/12*(1+Assumptions!$D$8)^(AI$5-1)*IF($AQ18=1,Scenario_Control!$M$20,1),0)</f>
        <v>20157.1</v>
      </c>
      <c r="AJ18" s="11" t="n">
        <f aca="false">$AO18*IF(AJ$3&gt;=$AP18+$AQ18*Scenario_Control!$M$19,$AS18*(1+Assumptions!$D$9)/12*(1+Assumptions!$D$8)^(AJ$5-1)*IF($AQ18=1,Scenario_Control!$M$20,1),0)</f>
        <v>20157.1</v>
      </c>
      <c r="AK18" s="11" t="n">
        <f aca="false">$AO18*IF(AK$3&gt;=$AP18+$AQ18*Scenario_Control!$M$19,$AS18*(1+Assumptions!$D$9)/12*(1+Assumptions!$D$8)^(AK$5-1)*IF($AQ18=1,Scenario_Control!$M$20,1),0)</f>
        <v>20157.1</v>
      </c>
      <c r="AL18" s="11" t="n">
        <f aca="false">$AO18*IF(AL$3&gt;=$AP18+$AQ18*Scenario_Control!$M$19,$AS18*(1+Assumptions!$D$9)/12*(1+Assumptions!$D$8)^(AL$5-1)*IF($AQ18=1,Scenario_Control!$M$20,1),0)</f>
        <v>20157.1</v>
      </c>
      <c r="AM18" s="11" t="n">
        <f aca="false">$AO18*IF(AM$3&gt;=$AP18+$AQ18*Scenario_Control!$M$19,$AS18*(1+Assumptions!$D$9)/12*(1+Assumptions!$D$8)^(AM$5-1)*IF($AQ18=1,Scenario_Control!$M$20,1),0)</f>
        <v>20157.1</v>
      </c>
      <c r="AO18" s="58" t="n">
        <v>1</v>
      </c>
      <c r="AP18" s="58" t="n">
        <v>8</v>
      </c>
      <c r="AQ18" s="58" t="n">
        <v>1</v>
      </c>
      <c r="AR18" s="58" t="n">
        <v>1</v>
      </c>
      <c r="AS18" s="30" t="n">
        <v>190000</v>
      </c>
      <c r="AT18" s="58" t="s">
        <v>80</v>
      </c>
      <c r="AU18" s="58" t="s">
        <v>956</v>
      </c>
      <c r="AV18" s="58" t="s">
        <v>966</v>
      </c>
      <c r="AW18" s="58" t="n">
        <f aca="false">AP18+AQ18*Scenario_Control!$M$19</f>
        <v>8</v>
      </c>
    </row>
    <row r="19" customFormat="false" ht="15" hidden="false" customHeight="true" outlineLevel="0" collapsed="false">
      <c r="A19" s="5" t="s">
        <v>970</v>
      </c>
      <c r="B19" s="10" t="s">
        <v>80</v>
      </c>
      <c r="C19" s="12" t="n">
        <f aca="false">SUM(D19:AM19)</f>
        <v>1047268.8</v>
      </c>
      <c r="D19" s="11" t="n">
        <f aca="false">$AO19*IF(D$3&gt;=$AP19+$AQ19*Scenario_Control!$M$19,$AS19*(1+Assumptions!$D$9)/12*(1+Assumptions!$D$8)^(D$5-1)*IF($AQ19=1,Scenario_Control!$M$20,1),0)</f>
        <v>0</v>
      </c>
      <c r="E19" s="11" t="n">
        <f aca="false">$AO19*IF(E$3&gt;=$AP19+$AQ19*Scenario_Control!$M$19,$AS19*(1+Assumptions!$D$9)/12*(1+Assumptions!$D$8)^(E$5-1)*IF($AQ19=1,Scenario_Control!$M$20,1),0)</f>
        <v>0</v>
      </c>
      <c r="F19" s="11" t="n">
        <f aca="false">$AO19*IF(F$3&gt;=$AP19+$AQ19*Scenario_Control!$M$19,$AS19*(1+Assumptions!$D$9)/12*(1+Assumptions!$D$8)^(F$5-1)*IF($AQ19=1,Scenario_Control!$M$20,1),0)</f>
        <v>0</v>
      </c>
      <c r="G19" s="11" t="n">
        <f aca="false">$AO19*IF(G$3&gt;=$AP19+$AQ19*Scenario_Control!$M$19,$AS19*(1+Assumptions!$D$9)/12*(1+Assumptions!$D$8)^(G$5-1)*IF($AQ19=1,Scenario_Control!$M$20,1),0)</f>
        <v>0</v>
      </c>
      <c r="H19" s="11" t="n">
        <f aca="false">$AO19*IF(H$3&gt;=$AP19+$AQ19*Scenario_Control!$M$19,$AS19*(1+Assumptions!$D$9)/12*(1+Assumptions!$D$8)^(H$5-1)*IF($AQ19=1,Scenario_Control!$M$20,1),0)</f>
        <v>0</v>
      </c>
      <c r="I19" s="11" t="n">
        <f aca="false">$AO19*IF(I$3&gt;=$AP19+$AQ19*Scenario_Control!$M$19,$AS19*(1+Assumptions!$D$9)/12*(1+Assumptions!$D$8)^(I$5-1)*IF($AQ19=1,Scenario_Control!$M$20,1),0)</f>
        <v>0</v>
      </c>
      <c r="J19" s="11" t="n">
        <f aca="false">$AO19*IF(J$3&gt;=$AP19+$AQ19*Scenario_Control!$M$19,$AS19*(1+Assumptions!$D$9)/12*(1+Assumptions!$D$8)^(J$5-1)*IF($AQ19=1,Scenario_Control!$M$20,1),0)</f>
        <v>0</v>
      </c>
      <c r="K19" s="11" t="n">
        <f aca="false">$AO19*IF(K$3&gt;=$AP19+$AQ19*Scenario_Control!$M$19,$AS19*(1+Assumptions!$D$9)/12*(1+Assumptions!$D$8)^(K$5-1)*IF($AQ19=1,Scenario_Control!$M$20,1),0)</f>
        <v>0</v>
      </c>
      <c r="L19" s="11" t="n">
        <f aca="false">$AO19*IF(L$3&gt;=$AP19+$AQ19*Scenario_Control!$M$19,$AS19*(1+Assumptions!$D$9)/12*(1+Assumptions!$D$8)^(L$5-1)*IF($AQ19=1,Scenario_Control!$M$20,1),0)</f>
        <v>36000</v>
      </c>
      <c r="M19" s="11" t="n">
        <f aca="false">$AO19*IF(M$3&gt;=$AP19+$AQ19*Scenario_Control!$M$19,$AS19*(1+Assumptions!$D$9)/12*(1+Assumptions!$D$8)^(M$5-1)*IF($AQ19=1,Scenario_Control!$M$20,1),0)</f>
        <v>36000</v>
      </c>
      <c r="N19" s="11" t="n">
        <f aca="false">$AO19*IF(N$3&gt;=$AP19+$AQ19*Scenario_Control!$M$19,$AS19*(1+Assumptions!$D$9)/12*(1+Assumptions!$D$8)^(N$5-1)*IF($AQ19=1,Scenario_Control!$M$20,1),0)</f>
        <v>36000</v>
      </c>
      <c r="O19" s="11" t="n">
        <f aca="false">$AO19*IF(O$3&gt;=$AP19+$AQ19*Scenario_Control!$M$19,$AS19*(1+Assumptions!$D$9)/12*(1+Assumptions!$D$8)^(O$5-1)*IF($AQ19=1,Scenario_Control!$M$20,1),0)</f>
        <v>36000</v>
      </c>
      <c r="P19" s="11" t="n">
        <f aca="false">$AO19*IF(P$3&gt;=$AP19+$AQ19*Scenario_Control!$M$19,$AS19*(1+Assumptions!$D$9)/12*(1+Assumptions!$D$8)^(P$5-1)*IF($AQ19=1,Scenario_Control!$M$20,1),0)</f>
        <v>37080</v>
      </c>
      <c r="Q19" s="11" t="n">
        <f aca="false">$AO19*IF(Q$3&gt;=$AP19+$AQ19*Scenario_Control!$M$19,$AS19*(1+Assumptions!$D$9)/12*(1+Assumptions!$D$8)^(Q$5-1)*IF($AQ19=1,Scenario_Control!$M$20,1),0)</f>
        <v>37080</v>
      </c>
      <c r="R19" s="11" t="n">
        <f aca="false">$AO19*IF(R$3&gt;=$AP19+$AQ19*Scenario_Control!$M$19,$AS19*(1+Assumptions!$D$9)/12*(1+Assumptions!$D$8)^(R$5-1)*IF($AQ19=1,Scenario_Control!$M$20,1),0)</f>
        <v>37080</v>
      </c>
      <c r="S19" s="11" t="n">
        <f aca="false">$AO19*IF(S$3&gt;=$AP19+$AQ19*Scenario_Control!$M$19,$AS19*(1+Assumptions!$D$9)/12*(1+Assumptions!$D$8)^(S$5-1)*IF($AQ19=1,Scenario_Control!$M$20,1),0)</f>
        <v>37080</v>
      </c>
      <c r="T19" s="11" t="n">
        <f aca="false">$AO19*IF(T$3&gt;=$AP19+$AQ19*Scenario_Control!$M$19,$AS19*(1+Assumptions!$D$9)/12*(1+Assumptions!$D$8)^(T$5-1)*IF($AQ19=1,Scenario_Control!$M$20,1),0)</f>
        <v>37080</v>
      </c>
      <c r="U19" s="11" t="n">
        <f aca="false">$AO19*IF(U$3&gt;=$AP19+$AQ19*Scenario_Control!$M$19,$AS19*(1+Assumptions!$D$9)/12*(1+Assumptions!$D$8)^(U$5-1)*IF($AQ19=1,Scenario_Control!$M$20,1),0)</f>
        <v>37080</v>
      </c>
      <c r="V19" s="11" t="n">
        <f aca="false">$AO19*IF(V$3&gt;=$AP19+$AQ19*Scenario_Control!$M$19,$AS19*(1+Assumptions!$D$9)/12*(1+Assumptions!$D$8)^(V$5-1)*IF($AQ19=1,Scenario_Control!$M$20,1),0)</f>
        <v>37080</v>
      </c>
      <c r="W19" s="11" t="n">
        <f aca="false">$AO19*IF(W$3&gt;=$AP19+$AQ19*Scenario_Control!$M$19,$AS19*(1+Assumptions!$D$9)/12*(1+Assumptions!$D$8)^(W$5-1)*IF($AQ19=1,Scenario_Control!$M$20,1),0)</f>
        <v>37080</v>
      </c>
      <c r="X19" s="11" t="n">
        <f aca="false">$AO19*IF(X$3&gt;=$AP19+$AQ19*Scenario_Control!$M$19,$AS19*(1+Assumptions!$D$9)/12*(1+Assumptions!$D$8)^(X$5-1)*IF($AQ19=1,Scenario_Control!$M$20,1),0)</f>
        <v>37080</v>
      </c>
      <c r="Y19" s="11" t="n">
        <f aca="false">$AO19*IF(Y$3&gt;=$AP19+$AQ19*Scenario_Control!$M$19,$AS19*(1+Assumptions!$D$9)/12*(1+Assumptions!$D$8)^(Y$5-1)*IF($AQ19=1,Scenario_Control!$M$20,1),0)</f>
        <v>37080</v>
      </c>
      <c r="Z19" s="11" t="n">
        <f aca="false">$AO19*IF(Z$3&gt;=$AP19+$AQ19*Scenario_Control!$M$19,$AS19*(1+Assumptions!$D$9)/12*(1+Assumptions!$D$8)^(Z$5-1)*IF($AQ19=1,Scenario_Control!$M$20,1),0)</f>
        <v>37080</v>
      </c>
      <c r="AA19" s="11" t="n">
        <f aca="false">$AO19*IF(AA$3&gt;=$AP19+$AQ19*Scenario_Control!$M$19,$AS19*(1+Assumptions!$D$9)/12*(1+Assumptions!$D$8)^(AA$5-1)*IF($AQ19=1,Scenario_Control!$M$20,1),0)</f>
        <v>37080</v>
      </c>
      <c r="AB19" s="11" t="n">
        <f aca="false">$AO19*IF(AB$3&gt;=$AP19+$AQ19*Scenario_Control!$M$19,$AS19*(1+Assumptions!$D$9)/12*(1+Assumptions!$D$8)^(AB$5-1)*IF($AQ19=1,Scenario_Control!$M$20,1),0)</f>
        <v>38192.4</v>
      </c>
      <c r="AC19" s="11" t="n">
        <f aca="false">$AO19*IF(AC$3&gt;=$AP19+$AQ19*Scenario_Control!$M$19,$AS19*(1+Assumptions!$D$9)/12*(1+Assumptions!$D$8)^(AC$5-1)*IF($AQ19=1,Scenario_Control!$M$20,1),0)</f>
        <v>38192.4</v>
      </c>
      <c r="AD19" s="11" t="n">
        <f aca="false">$AO19*IF(AD$3&gt;=$AP19+$AQ19*Scenario_Control!$M$19,$AS19*(1+Assumptions!$D$9)/12*(1+Assumptions!$D$8)^(AD$5-1)*IF($AQ19=1,Scenario_Control!$M$20,1),0)</f>
        <v>38192.4</v>
      </c>
      <c r="AE19" s="11" t="n">
        <f aca="false">$AO19*IF(AE$3&gt;=$AP19+$AQ19*Scenario_Control!$M$19,$AS19*(1+Assumptions!$D$9)/12*(1+Assumptions!$D$8)^(AE$5-1)*IF($AQ19=1,Scenario_Control!$M$20,1),0)</f>
        <v>38192.4</v>
      </c>
      <c r="AF19" s="11" t="n">
        <f aca="false">$AO19*IF(AF$3&gt;=$AP19+$AQ19*Scenario_Control!$M$19,$AS19*(1+Assumptions!$D$9)/12*(1+Assumptions!$D$8)^(AF$5-1)*IF($AQ19=1,Scenario_Control!$M$20,1),0)</f>
        <v>38192.4</v>
      </c>
      <c r="AG19" s="11" t="n">
        <f aca="false">$AO19*IF(AG$3&gt;=$AP19+$AQ19*Scenario_Control!$M$19,$AS19*(1+Assumptions!$D$9)/12*(1+Assumptions!$D$8)^(AG$5-1)*IF($AQ19=1,Scenario_Control!$M$20,1),0)</f>
        <v>38192.4</v>
      </c>
      <c r="AH19" s="11" t="n">
        <f aca="false">$AO19*IF(AH$3&gt;=$AP19+$AQ19*Scenario_Control!$M$19,$AS19*(1+Assumptions!$D$9)/12*(1+Assumptions!$D$8)^(AH$5-1)*IF($AQ19=1,Scenario_Control!$M$20,1),0)</f>
        <v>38192.4</v>
      </c>
      <c r="AI19" s="11" t="n">
        <f aca="false">$AO19*IF(AI$3&gt;=$AP19+$AQ19*Scenario_Control!$M$19,$AS19*(1+Assumptions!$D$9)/12*(1+Assumptions!$D$8)^(AI$5-1)*IF($AQ19=1,Scenario_Control!$M$20,1),0)</f>
        <v>38192.4</v>
      </c>
      <c r="AJ19" s="11" t="n">
        <f aca="false">$AO19*IF(AJ$3&gt;=$AP19+$AQ19*Scenario_Control!$M$19,$AS19*(1+Assumptions!$D$9)/12*(1+Assumptions!$D$8)^(AJ$5-1)*IF($AQ19=1,Scenario_Control!$M$20,1),0)</f>
        <v>38192.4</v>
      </c>
      <c r="AK19" s="11" t="n">
        <f aca="false">$AO19*IF(AK$3&gt;=$AP19+$AQ19*Scenario_Control!$M$19,$AS19*(1+Assumptions!$D$9)/12*(1+Assumptions!$D$8)^(AK$5-1)*IF($AQ19=1,Scenario_Control!$M$20,1),0)</f>
        <v>38192.4</v>
      </c>
      <c r="AL19" s="11" t="n">
        <f aca="false">$AO19*IF(AL$3&gt;=$AP19+$AQ19*Scenario_Control!$M$19,$AS19*(1+Assumptions!$D$9)/12*(1+Assumptions!$D$8)^(AL$5-1)*IF($AQ19=1,Scenario_Control!$M$20,1),0)</f>
        <v>38192.4</v>
      </c>
      <c r="AM19" s="11" t="n">
        <f aca="false">$AO19*IF(AM$3&gt;=$AP19+$AQ19*Scenario_Control!$M$19,$AS19*(1+Assumptions!$D$9)/12*(1+Assumptions!$D$8)^(AM$5-1)*IF($AQ19=1,Scenario_Control!$M$20,1),0)</f>
        <v>38192.4</v>
      </c>
      <c r="AO19" s="58" t="n">
        <v>2</v>
      </c>
      <c r="AP19" s="58" t="n">
        <v>9</v>
      </c>
      <c r="AQ19" s="58" t="n">
        <v>1</v>
      </c>
      <c r="AR19" s="58" t="n">
        <v>1</v>
      </c>
      <c r="AS19" s="30" t="n">
        <v>180000</v>
      </c>
      <c r="AT19" s="58" t="s">
        <v>80</v>
      </c>
      <c r="AU19" s="58" t="s">
        <v>956</v>
      </c>
      <c r="AV19" s="58" t="s">
        <v>971</v>
      </c>
      <c r="AW19" s="58" t="n">
        <f aca="false">AP19+AQ19*Scenario_Control!$M$19</f>
        <v>9</v>
      </c>
    </row>
    <row r="20" customFormat="false" ht="15" hidden="false" customHeight="true" outlineLevel="0" collapsed="false">
      <c r="A20" s="5" t="s">
        <v>972</v>
      </c>
      <c r="B20" s="10" t="s">
        <v>80</v>
      </c>
      <c r="C20" s="12" t="n">
        <f aca="false">SUM(D20:AM20)</f>
        <v>523634.4</v>
      </c>
      <c r="D20" s="11" t="n">
        <f aca="false">$AO20*IF(D$3&gt;=$AP20+$AQ20*Scenario_Control!$M$19,$AS20*(1+Assumptions!$D$9)/12*(1+Assumptions!$D$8)^(D$5-1)*IF($AQ20=1,Scenario_Control!$M$20,1),0)</f>
        <v>0</v>
      </c>
      <c r="E20" s="11" t="n">
        <f aca="false">$AO20*IF(E$3&gt;=$AP20+$AQ20*Scenario_Control!$M$19,$AS20*(1+Assumptions!$D$9)/12*(1+Assumptions!$D$8)^(E$5-1)*IF($AQ20=1,Scenario_Control!$M$20,1),0)</f>
        <v>0</v>
      </c>
      <c r="F20" s="11" t="n">
        <f aca="false">$AO20*IF(F$3&gt;=$AP20+$AQ20*Scenario_Control!$M$19,$AS20*(1+Assumptions!$D$9)/12*(1+Assumptions!$D$8)^(F$5-1)*IF($AQ20=1,Scenario_Control!$M$20,1),0)</f>
        <v>0</v>
      </c>
      <c r="G20" s="11" t="n">
        <f aca="false">$AO20*IF(G$3&gt;=$AP20+$AQ20*Scenario_Control!$M$19,$AS20*(1+Assumptions!$D$9)/12*(1+Assumptions!$D$8)^(G$5-1)*IF($AQ20=1,Scenario_Control!$M$20,1),0)</f>
        <v>0</v>
      </c>
      <c r="H20" s="11" t="n">
        <f aca="false">$AO20*IF(H$3&gt;=$AP20+$AQ20*Scenario_Control!$M$19,$AS20*(1+Assumptions!$D$9)/12*(1+Assumptions!$D$8)^(H$5-1)*IF($AQ20=1,Scenario_Control!$M$20,1),0)</f>
        <v>0</v>
      </c>
      <c r="I20" s="11" t="n">
        <f aca="false">$AO20*IF(I$3&gt;=$AP20+$AQ20*Scenario_Control!$M$19,$AS20*(1+Assumptions!$D$9)/12*(1+Assumptions!$D$8)^(I$5-1)*IF($AQ20=1,Scenario_Control!$M$20,1),0)</f>
        <v>0</v>
      </c>
      <c r="J20" s="11" t="n">
        <f aca="false">$AO20*IF(J$3&gt;=$AP20+$AQ20*Scenario_Control!$M$19,$AS20*(1+Assumptions!$D$9)/12*(1+Assumptions!$D$8)^(J$5-1)*IF($AQ20=1,Scenario_Control!$M$20,1),0)</f>
        <v>0</v>
      </c>
      <c r="K20" s="11" t="n">
        <f aca="false">$AO20*IF(K$3&gt;=$AP20+$AQ20*Scenario_Control!$M$19,$AS20*(1+Assumptions!$D$9)/12*(1+Assumptions!$D$8)^(K$5-1)*IF($AQ20=1,Scenario_Control!$M$20,1),0)</f>
        <v>0</v>
      </c>
      <c r="L20" s="11" t="n">
        <f aca="false">$AO20*IF(L$3&gt;=$AP20+$AQ20*Scenario_Control!$M$19,$AS20*(1+Assumptions!$D$9)/12*(1+Assumptions!$D$8)^(L$5-1)*IF($AQ20=1,Scenario_Control!$M$20,1),0)</f>
        <v>18000</v>
      </c>
      <c r="M20" s="11" t="n">
        <f aca="false">$AO20*IF(M$3&gt;=$AP20+$AQ20*Scenario_Control!$M$19,$AS20*(1+Assumptions!$D$9)/12*(1+Assumptions!$D$8)^(M$5-1)*IF($AQ20=1,Scenario_Control!$M$20,1),0)</f>
        <v>18000</v>
      </c>
      <c r="N20" s="11" t="n">
        <f aca="false">$AO20*IF(N$3&gt;=$AP20+$AQ20*Scenario_Control!$M$19,$AS20*(1+Assumptions!$D$9)/12*(1+Assumptions!$D$8)^(N$5-1)*IF($AQ20=1,Scenario_Control!$M$20,1),0)</f>
        <v>18000</v>
      </c>
      <c r="O20" s="11" t="n">
        <f aca="false">$AO20*IF(O$3&gt;=$AP20+$AQ20*Scenario_Control!$M$19,$AS20*(1+Assumptions!$D$9)/12*(1+Assumptions!$D$8)^(O$5-1)*IF($AQ20=1,Scenario_Control!$M$20,1),0)</f>
        <v>18000</v>
      </c>
      <c r="P20" s="11" t="n">
        <f aca="false">$AO20*IF(P$3&gt;=$AP20+$AQ20*Scenario_Control!$M$19,$AS20*(1+Assumptions!$D$9)/12*(1+Assumptions!$D$8)^(P$5-1)*IF($AQ20=1,Scenario_Control!$M$20,1),0)</f>
        <v>18540</v>
      </c>
      <c r="Q20" s="11" t="n">
        <f aca="false">$AO20*IF(Q$3&gt;=$AP20+$AQ20*Scenario_Control!$M$19,$AS20*(1+Assumptions!$D$9)/12*(1+Assumptions!$D$8)^(Q$5-1)*IF($AQ20=1,Scenario_Control!$M$20,1),0)</f>
        <v>18540</v>
      </c>
      <c r="R20" s="11" t="n">
        <f aca="false">$AO20*IF(R$3&gt;=$AP20+$AQ20*Scenario_Control!$M$19,$AS20*(1+Assumptions!$D$9)/12*(1+Assumptions!$D$8)^(R$5-1)*IF($AQ20=1,Scenario_Control!$M$20,1),0)</f>
        <v>18540</v>
      </c>
      <c r="S20" s="11" t="n">
        <f aca="false">$AO20*IF(S$3&gt;=$AP20+$AQ20*Scenario_Control!$M$19,$AS20*(1+Assumptions!$D$9)/12*(1+Assumptions!$D$8)^(S$5-1)*IF($AQ20=1,Scenario_Control!$M$20,1),0)</f>
        <v>18540</v>
      </c>
      <c r="T20" s="11" t="n">
        <f aca="false">$AO20*IF(T$3&gt;=$AP20+$AQ20*Scenario_Control!$M$19,$AS20*(1+Assumptions!$D$9)/12*(1+Assumptions!$D$8)^(T$5-1)*IF($AQ20=1,Scenario_Control!$M$20,1),0)</f>
        <v>18540</v>
      </c>
      <c r="U20" s="11" t="n">
        <f aca="false">$AO20*IF(U$3&gt;=$AP20+$AQ20*Scenario_Control!$M$19,$AS20*(1+Assumptions!$D$9)/12*(1+Assumptions!$D$8)^(U$5-1)*IF($AQ20=1,Scenario_Control!$M$20,1),0)</f>
        <v>18540</v>
      </c>
      <c r="V20" s="11" t="n">
        <f aca="false">$AO20*IF(V$3&gt;=$AP20+$AQ20*Scenario_Control!$M$19,$AS20*(1+Assumptions!$D$9)/12*(1+Assumptions!$D$8)^(V$5-1)*IF($AQ20=1,Scenario_Control!$M$20,1),0)</f>
        <v>18540</v>
      </c>
      <c r="W20" s="11" t="n">
        <f aca="false">$AO20*IF(W$3&gt;=$AP20+$AQ20*Scenario_Control!$M$19,$AS20*(1+Assumptions!$D$9)/12*(1+Assumptions!$D$8)^(W$5-1)*IF($AQ20=1,Scenario_Control!$M$20,1),0)</f>
        <v>18540</v>
      </c>
      <c r="X20" s="11" t="n">
        <f aca="false">$AO20*IF(X$3&gt;=$AP20+$AQ20*Scenario_Control!$M$19,$AS20*(1+Assumptions!$D$9)/12*(1+Assumptions!$D$8)^(X$5-1)*IF($AQ20=1,Scenario_Control!$M$20,1),0)</f>
        <v>18540</v>
      </c>
      <c r="Y20" s="11" t="n">
        <f aca="false">$AO20*IF(Y$3&gt;=$AP20+$AQ20*Scenario_Control!$M$19,$AS20*(1+Assumptions!$D$9)/12*(1+Assumptions!$D$8)^(Y$5-1)*IF($AQ20=1,Scenario_Control!$M$20,1),0)</f>
        <v>18540</v>
      </c>
      <c r="Z20" s="11" t="n">
        <f aca="false">$AO20*IF(Z$3&gt;=$AP20+$AQ20*Scenario_Control!$M$19,$AS20*(1+Assumptions!$D$9)/12*(1+Assumptions!$D$8)^(Z$5-1)*IF($AQ20=1,Scenario_Control!$M$20,1),0)</f>
        <v>18540</v>
      </c>
      <c r="AA20" s="11" t="n">
        <f aca="false">$AO20*IF(AA$3&gt;=$AP20+$AQ20*Scenario_Control!$M$19,$AS20*(1+Assumptions!$D$9)/12*(1+Assumptions!$D$8)^(AA$5-1)*IF($AQ20=1,Scenario_Control!$M$20,1),0)</f>
        <v>18540</v>
      </c>
      <c r="AB20" s="11" t="n">
        <f aca="false">$AO20*IF(AB$3&gt;=$AP20+$AQ20*Scenario_Control!$M$19,$AS20*(1+Assumptions!$D$9)/12*(1+Assumptions!$D$8)^(AB$5-1)*IF($AQ20=1,Scenario_Control!$M$20,1),0)</f>
        <v>19096.2</v>
      </c>
      <c r="AC20" s="11" t="n">
        <f aca="false">$AO20*IF(AC$3&gt;=$AP20+$AQ20*Scenario_Control!$M$19,$AS20*(1+Assumptions!$D$9)/12*(1+Assumptions!$D$8)^(AC$5-1)*IF($AQ20=1,Scenario_Control!$M$20,1),0)</f>
        <v>19096.2</v>
      </c>
      <c r="AD20" s="11" t="n">
        <f aca="false">$AO20*IF(AD$3&gt;=$AP20+$AQ20*Scenario_Control!$M$19,$AS20*(1+Assumptions!$D$9)/12*(1+Assumptions!$D$8)^(AD$5-1)*IF($AQ20=1,Scenario_Control!$M$20,1),0)</f>
        <v>19096.2</v>
      </c>
      <c r="AE20" s="11" t="n">
        <f aca="false">$AO20*IF(AE$3&gt;=$AP20+$AQ20*Scenario_Control!$M$19,$AS20*(1+Assumptions!$D$9)/12*(1+Assumptions!$D$8)^(AE$5-1)*IF($AQ20=1,Scenario_Control!$M$20,1),0)</f>
        <v>19096.2</v>
      </c>
      <c r="AF20" s="11" t="n">
        <f aca="false">$AO20*IF(AF$3&gt;=$AP20+$AQ20*Scenario_Control!$M$19,$AS20*(1+Assumptions!$D$9)/12*(1+Assumptions!$D$8)^(AF$5-1)*IF($AQ20=1,Scenario_Control!$M$20,1),0)</f>
        <v>19096.2</v>
      </c>
      <c r="AG20" s="11" t="n">
        <f aca="false">$AO20*IF(AG$3&gt;=$AP20+$AQ20*Scenario_Control!$M$19,$AS20*(1+Assumptions!$D$9)/12*(1+Assumptions!$D$8)^(AG$5-1)*IF($AQ20=1,Scenario_Control!$M$20,1),0)</f>
        <v>19096.2</v>
      </c>
      <c r="AH20" s="11" t="n">
        <f aca="false">$AO20*IF(AH$3&gt;=$AP20+$AQ20*Scenario_Control!$M$19,$AS20*(1+Assumptions!$D$9)/12*(1+Assumptions!$D$8)^(AH$5-1)*IF($AQ20=1,Scenario_Control!$M$20,1),0)</f>
        <v>19096.2</v>
      </c>
      <c r="AI20" s="11" t="n">
        <f aca="false">$AO20*IF(AI$3&gt;=$AP20+$AQ20*Scenario_Control!$M$19,$AS20*(1+Assumptions!$D$9)/12*(1+Assumptions!$D$8)^(AI$5-1)*IF($AQ20=1,Scenario_Control!$M$20,1),0)</f>
        <v>19096.2</v>
      </c>
      <c r="AJ20" s="11" t="n">
        <f aca="false">$AO20*IF(AJ$3&gt;=$AP20+$AQ20*Scenario_Control!$M$19,$AS20*(1+Assumptions!$D$9)/12*(1+Assumptions!$D$8)^(AJ$5-1)*IF($AQ20=1,Scenario_Control!$M$20,1),0)</f>
        <v>19096.2</v>
      </c>
      <c r="AK20" s="11" t="n">
        <f aca="false">$AO20*IF(AK$3&gt;=$AP20+$AQ20*Scenario_Control!$M$19,$AS20*(1+Assumptions!$D$9)/12*(1+Assumptions!$D$8)^(AK$5-1)*IF($AQ20=1,Scenario_Control!$M$20,1),0)</f>
        <v>19096.2</v>
      </c>
      <c r="AL20" s="11" t="n">
        <f aca="false">$AO20*IF(AL$3&gt;=$AP20+$AQ20*Scenario_Control!$M$19,$AS20*(1+Assumptions!$D$9)/12*(1+Assumptions!$D$8)^(AL$5-1)*IF($AQ20=1,Scenario_Control!$M$20,1),0)</f>
        <v>19096.2</v>
      </c>
      <c r="AM20" s="11" t="n">
        <f aca="false">$AO20*IF(AM$3&gt;=$AP20+$AQ20*Scenario_Control!$M$19,$AS20*(1+Assumptions!$D$9)/12*(1+Assumptions!$D$8)^(AM$5-1)*IF($AQ20=1,Scenario_Control!$M$20,1),0)</f>
        <v>19096.2</v>
      </c>
      <c r="AO20" s="58" t="n">
        <v>1</v>
      </c>
      <c r="AP20" s="58" t="n">
        <v>9</v>
      </c>
      <c r="AQ20" s="58" t="n">
        <v>1</v>
      </c>
      <c r="AR20" s="58" t="n">
        <v>1</v>
      </c>
      <c r="AS20" s="30" t="n">
        <v>180000</v>
      </c>
      <c r="AT20" s="58" t="s">
        <v>80</v>
      </c>
      <c r="AU20" s="58" t="s">
        <v>956</v>
      </c>
      <c r="AV20" s="58" t="s">
        <v>966</v>
      </c>
      <c r="AW20" s="58" t="n">
        <f aca="false">AP20+AQ20*Scenario_Control!$M$19</f>
        <v>9</v>
      </c>
    </row>
    <row r="21" customFormat="false" ht="15" hidden="false" customHeight="true" outlineLevel="0" collapsed="false">
      <c r="A21" s="5" t="s">
        <v>973</v>
      </c>
      <c r="B21" s="10" t="s">
        <v>964</v>
      </c>
      <c r="C21" s="12" t="n">
        <f aca="false">SUM(D21:AM21)</f>
        <v>308998.8</v>
      </c>
      <c r="D21" s="11" t="n">
        <f aca="false">$AO21*IF(D$3&gt;=$AP21+$AQ21*Scenario_Control!$M$19,$AS21*(1+Assumptions!$D$9)/12*(1+Assumptions!$D$8)^(D$5-1)*IF($AQ21=1,Scenario_Control!$M$20,1),0)</f>
        <v>0</v>
      </c>
      <c r="E21" s="11" t="n">
        <f aca="false">$AO21*IF(E$3&gt;=$AP21+$AQ21*Scenario_Control!$M$19,$AS21*(1+Assumptions!$D$9)/12*(1+Assumptions!$D$8)^(E$5-1)*IF($AQ21=1,Scenario_Control!$M$20,1),0)</f>
        <v>0</v>
      </c>
      <c r="F21" s="11" t="n">
        <f aca="false">$AO21*IF(F$3&gt;=$AP21+$AQ21*Scenario_Control!$M$19,$AS21*(1+Assumptions!$D$9)/12*(1+Assumptions!$D$8)^(F$5-1)*IF($AQ21=1,Scenario_Control!$M$20,1),0)</f>
        <v>0</v>
      </c>
      <c r="G21" s="11" t="n">
        <f aca="false">$AO21*IF(G$3&gt;=$AP21+$AQ21*Scenario_Control!$M$19,$AS21*(1+Assumptions!$D$9)/12*(1+Assumptions!$D$8)^(G$5-1)*IF($AQ21=1,Scenario_Control!$M$20,1),0)</f>
        <v>0</v>
      </c>
      <c r="H21" s="11" t="n">
        <f aca="false">$AO21*IF(H$3&gt;=$AP21+$AQ21*Scenario_Control!$M$19,$AS21*(1+Assumptions!$D$9)/12*(1+Assumptions!$D$8)^(H$5-1)*IF($AQ21=1,Scenario_Control!$M$20,1),0)</f>
        <v>0</v>
      </c>
      <c r="I21" s="11" t="n">
        <f aca="false">$AO21*IF(I$3&gt;=$AP21+$AQ21*Scenario_Control!$M$19,$AS21*(1+Assumptions!$D$9)/12*(1+Assumptions!$D$8)^(I$5-1)*IF($AQ21=1,Scenario_Control!$M$20,1),0)</f>
        <v>0</v>
      </c>
      <c r="J21" s="11" t="n">
        <f aca="false">$AO21*IF(J$3&gt;=$AP21+$AQ21*Scenario_Control!$M$19,$AS21*(1+Assumptions!$D$9)/12*(1+Assumptions!$D$8)^(J$5-1)*IF($AQ21=1,Scenario_Control!$M$20,1),0)</f>
        <v>0</v>
      </c>
      <c r="K21" s="11" t="n">
        <f aca="false">$AO21*IF(K$3&gt;=$AP21+$AQ21*Scenario_Control!$M$19,$AS21*(1+Assumptions!$D$9)/12*(1+Assumptions!$D$8)^(K$5-1)*IF($AQ21=1,Scenario_Control!$M$20,1),0)</f>
        <v>0</v>
      </c>
      <c r="L21" s="11" t="n">
        <f aca="false">$AO21*IF(L$3&gt;=$AP21+$AQ21*Scenario_Control!$M$19,$AS21*(1+Assumptions!$D$9)/12*(1+Assumptions!$D$8)^(L$5-1)*IF($AQ21=1,Scenario_Control!$M$20,1),0)</f>
        <v>0</v>
      </c>
      <c r="M21" s="11" t="n">
        <f aca="false">$AO21*IF(M$3&gt;=$AP21+$AQ21*Scenario_Control!$M$19,$AS21*(1+Assumptions!$D$9)/12*(1+Assumptions!$D$8)^(M$5-1)*IF($AQ21=1,Scenario_Control!$M$20,1),0)</f>
        <v>11000</v>
      </c>
      <c r="N21" s="11" t="n">
        <f aca="false">$AO21*IF(N$3&gt;=$AP21+$AQ21*Scenario_Control!$M$19,$AS21*(1+Assumptions!$D$9)/12*(1+Assumptions!$D$8)^(N$5-1)*IF($AQ21=1,Scenario_Control!$M$20,1),0)</f>
        <v>11000</v>
      </c>
      <c r="O21" s="11" t="n">
        <f aca="false">$AO21*IF(O$3&gt;=$AP21+$AQ21*Scenario_Control!$M$19,$AS21*(1+Assumptions!$D$9)/12*(1+Assumptions!$D$8)^(O$5-1)*IF($AQ21=1,Scenario_Control!$M$20,1),0)</f>
        <v>11000</v>
      </c>
      <c r="P21" s="11" t="n">
        <f aca="false">$AO21*IF(P$3&gt;=$AP21+$AQ21*Scenario_Control!$M$19,$AS21*(1+Assumptions!$D$9)/12*(1+Assumptions!$D$8)^(P$5-1)*IF($AQ21=1,Scenario_Control!$M$20,1),0)</f>
        <v>11330</v>
      </c>
      <c r="Q21" s="11" t="n">
        <f aca="false">$AO21*IF(Q$3&gt;=$AP21+$AQ21*Scenario_Control!$M$19,$AS21*(1+Assumptions!$D$9)/12*(1+Assumptions!$D$8)^(Q$5-1)*IF($AQ21=1,Scenario_Control!$M$20,1),0)</f>
        <v>11330</v>
      </c>
      <c r="R21" s="11" t="n">
        <f aca="false">$AO21*IF(R$3&gt;=$AP21+$AQ21*Scenario_Control!$M$19,$AS21*(1+Assumptions!$D$9)/12*(1+Assumptions!$D$8)^(R$5-1)*IF($AQ21=1,Scenario_Control!$M$20,1),0)</f>
        <v>11330</v>
      </c>
      <c r="S21" s="11" t="n">
        <f aca="false">$AO21*IF(S$3&gt;=$AP21+$AQ21*Scenario_Control!$M$19,$AS21*(1+Assumptions!$D$9)/12*(1+Assumptions!$D$8)^(S$5-1)*IF($AQ21=1,Scenario_Control!$M$20,1),0)</f>
        <v>11330</v>
      </c>
      <c r="T21" s="11" t="n">
        <f aca="false">$AO21*IF(T$3&gt;=$AP21+$AQ21*Scenario_Control!$M$19,$AS21*(1+Assumptions!$D$9)/12*(1+Assumptions!$D$8)^(T$5-1)*IF($AQ21=1,Scenario_Control!$M$20,1),0)</f>
        <v>11330</v>
      </c>
      <c r="U21" s="11" t="n">
        <f aca="false">$AO21*IF(U$3&gt;=$AP21+$AQ21*Scenario_Control!$M$19,$AS21*(1+Assumptions!$D$9)/12*(1+Assumptions!$D$8)^(U$5-1)*IF($AQ21=1,Scenario_Control!$M$20,1),0)</f>
        <v>11330</v>
      </c>
      <c r="V21" s="11" t="n">
        <f aca="false">$AO21*IF(V$3&gt;=$AP21+$AQ21*Scenario_Control!$M$19,$AS21*(1+Assumptions!$D$9)/12*(1+Assumptions!$D$8)^(V$5-1)*IF($AQ21=1,Scenario_Control!$M$20,1),0)</f>
        <v>11330</v>
      </c>
      <c r="W21" s="11" t="n">
        <f aca="false">$AO21*IF(W$3&gt;=$AP21+$AQ21*Scenario_Control!$M$19,$AS21*(1+Assumptions!$D$9)/12*(1+Assumptions!$D$8)^(W$5-1)*IF($AQ21=1,Scenario_Control!$M$20,1),0)</f>
        <v>11330</v>
      </c>
      <c r="X21" s="11" t="n">
        <f aca="false">$AO21*IF(X$3&gt;=$AP21+$AQ21*Scenario_Control!$M$19,$AS21*(1+Assumptions!$D$9)/12*(1+Assumptions!$D$8)^(X$5-1)*IF($AQ21=1,Scenario_Control!$M$20,1),0)</f>
        <v>11330</v>
      </c>
      <c r="Y21" s="11" t="n">
        <f aca="false">$AO21*IF(Y$3&gt;=$AP21+$AQ21*Scenario_Control!$M$19,$AS21*(1+Assumptions!$D$9)/12*(1+Assumptions!$D$8)^(Y$5-1)*IF($AQ21=1,Scenario_Control!$M$20,1),0)</f>
        <v>11330</v>
      </c>
      <c r="Z21" s="11" t="n">
        <f aca="false">$AO21*IF(Z$3&gt;=$AP21+$AQ21*Scenario_Control!$M$19,$AS21*(1+Assumptions!$D$9)/12*(1+Assumptions!$D$8)^(Z$5-1)*IF($AQ21=1,Scenario_Control!$M$20,1),0)</f>
        <v>11330</v>
      </c>
      <c r="AA21" s="11" t="n">
        <f aca="false">$AO21*IF(AA$3&gt;=$AP21+$AQ21*Scenario_Control!$M$19,$AS21*(1+Assumptions!$D$9)/12*(1+Assumptions!$D$8)^(AA$5-1)*IF($AQ21=1,Scenario_Control!$M$20,1),0)</f>
        <v>11330</v>
      </c>
      <c r="AB21" s="11" t="n">
        <f aca="false">$AO21*IF(AB$3&gt;=$AP21+$AQ21*Scenario_Control!$M$19,$AS21*(1+Assumptions!$D$9)/12*(1+Assumptions!$D$8)^(AB$5-1)*IF($AQ21=1,Scenario_Control!$M$20,1),0)</f>
        <v>11669.9</v>
      </c>
      <c r="AC21" s="11" t="n">
        <f aca="false">$AO21*IF(AC$3&gt;=$AP21+$AQ21*Scenario_Control!$M$19,$AS21*(1+Assumptions!$D$9)/12*(1+Assumptions!$D$8)^(AC$5-1)*IF($AQ21=1,Scenario_Control!$M$20,1),0)</f>
        <v>11669.9</v>
      </c>
      <c r="AD21" s="11" t="n">
        <f aca="false">$AO21*IF(AD$3&gt;=$AP21+$AQ21*Scenario_Control!$M$19,$AS21*(1+Assumptions!$D$9)/12*(1+Assumptions!$D$8)^(AD$5-1)*IF($AQ21=1,Scenario_Control!$M$20,1),0)</f>
        <v>11669.9</v>
      </c>
      <c r="AE21" s="11" t="n">
        <f aca="false">$AO21*IF(AE$3&gt;=$AP21+$AQ21*Scenario_Control!$M$19,$AS21*(1+Assumptions!$D$9)/12*(1+Assumptions!$D$8)^(AE$5-1)*IF($AQ21=1,Scenario_Control!$M$20,1),0)</f>
        <v>11669.9</v>
      </c>
      <c r="AF21" s="11" t="n">
        <f aca="false">$AO21*IF(AF$3&gt;=$AP21+$AQ21*Scenario_Control!$M$19,$AS21*(1+Assumptions!$D$9)/12*(1+Assumptions!$D$8)^(AF$5-1)*IF($AQ21=1,Scenario_Control!$M$20,1),0)</f>
        <v>11669.9</v>
      </c>
      <c r="AG21" s="11" t="n">
        <f aca="false">$AO21*IF(AG$3&gt;=$AP21+$AQ21*Scenario_Control!$M$19,$AS21*(1+Assumptions!$D$9)/12*(1+Assumptions!$D$8)^(AG$5-1)*IF($AQ21=1,Scenario_Control!$M$20,1),0)</f>
        <v>11669.9</v>
      </c>
      <c r="AH21" s="11" t="n">
        <f aca="false">$AO21*IF(AH$3&gt;=$AP21+$AQ21*Scenario_Control!$M$19,$AS21*(1+Assumptions!$D$9)/12*(1+Assumptions!$D$8)^(AH$5-1)*IF($AQ21=1,Scenario_Control!$M$20,1),0)</f>
        <v>11669.9</v>
      </c>
      <c r="AI21" s="11" t="n">
        <f aca="false">$AO21*IF(AI$3&gt;=$AP21+$AQ21*Scenario_Control!$M$19,$AS21*(1+Assumptions!$D$9)/12*(1+Assumptions!$D$8)^(AI$5-1)*IF($AQ21=1,Scenario_Control!$M$20,1),0)</f>
        <v>11669.9</v>
      </c>
      <c r="AJ21" s="11" t="n">
        <f aca="false">$AO21*IF(AJ$3&gt;=$AP21+$AQ21*Scenario_Control!$M$19,$AS21*(1+Assumptions!$D$9)/12*(1+Assumptions!$D$8)^(AJ$5-1)*IF($AQ21=1,Scenario_Control!$M$20,1),0)</f>
        <v>11669.9</v>
      </c>
      <c r="AK21" s="11" t="n">
        <f aca="false">$AO21*IF(AK$3&gt;=$AP21+$AQ21*Scenario_Control!$M$19,$AS21*(1+Assumptions!$D$9)/12*(1+Assumptions!$D$8)^(AK$5-1)*IF($AQ21=1,Scenario_Control!$M$20,1),0)</f>
        <v>11669.9</v>
      </c>
      <c r="AL21" s="11" t="n">
        <f aca="false">$AO21*IF(AL$3&gt;=$AP21+$AQ21*Scenario_Control!$M$19,$AS21*(1+Assumptions!$D$9)/12*(1+Assumptions!$D$8)^(AL$5-1)*IF($AQ21=1,Scenario_Control!$M$20,1),0)</f>
        <v>11669.9</v>
      </c>
      <c r="AM21" s="11" t="n">
        <f aca="false">$AO21*IF(AM$3&gt;=$AP21+$AQ21*Scenario_Control!$M$19,$AS21*(1+Assumptions!$D$9)/12*(1+Assumptions!$D$8)^(AM$5-1)*IF($AQ21=1,Scenario_Control!$M$20,1),0)</f>
        <v>11669.9</v>
      </c>
      <c r="AO21" s="58" t="n">
        <v>1</v>
      </c>
      <c r="AP21" s="58" t="n">
        <v>10</v>
      </c>
      <c r="AQ21" s="58" t="n">
        <v>0</v>
      </c>
      <c r="AR21" s="58" t="n">
        <v>1</v>
      </c>
      <c r="AS21" s="30" t="n">
        <v>110000</v>
      </c>
      <c r="AT21" s="58" t="s">
        <v>964</v>
      </c>
      <c r="AU21" s="58" t="s">
        <v>968</v>
      </c>
      <c r="AV21" s="58" t="s">
        <v>956</v>
      </c>
      <c r="AW21" s="58" t="n">
        <f aca="false">AP21+AQ21*Scenario_Control!$M$19</f>
        <v>10</v>
      </c>
    </row>
    <row r="22" customFormat="false" ht="15" hidden="false" customHeight="true" outlineLevel="0" collapsed="false">
      <c r="A22" s="5" t="s">
        <v>974</v>
      </c>
      <c r="B22" s="10" t="s">
        <v>80</v>
      </c>
      <c r="C22" s="12" t="n">
        <f aca="false">SUM(D22:AM22)</f>
        <v>533725.2</v>
      </c>
      <c r="D22" s="11" t="n">
        <f aca="false">$AO22*IF(D$3&gt;=$AP22+$AQ22*Scenario_Control!$M$19,$AS22*(1+Assumptions!$D$9)/12*(1+Assumptions!$D$8)^(D$5-1)*IF($AQ22=1,Scenario_Control!$M$20,1),0)</f>
        <v>0</v>
      </c>
      <c r="E22" s="11" t="n">
        <f aca="false">$AO22*IF(E$3&gt;=$AP22+$AQ22*Scenario_Control!$M$19,$AS22*(1+Assumptions!$D$9)/12*(1+Assumptions!$D$8)^(E$5-1)*IF($AQ22=1,Scenario_Control!$M$20,1),0)</f>
        <v>0</v>
      </c>
      <c r="F22" s="11" t="n">
        <f aca="false">$AO22*IF(F$3&gt;=$AP22+$AQ22*Scenario_Control!$M$19,$AS22*(1+Assumptions!$D$9)/12*(1+Assumptions!$D$8)^(F$5-1)*IF($AQ22=1,Scenario_Control!$M$20,1),0)</f>
        <v>0</v>
      </c>
      <c r="G22" s="11" t="n">
        <f aca="false">$AO22*IF(G$3&gt;=$AP22+$AQ22*Scenario_Control!$M$19,$AS22*(1+Assumptions!$D$9)/12*(1+Assumptions!$D$8)^(G$5-1)*IF($AQ22=1,Scenario_Control!$M$20,1),0)</f>
        <v>0</v>
      </c>
      <c r="H22" s="11" t="n">
        <f aca="false">$AO22*IF(H$3&gt;=$AP22+$AQ22*Scenario_Control!$M$19,$AS22*(1+Assumptions!$D$9)/12*(1+Assumptions!$D$8)^(H$5-1)*IF($AQ22=1,Scenario_Control!$M$20,1),0)</f>
        <v>0</v>
      </c>
      <c r="I22" s="11" t="n">
        <f aca="false">$AO22*IF(I$3&gt;=$AP22+$AQ22*Scenario_Control!$M$19,$AS22*(1+Assumptions!$D$9)/12*(1+Assumptions!$D$8)^(I$5-1)*IF($AQ22=1,Scenario_Control!$M$20,1),0)</f>
        <v>0</v>
      </c>
      <c r="J22" s="11" t="n">
        <f aca="false">$AO22*IF(J$3&gt;=$AP22+$AQ22*Scenario_Control!$M$19,$AS22*(1+Assumptions!$D$9)/12*(1+Assumptions!$D$8)^(J$5-1)*IF($AQ22=1,Scenario_Control!$M$20,1),0)</f>
        <v>0</v>
      </c>
      <c r="K22" s="11" t="n">
        <f aca="false">$AO22*IF(K$3&gt;=$AP22+$AQ22*Scenario_Control!$M$19,$AS22*(1+Assumptions!$D$9)/12*(1+Assumptions!$D$8)^(K$5-1)*IF($AQ22=1,Scenario_Control!$M$20,1),0)</f>
        <v>0</v>
      </c>
      <c r="L22" s="11" t="n">
        <f aca="false">$AO22*IF(L$3&gt;=$AP22+$AQ22*Scenario_Control!$M$19,$AS22*(1+Assumptions!$D$9)/12*(1+Assumptions!$D$8)^(L$5-1)*IF($AQ22=1,Scenario_Control!$M$20,1),0)</f>
        <v>0</v>
      </c>
      <c r="M22" s="11" t="n">
        <f aca="false">$AO22*IF(M$3&gt;=$AP22+$AQ22*Scenario_Control!$M$19,$AS22*(1+Assumptions!$D$9)/12*(1+Assumptions!$D$8)^(M$5-1)*IF($AQ22=1,Scenario_Control!$M$20,1),0)</f>
        <v>19000</v>
      </c>
      <c r="N22" s="11" t="n">
        <f aca="false">$AO22*IF(N$3&gt;=$AP22+$AQ22*Scenario_Control!$M$19,$AS22*(1+Assumptions!$D$9)/12*(1+Assumptions!$D$8)^(N$5-1)*IF($AQ22=1,Scenario_Control!$M$20,1),0)</f>
        <v>19000</v>
      </c>
      <c r="O22" s="11" t="n">
        <f aca="false">$AO22*IF(O$3&gt;=$AP22+$AQ22*Scenario_Control!$M$19,$AS22*(1+Assumptions!$D$9)/12*(1+Assumptions!$D$8)^(O$5-1)*IF($AQ22=1,Scenario_Control!$M$20,1),0)</f>
        <v>19000</v>
      </c>
      <c r="P22" s="11" t="n">
        <f aca="false">$AO22*IF(P$3&gt;=$AP22+$AQ22*Scenario_Control!$M$19,$AS22*(1+Assumptions!$D$9)/12*(1+Assumptions!$D$8)^(P$5-1)*IF($AQ22=1,Scenario_Control!$M$20,1),0)</f>
        <v>19570</v>
      </c>
      <c r="Q22" s="11" t="n">
        <f aca="false">$AO22*IF(Q$3&gt;=$AP22+$AQ22*Scenario_Control!$M$19,$AS22*(1+Assumptions!$D$9)/12*(1+Assumptions!$D$8)^(Q$5-1)*IF($AQ22=1,Scenario_Control!$M$20,1),0)</f>
        <v>19570</v>
      </c>
      <c r="R22" s="11" t="n">
        <f aca="false">$AO22*IF(R$3&gt;=$AP22+$AQ22*Scenario_Control!$M$19,$AS22*(1+Assumptions!$D$9)/12*(1+Assumptions!$D$8)^(R$5-1)*IF($AQ22=1,Scenario_Control!$M$20,1),0)</f>
        <v>19570</v>
      </c>
      <c r="S22" s="11" t="n">
        <f aca="false">$AO22*IF(S$3&gt;=$AP22+$AQ22*Scenario_Control!$M$19,$AS22*(1+Assumptions!$D$9)/12*(1+Assumptions!$D$8)^(S$5-1)*IF($AQ22=1,Scenario_Control!$M$20,1),0)</f>
        <v>19570</v>
      </c>
      <c r="T22" s="11" t="n">
        <f aca="false">$AO22*IF(T$3&gt;=$AP22+$AQ22*Scenario_Control!$M$19,$AS22*(1+Assumptions!$D$9)/12*(1+Assumptions!$D$8)^(T$5-1)*IF($AQ22=1,Scenario_Control!$M$20,1),0)</f>
        <v>19570</v>
      </c>
      <c r="U22" s="11" t="n">
        <f aca="false">$AO22*IF(U$3&gt;=$AP22+$AQ22*Scenario_Control!$M$19,$AS22*(1+Assumptions!$D$9)/12*(1+Assumptions!$D$8)^(U$5-1)*IF($AQ22=1,Scenario_Control!$M$20,1),0)</f>
        <v>19570</v>
      </c>
      <c r="V22" s="11" t="n">
        <f aca="false">$AO22*IF(V$3&gt;=$AP22+$AQ22*Scenario_Control!$M$19,$AS22*(1+Assumptions!$D$9)/12*(1+Assumptions!$D$8)^(V$5-1)*IF($AQ22=1,Scenario_Control!$M$20,1),0)</f>
        <v>19570</v>
      </c>
      <c r="W22" s="11" t="n">
        <f aca="false">$AO22*IF(W$3&gt;=$AP22+$AQ22*Scenario_Control!$M$19,$AS22*(1+Assumptions!$D$9)/12*(1+Assumptions!$D$8)^(W$5-1)*IF($AQ22=1,Scenario_Control!$M$20,1),0)</f>
        <v>19570</v>
      </c>
      <c r="X22" s="11" t="n">
        <f aca="false">$AO22*IF(X$3&gt;=$AP22+$AQ22*Scenario_Control!$M$19,$AS22*(1+Assumptions!$D$9)/12*(1+Assumptions!$D$8)^(X$5-1)*IF($AQ22=1,Scenario_Control!$M$20,1),0)</f>
        <v>19570</v>
      </c>
      <c r="Y22" s="11" t="n">
        <f aca="false">$AO22*IF(Y$3&gt;=$AP22+$AQ22*Scenario_Control!$M$19,$AS22*(1+Assumptions!$D$9)/12*(1+Assumptions!$D$8)^(Y$5-1)*IF($AQ22=1,Scenario_Control!$M$20,1),0)</f>
        <v>19570</v>
      </c>
      <c r="Z22" s="11" t="n">
        <f aca="false">$AO22*IF(Z$3&gt;=$AP22+$AQ22*Scenario_Control!$M$19,$AS22*(1+Assumptions!$D$9)/12*(1+Assumptions!$D$8)^(Z$5-1)*IF($AQ22=1,Scenario_Control!$M$20,1),0)</f>
        <v>19570</v>
      </c>
      <c r="AA22" s="11" t="n">
        <f aca="false">$AO22*IF(AA$3&gt;=$AP22+$AQ22*Scenario_Control!$M$19,$AS22*(1+Assumptions!$D$9)/12*(1+Assumptions!$D$8)^(AA$5-1)*IF($AQ22=1,Scenario_Control!$M$20,1),0)</f>
        <v>19570</v>
      </c>
      <c r="AB22" s="11" t="n">
        <f aca="false">$AO22*IF(AB$3&gt;=$AP22+$AQ22*Scenario_Control!$M$19,$AS22*(1+Assumptions!$D$9)/12*(1+Assumptions!$D$8)^(AB$5-1)*IF($AQ22=1,Scenario_Control!$M$20,1),0)</f>
        <v>20157.1</v>
      </c>
      <c r="AC22" s="11" t="n">
        <f aca="false">$AO22*IF(AC$3&gt;=$AP22+$AQ22*Scenario_Control!$M$19,$AS22*(1+Assumptions!$D$9)/12*(1+Assumptions!$D$8)^(AC$5-1)*IF($AQ22=1,Scenario_Control!$M$20,1),0)</f>
        <v>20157.1</v>
      </c>
      <c r="AD22" s="11" t="n">
        <f aca="false">$AO22*IF(AD$3&gt;=$AP22+$AQ22*Scenario_Control!$M$19,$AS22*(1+Assumptions!$D$9)/12*(1+Assumptions!$D$8)^(AD$5-1)*IF($AQ22=1,Scenario_Control!$M$20,1),0)</f>
        <v>20157.1</v>
      </c>
      <c r="AE22" s="11" t="n">
        <f aca="false">$AO22*IF(AE$3&gt;=$AP22+$AQ22*Scenario_Control!$M$19,$AS22*(1+Assumptions!$D$9)/12*(1+Assumptions!$D$8)^(AE$5-1)*IF($AQ22=1,Scenario_Control!$M$20,1),0)</f>
        <v>20157.1</v>
      </c>
      <c r="AF22" s="11" t="n">
        <f aca="false">$AO22*IF(AF$3&gt;=$AP22+$AQ22*Scenario_Control!$M$19,$AS22*(1+Assumptions!$D$9)/12*(1+Assumptions!$D$8)^(AF$5-1)*IF($AQ22=1,Scenario_Control!$M$20,1),0)</f>
        <v>20157.1</v>
      </c>
      <c r="AG22" s="11" t="n">
        <f aca="false">$AO22*IF(AG$3&gt;=$AP22+$AQ22*Scenario_Control!$M$19,$AS22*(1+Assumptions!$D$9)/12*(1+Assumptions!$D$8)^(AG$5-1)*IF($AQ22=1,Scenario_Control!$M$20,1),0)</f>
        <v>20157.1</v>
      </c>
      <c r="AH22" s="11" t="n">
        <f aca="false">$AO22*IF(AH$3&gt;=$AP22+$AQ22*Scenario_Control!$M$19,$AS22*(1+Assumptions!$D$9)/12*(1+Assumptions!$D$8)^(AH$5-1)*IF($AQ22=1,Scenario_Control!$M$20,1),0)</f>
        <v>20157.1</v>
      </c>
      <c r="AI22" s="11" t="n">
        <f aca="false">$AO22*IF(AI$3&gt;=$AP22+$AQ22*Scenario_Control!$M$19,$AS22*(1+Assumptions!$D$9)/12*(1+Assumptions!$D$8)^(AI$5-1)*IF($AQ22=1,Scenario_Control!$M$20,1),0)</f>
        <v>20157.1</v>
      </c>
      <c r="AJ22" s="11" t="n">
        <f aca="false">$AO22*IF(AJ$3&gt;=$AP22+$AQ22*Scenario_Control!$M$19,$AS22*(1+Assumptions!$D$9)/12*(1+Assumptions!$D$8)^(AJ$5-1)*IF($AQ22=1,Scenario_Control!$M$20,1),0)</f>
        <v>20157.1</v>
      </c>
      <c r="AK22" s="11" t="n">
        <f aca="false">$AO22*IF(AK$3&gt;=$AP22+$AQ22*Scenario_Control!$M$19,$AS22*(1+Assumptions!$D$9)/12*(1+Assumptions!$D$8)^(AK$5-1)*IF($AQ22=1,Scenario_Control!$M$20,1),0)</f>
        <v>20157.1</v>
      </c>
      <c r="AL22" s="11" t="n">
        <f aca="false">$AO22*IF(AL$3&gt;=$AP22+$AQ22*Scenario_Control!$M$19,$AS22*(1+Assumptions!$D$9)/12*(1+Assumptions!$D$8)^(AL$5-1)*IF($AQ22=1,Scenario_Control!$M$20,1),0)</f>
        <v>20157.1</v>
      </c>
      <c r="AM22" s="11" t="n">
        <f aca="false">$AO22*IF(AM$3&gt;=$AP22+$AQ22*Scenario_Control!$M$19,$AS22*(1+Assumptions!$D$9)/12*(1+Assumptions!$D$8)^(AM$5-1)*IF($AQ22=1,Scenario_Control!$M$20,1),0)</f>
        <v>20157.1</v>
      </c>
      <c r="AO22" s="58" t="n">
        <v>1</v>
      </c>
      <c r="AP22" s="58" t="n">
        <v>10</v>
      </c>
      <c r="AQ22" s="58" t="n">
        <v>1</v>
      </c>
      <c r="AR22" s="58" t="n">
        <v>1</v>
      </c>
      <c r="AS22" s="30" t="n">
        <v>190000</v>
      </c>
      <c r="AT22" s="58" t="s">
        <v>80</v>
      </c>
      <c r="AU22" s="58" t="s">
        <v>956</v>
      </c>
      <c r="AV22" s="58" t="s">
        <v>966</v>
      </c>
      <c r="AW22" s="58" t="n">
        <f aca="false">AP22+AQ22*Scenario_Control!$M$19</f>
        <v>10</v>
      </c>
    </row>
    <row r="23" customFormat="false" ht="15" hidden="false" customHeight="true" outlineLevel="0" collapsed="false">
      <c r="A23" s="5" t="s">
        <v>975</v>
      </c>
      <c r="B23" s="10" t="s">
        <v>976</v>
      </c>
      <c r="C23" s="12" t="n">
        <f aca="false">SUM(D23:AM23)</f>
        <v>266862.6</v>
      </c>
      <c r="D23" s="11" t="n">
        <f aca="false">$AO23*IF(D$3&gt;=$AP23+$AQ23*Scenario_Control!$M$19,$AS23*(1+Assumptions!$D$9)/12*(1+Assumptions!$D$8)^(D$5-1)*IF($AQ23=1,Scenario_Control!$M$20,1),0)</f>
        <v>0</v>
      </c>
      <c r="E23" s="11" t="n">
        <f aca="false">$AO23*IF(E$3&gt;=$AP23+$AQ23*Scenario_Control!$M$19,$AS23*(1+Assumptions!$D$9)/12*(1+Assumptions!$D$8)^(E$5-1)*IF($AQ23=1,Scenario_Control!$M$20,1),0)</f>
        <v>0</v>
      </c>
      <c r="F23" s="11" t="n">
        <f aca="false">$AO23*IF(F$3&gt;=$AP23+$AQ23*Scenario_Control!$M$19,$AS23*(1+Assumptions!$D$9)/12*(1+Assumptions!$D$8)^(F$5-1)*IF($AQ23=1,Scenario_Control!$M$20,1),0)</f>
        <v>0</v>
      </c>
      <c r="G23" s="11" t="n">
        <f aca="false">$AO23*IF(G$3&gt;=$AP23+$AQ23*Scenario_Control!$M$19,$AS23*(1+Assumptions!$D$9)/12*(1+Assumptions!$D$8)^(G$5-1)*IF($AQ23=1,Scenario_Control!$M$20,1),0)</f>
        <v>0</v>
      </c>
      <c r="H23" s="11" t="n">
        <f aca="false">$AO23*IF(H$3&gt;=$AP23+$AQ23*Scenario_Control!$M$19,$AS23*(1+Assumptions!$D$9)/12*(1+Assumptions!$D$8)^(H$5-1)*IF($AQ23=1,Scenario_Control!$M$20,1),0)</f>
        <v>0</v>
      </c>
      <c r="I23" s="11" t="n">
        <f aca="false">$AO23*IF(I$3&gt;=$AP23+$AQ23*Scenario_Control!$M$19,$AS23*(1+Assumptions!$D$9)/12*(1+Assumptions!$D$8)^(I$5-1)*IF($AQ23=1,Scenario_Control!$M$20,1),0)</f>
        <v>0</v>
      </c>
      <c r="J23" s="11" t="n">
        <f aca="false">$AO23*IF(J$3&gt;=$AP23+$AQ23*Scenario_Control!$M$19,$AS23*(1+Assumptions!$D$9)/12*(1+Assumptions!$D$8)^(J$5-1)*IF($AQ23=1,Scenario_Control!$M$20,1),0)</f>
        <v>0</v>
      </c>
      <c r="K23" s="11" t="n">
        <f aca="false">$AO23*IF(K$3&gt;=$AP23+$AQ23*Scenario_Control!$M$19,$AS23*(1+Assumptions!$D$9)/12*(1+Assumptions!$D$8)^(K$5-1)*IF($AQ23=1,Scenario_Control!$M$20,1),0)</f>
        <v>0</v>
      </c>
      <c r="L23" s="11" t="n">
        <f aca="false">$AO23*IF(L$3&gt;=$AP23+$AQ23*Scenario_Control!$M$19,$AS23*(1+Assumptions!$D$9)/12*(1+Assumptions!$D$8)^(L$5-1)*IF($AQ23=1,Scenario_Control!$M$20,1),0)</f>
        <v>0</v>
      </c>
      <c r="M23" s="11" t="n">
        <f aca="false">$AO23*IF(M$3&gt;=$AP23+$AQ23*Scenario_Control!$M$19,$AS23*(1+Assumptions!$D$9)/12*(1+Assumptions!$D$8)^(M$5-1)*IF($AQ23=1,Scenario_Control!$M$20,1),0)</f>
        <v>9500</v>
      </c>
      <c r="N23" s="11" t="n">
        <f aca="false">$AO23*IF(N$3&gt;=$AP23+$AQ23*Scenario_Control!$M$19,$AS23*(1+Assumptions!$D$9)/12*(1+Assumptions!$D$8)^(N$5-1)*IF($AQ23=1,Scenario_Control!$M$20,1),0)</f>
        <v>9500</v>
      </c>
      <c r="O23" s="11" t="n">
        <f aca="false">$AO23*IF(O$3&gt;=$AP23+$AQ23*Scenario_Control!$M$19,$AS23*(1+Assumptions!$D$9)/12*(1+Assumptions!$D$8)^(O$5-1)*IF($AQ23=1,Scenario_Control!$M$20,1),0)</f>
        <v>9500</v>
      </c>
      <c r="P23" s="11" t="n">
        <f aca="false">$AO23*IF(P$3&gt;=$AP23+$AQ23*Scenario_Control!$M$19,$AS23*(1+Assumptions!$D$9)/12*(1+Assumptions!$D$8)^(P$5-1)*IF($AQ23=1,Scenario_Control!$M$20,1),0)</f>
        <v>9785</v>
      </c>
      <c r="Q23" s="11" t="n">
        <f aca="false">$AO23*IF(Q$3&gt;=$AP23+$AQ23*Scenario_Control!$M$19,$AS23*(1+Assumptions!$D$9)/12*(1+Assumptions!$D$8)^(Q$5-1)*IF($AQ23=1,Scenario_Control!$M$20,1),0)</f>
        <v>9785</v>
      </c>
      <c r="R23" s="11" t="n">
        <f aca="false">$AO23*IF(R$3&gt;=$AP23+$AQ23*Scenario_Control!$M$19,$AS23*(1+Assumptions!$D$9)/12*(1+Assumptions!$D$8)^(R$5-1)*IF($AQ23=1,Scenario_Control!$M$20,1),0)</f>
        <v>9785</v>
      </c>
      <c r="S23" s="11" t="n">
        <f aca="false">$AO23*IF(S$3&gt;=$AP23+$AQ23*Scenario_Control!$M$19,$AS23*(1+Assumptions!$D$9)/12*(1+Assumptions!$D$8)^(S$5-1)*IF($AQ23=1,Scenario_Control!$M$20,1),0)</f>
        <v>9785</v>
      </c>
      <c r="T23" s="11" t="n">
        <f aca="false">$AO23*IF(T$3&gt;=$AP23+$AQ23*Scenario_Control!$M$19,$AS23*(1+Assumptions!$D$9)/12*(1+Assumptions!$D$8)^(T$5-1)*IF($AQ23=1,Scenario_Control!$M$20,1),0)</f>
        <v>9785</v>
      </c>
      <c r="U23" s="11" t="n">
        <f aca="false">$AO23*IF(U$3&gt;=$AP23+$AQ23*Scenario_Control!$M$19,$AS23*(1+Assumptions!$D$9)/12*(1+Assumptions!$D$8)^(U$5-1)*IF($AQ23=1,Scenario_Control!$M$20,1),0)</f>
        <v>9785</v>
      </c>
      <c r="V23" s="11" t="n">
        <f aca="false">$AO23*IF(V$3&gt;=$AP23+$AQ23*Scenario_Control!$M$19,$AS23*(1+Assumptions!$D$9)/12*(1+Assumptions!$D$8)^(V$5-1)*IF($AQ23=1,Scenario_Control!$M$20,1),0)</f>
        <v>9785</v>
      </c>
      <c r="W23" s="11" t="n">
        <f aca="false">$AO23*IF(W$3&gt;=$AP23+$AQ23*Scenario_Control!$M$19,$AS23*(1+Assumptions!$D$9)/12*(1+Assumptions!$D$8)^(W$5-1)*IF($AQ23=1,Scenario_Control!$M$20,1),0)</f>
        <v>9785</v>
      </c>
      <c r="X23" s="11" t="n">
        <f aca="false">$AO23*IF(X$3&gt;=$AP23+$AQ23*Scenario_Control!$M$19,$AS23*(1+Assumptions!$D$9)/12*(1+Assumptions!$D$8)^(X$5-1)*IF($AQ23=1,Scenario_Control!$M$20,1),0)</f>
        <v>9785</v>
      </c>
      <c r="Y23" s="11" t="n">
        <f aca="false">$AO23*IF(Y$3&gt;=$AP23+$AQ23*Scenario_Control!$M$19,$AS23*(1+Assumptions!$D$9)/12*(1+Assumptions!$D$8)^(Y$5-1)*IF($AQ23=1,Scenario_Control!$M$20,1),0)</f>
        <v>9785</v>
      </c>
      <c r="Z23" s="11" t="n">
        <f aca="false">$AO23*IF(Z$3&gt;=$AP23+$AQ23*Scenario_Control!$M$19,$AS23*(1+Assumptions!$D$9)/12*(1+Assumptions!$D$8)^(Z$5-1)*IF($AQ23=1,Scenario_Control!$M$20,1),0)</f>
        <v>9785</v>
      </c>
      <c r="AA23" s="11" t="n">
        <f aca="false">$AO23*IF(AA$3&gt;=$AP23+$AQ23*Scenario_Control!$M$19,$AS23*(1+Assumptions!$D$9)/12*(1+Assumptions!$D$8)^(AA$5-1)*IF($AQ23=1,Scenario_Control!$M$20,1),0)</f>
        <v>9785</v>
      </c>
      <c r="AB23" s="11" t="n">
        <f aca="false">$AO23*IF(AB$3&gt;=$AP23+$AQ23*Scenario_Control!$M$19,$AS23*(1+Assumptions!$D$9)/12*(1+Assumptions!$D$8)^(AB$5-1)*IF($AQ23=1,Scenario_Control!$M$20,1),0)</f>
        <v>10078.55</v>
      </c>
      <c r="AC23" s="11" t="n">
        <f aca="false">$AO23*IF(AC$3&gt;=$AP23+$AQ23*Scenario_Control!$M$19,$AS23*(1+Assumptions!$D$9)/12*(1+Assumptions!$D$8)^(AC$5-1)*IF($AQ23=1,Scenario_Control!$M$20,1),0)</f>
        <v>10078.55</v>
      </c>
      <c r="AD23" s="11" t="n">
        <f aca="false">$AO23*IF(AD$3&gt;=$AP23+$AQ23*Scenario_Control!$M$19,$AS23*(1+Assumptions!$D$9)/12*(1+Assumptions!$D$8)^(AD$5-1)*IF($AQ23=1,Scenario_Control!$M$20,1),0)</f>
        <v>10078.55</v>
      </c>
      <c r="AE23" s="11" t="n">
        <f aca="false">$AO23*IF(AE$3&gt;=$AP23+$AQ23*Scenario_Control!$M$19,$AS23*(1+Assumptions!$D$9)/12*(1+Assumptions!$D$8)^(AE$5-1)*IF($AQ23=1,Scenario_Control!$M$20,1),0)</f>
        <v>10078.55</v>
      </c>
      <c r="AF23" s="11" t="n">
        <f aca="false">$AO23*IF(AF$3&gt;=$AP23+$AQ23*Scenario_Control!$M$19,$AS23*(1+Assumptions!$D$9)/12*(1+Assumptions!$D$8)^(AF$5-1)*IF($AQ23=1,Scenario_Control!$M$20,1),0)</f>
        <v>10078.55</v>
      </c>
      <c r="AG23" s="11" t="n">
        <f aca="false">$AO23*IF(AG$3&gt;=$AP23+$AQ23*Scenario_Control!$M$19,$AS23*(1+Assumptions!$D$9)/12*(1+Assumptions!$D$8)^(AG$5-1)*IF($AQ23=1,Scenario_Control!$M$20,1),0)</f>
        <v>10078.55</v>
      </c>
      <c r="AH23" s="11" t="n">
        <f aca="false">$AO23*IF(AH$3&gt;=$AP23+$AQ23*Scenario_Control!$M$19,$AS23*(1+Assumptions!$D$9)/12*(1+Assumptions!$D$8)^(AH$5-1)*IF($AQ23=1,Scenario_Control!$M$20,1),0)</f>
        <v>10078.55</v>
      </c>
      <c r="AI23" s="11" t="n">
        <f aca="false">$AO23*IF(AI$3&gt;=$AP23+$AQ23*Scenario_Control!$M$19,$AS23*(1+Assumptions!$D$9)/12*(1+Assumptions!$D$8)^(AI$5-1)*IF($AQ23=1,Scenario_Control!$M$20,1),0)</f>
        <v>10078.55</v>
      </c>
      <c r="AJ23" s="11" t="n">
        <f aca="false">$AO23*IF(AJ$3&gt;=$AP23+$AQ23*Scenario_Control!$M$19,$AS23*(1+Assumptions!$D$9)/12*(1+Assumptions!$D$8)^(AJ$5-1)*IF($AQ23=1,Scenario_Control!$M$20,1),0)</f>
        <v>10078.55</v>
      </c>
      <c r="AK23" s="11" t="n">
        <f aca="false">$AO23*IF(AK$3&gt;=$AP23+$AQ23*Scenario_Control!$M$19,$AS23*(1+Assumptions!$D$9)/12*(1+Assumptions!$D$8)^(AK$5-1)*IF($AQ23=1,Scenario_Control!$M$20,1),0)</f>
        <v>10078.55</v>
      </c>
      <c r="AL23" s="11" t="n">
        <f aca="false">$AO23*IF(AL$3&gt;=$AP23+$AQ23*Scenario_Control!$M$19,$AS23*(1+Assumptions!$D$9)/12*(1+Assumptions!$D$8)^(AL$5-1)*IF($AQ23=1,Scenario_Control!$M$20,1),0)</f>
        <v>10078.55</v>
      </c>
      <c r="AM23" s="11" t="n">
        <f aca="false">$AO23*IF(AM$3&gt;=$AP23+$AQ23*Scenario_Control!$M$19,$AS23*(1+Assumptions!$D$9)/12*(1+Assumptions!$D$8)^(AM$5-1)*IF($AQ23=1,Scenario_Control!$M$20,1),0)</f>
        <v>10078.55</v>
      </c>
      <c r="AO23" s="58" t="n">
        <v>1</v>
      </c>
      <c r="AP23" s="58" t="n">
        <v>10</v>
      </c>
      <c r="AQ23" s="58" t="n">
        <v>0</v>
      </c>
      <c r="AR23" s="58" t="n">
        <v>1</v>
      </c>
      <c r="AS23" s="30" t="n">
        <v>95000</v>
      </c>
      <c r="AT23" s="58" t="s">
        <v>976</v>
      </c>
      <c r="AU23" s="58" t="s">
        <v>956</v>
      </c>
      <c r="AV23" s="58" t="s">
        <v>956</v>
      </c>
      <c r="AW23" s="58" t="n">
        <f aca="false">AP23+AQ23*Scenario_Control!$M$19</f>
        <v>10</v>
      </c>
    </row>
    <row r="24" customFormat="false" ht="15" hidden="false" customHeight="true" outlineLevel="0" collapsed="false">
      <c r="A24" s="5" t="s">
        <v>977</v>
      </c>
      <c r="B24" s="10" t="s">
        <v>82</v>
      </c>
      <c r="C24" s="12" t="n">
        <f aca="false">SUM(D24:AM24)</f>
        <v>393271.2</v>
      </c>
      <c r="D24" s="11" t="n">
        <f aca="false">$AO24*IF(D$3&gt;=$AP24+$AQ24*Scenario_Control!$M$19,$AS24*(1+Assumptions!$D$9)/12*(1+Assumptions!$D$8)^(D$5-1)*IF($AQ24=1,Scenario_Control!$M$20,1),0)</f>
        <v>0</v>
      </c>
      <c r="E24" s="11" t="n">
        <f aca="false">$AO24*IF(E$3&gt;=$AP24+$AQ24*Scenario_Control!$M$19,$AS24*(1+Assumptions!$D$9)/12*(1+Assumptions!$D$8)^(E$5-1)*IF($AQ24=1,Scenario_Control!$M$20,1),0)</f>
        <v>0</v>
      </c>
      <c r="F24" s="11" t="n">
        <f aca="false">$AO24*IF(F$3&gt;=$AP24+$AQ24*Scenario_Control!$M$19,$AS24*(1+Assumptions!$D$9)/12*(1+Assumptions!$D$8)^(F$5-1)*IF($AQ24=1,Scenario_Control!$M$20,1),0)</f>
        <v>0</v>
      </c>
      <c r="G24" s="11" t="n">
        <f aca="false">$AO24*IF(G$3&gt;=$AP24+$AQ24*Scenario_Control!$M$19,$AS24*(1+Assumptions!$D$9)/12*(1+Assumptions!$D$8)^(G$5-1)*IF($AQ24=1,Scenario_Control!$M$20,1),0)</f>
        <v>0</v>
      </c>
      <c r="H24" s="11" t="n">
        <f aca="false">$AO24*IF(H$3&gt;=$AP24+$AQ24*Scenario_Control!$M$19,$AS24*(1+Assumptions!$D$9)/12*(1+Assumptions!$D$8)^(H$5-1)*IF($AQ24=1,Scenario_Control!$M$20,1),0)</f>
        <v>0</v>
      </c>
      <c r="I24" s="11" t="n">
        <f aca="false">$AO24*IF(I$3&gt;=$AP24+$AQ24*Scenario_Control!$M$19,$AS24*(1+Assumptions!$D$9)/12*(1+Assumptions!$D$8)^(I$5-1)*IF($AQ24=1,Scenario_Control!$M$20,1),0)</f>
        <v>0</v>
      </c>
      <c r="J24" s="11" t="n">
        <f aca="false">$AO24*IF(J$3&gt;=$AP24+$AQ24*Scenario_Control!$M$19,$AS24*(1+Assumptions!$D$9)/12*(1+Assumptions!$D$8)^(J$5-1)*IF($AQ24=1,Scenario_Control!$M$20,1),0)</f>
        <v>0</v>
      </c>
      <c r="K24" s="11" t="n">
        <f aca="false">$AO24*IF(K$3&gt;=$AP24+$AQ24*Scenario_Control!$M$19,$AS24*(1+Assumptions!$D$9)/12*(1+Assumptions!$D$8)^(K$5-1)*IF($AQ24=1,Scenario_Control!$M$20,1),0)</f>
        <v>0</v>
      </c>
      <c r="L24" s="11" t="n">
        <f aca="false">$AO24*IF(L$3&gt;=$AP24+$AQ24*Scenario_Control!$M$19,$AS24*(1+Assumptions!$D$9)/12*(1+Assumptions!$D$8)^(L$5-1)*IF($AQ24=1,Scenario_Control!$M$20,1),0)</f>
        <v>0</v>
      </c>
      <c r="M24" s="11" t="n">
        <f aca="false">$AO24*IF(M$3&gt;=$AP24+$AQ24*Scenario_Control!$M$19,$AS24*(1+Assumptions!$D$9)/12*(1+Assumptions!$D$8)^(M$5-1)*IF($AQ24=1,Scenario_Control!$M$20,1),0)</f>
        <v>14000</v>
      </c>
      <c r="N24" s="11" t="n">
        <f aca="false">$AO24*IF(N$3&gt;=$AP24+$AQ24*Scenario_Control!$M$19,$AS24*(1+Assumptions!$D$9)/12*(1+Assumptions!$D$8)^(N$5-1)*IF($AQ24=1,Scenario_Control!$M$20,1),0)</f>
        <v>14000</v>
      </c>
      <c r="O24" s="11" t="n">
        <f aca="false">$AO24*IF(O$3&gt;=$AP24+$AQ24*Scenario_Control!$M$19,$AS24*(1+Assumptions!$D$9)/12*(1+Assumptions!$D$8)^(O$5-1)*IF($AQ24=1,Scenario_Control!$M$20,1),0)</f>
        <v>14000</v>
      </c>
      <c r="P24" s="11" t="n">
        <f aca="false">$AO24*IF(P$3&gt;=$AP24+$AQ24*Scenario_Control!$M$19,$AS24*(1+Assumptions!$D$9)/12*(1+Assumptions!$D$8)^(P$5-1)*IF($AQ24=1,Scenario_Control!$M$20,1),0)</f>
        <v>14420</v>
      </c>
      <c r="Q24" s="11" t="n">
        <f aca="false">$AO24*IF(Q$3&gt;=$AP24+$AQ24*Scenario_Control!$M$19,$AS24*(1+Assumptions!$D$9)/12*(1+Assumptions!$D$8)^(Q$5-1)*IF($AQ24=1,Scenario_Control!$M$20,1),0)</f>
        <v>14420</v>
      </c>
      <c r="R24" s="11" t="n">
        <f aca="false">$AO24*IF(R$3&gt;=$AP24+$AQ24*Scenario_Control!$M$19,$AS24*(1+Assumptions!$D$9)/12*(1+Assumptions!$D$8)^(R$5-1)*IF($AQ24=1,Scenario_Control!$M$20,1),0)</f>
        <v>14420</v>
      </c>
      <c r="S24" s="11" t="n">
        <f aca="false">$AO24*IF(S$3&gt;=$AP24+$AQ24*Scenario_Control!$M$19,$AS24*(1+Assumptions!$D$9)/12*(1+Assumptions!$D$8)^(S$5-1)*IF($AQ24=1,Scenario_Control!$M$20,1),0)</f>
        <v>14420</v>
      </c>
      <c r="T24" s="11" t="n">
        <f aca="false">$AO24*IF(T$3&gt;=$AP24+$AQ24*Scenario_Control!$M$19,$AS24*(1+Assumptions!$D$9)/12*(1+Assumptions!$D$8)^(T$5-1)*IF($AQ24=1,Scenario_Control!$M$20,1),0)</f>
        <v>14420</v>
      </c>
      <c r="U24" s="11" t="n">
        <f aca="false">$AO24*IF(U$3&gt;=$AP24+$AQ24*Scenario_Control!$M$19,$AS24*(1+Assumptions!$D$9)/12*(1+Assumptions!$D$8)^(U$5-1)*IF($AQ24=1,Scenario_Control!$M$20,1),0)</f>
        <v>14420</v>
      </c>
      <c r="V24" s="11" t="n">
        <f aca="false">$AO24*IF(V$3&gt;=$AP24+$AQ24*Scenario_Control!$M$19,$AS24*(1+Assumptions!$D$9)/12*(1+Assumptions!$D$8)^(V$5-1)*IF($AQ24=1,Scenario_Control!$M$20,1),0)</f>
        <v>14420</v>
      </c>
      <c r="W24" s="11" t="n">
        <f aca="false">$AO24*IF(W$3&gt;=$AP24+$AQ24*Scenario_Control!$M$19,$AS24*(1+Assumptions!$D$9)/12*(1+Assumptions!$D$8)^(W$5-1)*IF($AQ24=1,Scenario_Control!$M$20,1),0)</f>
        <v>14420</v>
      </c>
      <c r="X24" s="11" t="n">
        <f aca="false">$AO24*IF(X$3&gt;=$AP24+$AQ24*Scenario_Control!$M$19,$AS24*(1+Assumptions!$D$9)/12*(1+Assumptions!$D$8)^(X$5-1)*IF($AQ24=1,Scenario_Control!$M$20,1),0)</f>
        <v>14420</v>
      </c>
      <c r="Y24" s="11" t="n">
        <f aca="false">$AO24*IF(Y$3&gt;=$AP24+$AQ24*Scenario_Control!$M$19,$AS24*(1+Assumptions!$D$9)/12*(1+Assumptions!$D$8)^(Y$5-1)*IF($AQ24=1,Scenario_Control!$M$20,1),0)</f>
        <v>14420</v>
      </c>
      <c r="Z24" s="11" t="n">
        <f aca="false">$AO24*IF(Z$3&gt;=$AP24+$AQ24*Scenario_Control!$M$19,$AS24*(1+Assumptions!$D$9)/12*(1+Assumptions!$D$8)^(Z$5-1)*IF($AQ24=1,Scenario_Control!$M$20,1),0)</f>
        <v>14420</v>
      </c>
      <c r="AA24" s="11" t="n">
        <f aca="false">$AO24*IF(AA$3&gt;=$AP24+$AQ24*Scenario_Control!$M$19,$AS24*(1+Assumptions!$D$9)/12*(1+Assumptions!$D$8)^(AA$5-1)*IF($AQ24=1,Scenario_Control!$M$20,1),0)</f>
        <v>14420</v>
      </c>
      <c r="AB24" s="11" t="n">
        <f aca="false">$AO24*IF(AB$3&gt;=$AP24+$AQ24*Scenario_Control!$M$19,$AS24*(1+Assumptions!$D$9)/12*(1+Assumptions!$D$8)^(AB$5-1)*IF($AQ24=1,Scenario_Control!$M$20,1),0)</f>
        <v>14852.6</v>
      </c>
      <c r="AC24" s="11" t="n">
        <f aca="false">$AO24*IF(AC$3&gt;=$AP24+$AQ24*Scenario_Control!$M$19,$AS24*(1+Assumptions!$D$9)/12*(1+Assumptions!$D$8)^(AC$5-1)*IF($AQ24=1,Scenario_Control!$M$20,1),0)</f>
        <v>14852.6</v>
      </c>
      <c r="AD24" s="11" t="n">
        <f aca="false">$AO24*IF(AD$3&gt;=$AP24+$AQ24*Scenario_Control!$M$19,$AS24*(1+Assumptions!$D$9)/12*(1+Assumptions!$D$8)^(AD$5-1)*IF($AQ24=1,Scenario_Control!$M$20,1),0)</f>
        <v>14852.6</v>
      </c>
      <c r="AE24" s="11" t="n">
        <f aca="false">$AO24*IF(AE$3&gt;=$AP24+$AQ24*Scenario_Control!$M$19,$AS24*(1+Assumptions!$D$9)/12*(1+Assumptions!$D$8)^(AE$5-1)*IF($AQ24=1,Scenario_Control!$M$20,1),0)</f>
        <v>14852.6</v>
      </c>
      <c r="AF24" s="11" t="n">
        <f aca="false">$AO24*IF(AF$3&gt;=$AP24+$AQ24*Scenario_Control!$M$19,$AS24*(1+Assumptions!$D$9)/12*(1+Assumptions!$D$8)^(AF$5-1)*IF($AQ24=1,Scenario_Control!$M$20,1),0)</f>
        <v>14852.6</v>
      </c>
      <c r="AG24" s="11" t="n">
        <f aca="false">$AO24*IF(AG$3&gt;=$AP24+$AQ24*Scenario_Control!$M$19,$AS24*(1+Assumptions!$D$9)/12*(1+Assumptions!$D$8)^(AG$5-1)*IF($AQ24=1,Scenario_Control!$M$20,1),0)</f>
        <v>14852.6</v>
      </c>
      <c r="AH24" s="11" t="n">
        <f aca="false">$AO24*IF(AH$3&gt;=$AP24+$AQ24*Scenario_Control!$M$19,$AS24*(1+Assumptions!$D$9)/12*(1+Assumptions!$D$8)^(AH$5-1)*IF($AQ24=1,Scenario_Control!$M$20,1),0)</f>
        <v>14852.6</v>
      </c>
      <c r="AI24" s="11" t="n">
        <f aca="false">$AO24*IF(AI$3&gt;=$AP24+$AQ24*Scenario_Control!$M$19,$AS24*(1+Assumptions!$D$9)/12*(1+Assumptions!$D$8)^(AI$5-1)*IF($AQ24=1,Scenario_Control!$M$20,1),0)</f>
        <v>14852.6</v>
      </c>
      <c r="AJ24" s="11" t="n">
        <f aca="false">$AO24*IF(AJ$3&gt;=$AP24+$AQ24*Scenario_Control!$M$19,$AS24*(1+Assumptions!$D$9)/12*(1+Assumptions!$D$8)^(AJ$5-1)*IF($AQ24=1,Scenario_Control!$M$20,1),0)</f>
        <v>14852.6</v>
      </c>
      <c r="AK24" s="11" t="n">
        <f aca="false">$AO24*IF(AK$3&gt;=$AP24+$AQ24*Scenario_Control!$M$19,$AS24*(1+Assumptions!$D$9)/12*(1+Assumptions!$D$8)^(AK$5-1)*IF($AQ24=1,Scenario_Control!$M$20,1),0)</f>
        <v>14852.6</v>
      </c>
      <c r="AL24" s="11" t="n">
        <f aca="false">$AO24*IF(AL$3&gt;=$AP24+$AQ24*Scenario_Control!$M$19,$AS24*(1+Assumptions!$D$9)/12*(1+Assumptions!$D$8)^(AL$5-1)*IF($AQ24=1,Scenario_Control!$M$20,1),0)</f>
        <v>14852.6</v>
      </c>
      <c r="AM24" s="11" t="n">
        <f aca="false">$AO24*IF(AM$3&gt;=$AP24+$AQ24*Scenario_Control!$M$19,$AS24*(1+Assumptions!$D$9)/12*(1+Assumptions!$D$8)^(AM$5-1)*IF($AQ24=1,Scenario_Control!$M$20,1),0)</f>
        <v>14852.6</v>
      </c>
      <c r="AO24" s="58" t="n">
        <v>1</v>
      </c>
      <c r="AP24" s="58" t="n">
        <v>10</v>
      </c>
      <c r="AQ24" s="58" t="n">
        <v>1</v>
      </c>
      <c r="AR24" s="58" t="n">
        <v>1</v>
      </c>
      <c r="AS24" s="30" t="n">
        <v>140000</v>
      </c>
      <c r="AT24" s="58" t="s">
        <v>82</v>
      </c>
      <c r="AU24" s="58" t="s">
        <v>956</v>
      </c>
      <c r="AV24" s="58" t="s">
        <v>966</v>
      </c>
      <c r="AW24" s="58" t="n">
        <f aca="false">AP24+AQ24*Scenario_Control!$M$19</f>
        <v>10</v>
      </c>
    </row>
    <row r="25" customFormat="false" ht="15" hidden="false" customHeight="true" outlineLevel="0" collapsed="false">
      <c r="A25" s="5" t="s">
        <v>978</v>
      </c>
      <c r="B25" s="10" t="s">
        <v>964</v>
      </c>
      <c r="C25" s="12" t="n">
        <f aca="false">SUM(D25:AM25)</f>
        <v>379271.2</v>
      </c>
      <c r="D25" s="11" t="n">
        <f aca="false">$AO25*IF(D$3&gt;=$AP25+$AQ25*Scenario_Control!$M$19,$AS25*(1+Assumptions!$D$9)/12*(1+Assumptions!$D$8)^(D$5-1)*IF($AQ25=1,Scenario_Control!$M$20,1),0)</f>
        <v>0</v>
      </c>
      <c r="E25" s="11" t="n">
        <f aca="false">$AO25*IF(E$3&gt;=$AP25+$AQ25*Scenario_Control!$M$19,$AS25*(1+Assumptions!$D$9)/12*(1+Assumptions!$D$8)^(E$5-1)*IF($AQ25=1,Scenario_Control!$M$20,1),0)</f>
        <v>0</v>
      </c>
      <c r="F25" s="11" t="n">
        <f aca="false">$AO25*IF(F$3&gt;=$AP25+$AQ25*Scenario_Control!$M$19,$AS25*(1+Assumptions!$D$9)/12*(1+Assumptions!$D$8)^(F$5-1)*IF($AQ25=1,Scenario_Control!$M$20,1),0)</f>
        <v>0</v>
      </c>
      <c r="G25" s="11" t="n">
        <f aca="false">$AO25*IF(G$3&gt;=$AP25+$AQ25*Scenario_Control!$M$19,$AS25*(1+Assumptions!$D$9)/12*(1+Assumptions!$D$8)^(G$5-1)*IF($AQ25=1,Scenario_Control!$M$20,1),0)</f>
        <v>0</v>
      </c>
      <c r="H25" s="11" t="n">
        <f aca="false">$AO25*IF(H$3&gt;=$AP25+$AQ25*Scenario_Control!$M$19,$AS25*(1+Assumptions!$D$9)/12*(1+Assumptions!$D$8)^(H$5-1)*IF($AQ25=1,Scenario_Control!$M$20,1),0)</f>
        <v>0</v>
      </c>
      <c r="I25" s="11" t="n">
        <f aca="false">$AO25*IF(I$3&gt;=$AP25+$AQ25*Scenario_Control!$M$19,$AS25*(1+Assumptions!$D$9)/12*(1+Assumptions!$D$8)^(I$5-1)*IF($AQ25=1,Scenario_Control!$M$20,1),0)</f>
        <v>0</v>
      </c>
      <c r="J25" s="11" t="n">
        <f aca="false">$AO25*IF(J$3&gt;=$AP25+$AQ25*Scenario_Control!$M$19,$AS25*(1+Assumptions!$D$9)/12*(1+Assumptions!$D$8)^(J$5-1)*IF($AQ25=1,Scenario_Control!$M$20,1),0)</f>
        <v>0</v>
      </c>
      <c r="K25" s="11" t="n">
        <f aca="false">$AO25*IF(K$3&gt;=$AP25+$AQ25*Scenario_Control!$M$19,$AS25*(1+Assumptions!$D$9)/12*(1+Assumptions!$D$8)^(K$5-1)*IF($AQ25=1,Scenario_Control!$M$20,1),0)</f>
        <v>0</v>
      </c>
      <c r="L25" s="11" t="n">
        <f aca="false">$AO25*IF(L$3&gt;=$AP25+$AQ25*Scenario_Control!$M$19,$AS25*(1+Assumptions!$D$9)/12*(1+Assumptions!$D$8)^(L$5-1)*IF($AQ25=1,Scenario_Control!$M$20,1),0)</f>
        <v>0</v>
      </c>
      <c r="M25" s="11" t="n">
        <f aca="false">$AO25*IF(M$3&gt;=$AP25+$AQ25*Scenario_Control!$M$19,$AS25*(1+Assumptions!$D$9)/12*(1+Assumptions!$D$8)^(M$5-1)*IF($AQ25=1,Scenario_Control!$M$20,1),0)</f>
        <v>0</v>
      </c>
      <c r="N25" s="11" t="n">
        <f aca="false">$AO25*IF(N$3&gt;=$AP25+$AQ25*Scenario_Control!$M$19,$AS25*(1+Assumptions!$D$9)/12*(1+Assumptions!$D$8)^(N$5-1)*IF($AQ25=1,Scenario_Control!$M$20,1),0)</f>
        <v>14000</v>
      </c>
      <c r="O25" s="11" t="n">
        <f aca="false">$AO25*IF(O$3&gt;=$AP25+$AQ25*Scenario_Control!$M$19,$AS25*(1+Assumptions!$D$9)/12*(1+Assumptions!$D$8)^(O$5-1)*IF($AQ25=1,Scenario_Control!$M$20,1),0)</f>
        <v>14000</v>
      </c>
      <c r="P25" s="11" t="n">
        <f aca="false">$AO25*IF(P$3&gt;=$AP25+$AQ25*Scenario_Control!$M$19,$AS25*(1+Assumptions!$D$9)/12*(1+Assumptions!$D$8)^(P$5-1)*IF($AQ25=1,Scenario_Control!$M$20,1),0)</f>
        <v>14420</v>
      </c>
      <c r="Q25" s="11" t="n">
        <f aca="false">$AO25*IF(Q$3&gt;=$AP25+$AQ25*Scenario_Control!$M$19,$AS25*(1+Assumptions!$D$9)/12*(1+Assumptions!$D$8)^(Q$5-1)*IF($AQ25=1,Scenario_Control!$M$20,1),0)</f>
        <v>14420</v>
      </c>
      <c r="R25" s="11" t="n">
        <f aca="false">$AO25*IF(R$3&gt;=$AP25+$AQ25*Scenario_Control!$M$19,$AS25*(1+Assumptions!$D$9)/12*(1+Assumptions!$D$8)^(R$5-1)*IF($AQ25=1,Scenario_Control!$M$20,1),0)</f>
        <v>14420</v>
      </c>
      <c r="S25" s="11" t="n">
        <f aca="false">$AO25*IF(S$3&gt;=$AP25+$AQ25*Scenario_Control!$M$19,$AS25*(1+Assumptions!$D$9)/12*(1+Assumptions!$D$8)^(S$5-1)*IF($AQ25=1,Scenario_Control!$M$20,1),0)</f>
        <v>14420</v>
      </c>
      <c r="T25" s="11" t="n">
        <f aca="false">$AO25*IF(T$3&gt;=$AP25+$AQ25*Scenario_Control!$M$19,$AS25*(1+Assumptions!$D$9)/12*(1+Assumptions!$D$8)^(T$5-1)*IF($AQ25=1,Scenario_Control!$M$20,1),0)</f>
        <v>14420</v>
      </c>
      <c r="U25" s="11" t="n">
        <f aca="false">$AO25*IF(U$3&gt;=$AP25+$AQ25*Scenario_Control!$M$19,$AS25*(1+Assumptions!$D$9)/12*(1+Assumptions!$D$8)^(U$5-1)*IF($AQ25=1,Scenario_Control!$M$20,1),0)</f>
        <v>14420</v>
      </c>
      <c r="V25" s="11" t="n">
        <f aca="false">$AO25*IF(V$3&gt;=$AP25+$AQ25*Scenario_Control!$M$19,$AS25*(1+Assumptions!$D$9)/12*(1+Assumptions!$D$8)^(V$5-1)*IF($AQ25=1,Scenario_Control!$M$20,1),0)</f>
        <v>14420</v>
      </c>
      <c r="W25" s="11" t="n">
        <f aca="false">$AO25*IF(W$3&gt;=$AP25+$AQ25*Scenario_Control!$M$19,$AS25*(1+Assumptions!$D$9)/12*(1+Assumptions!$D$8)^(W$5-1)*IF($AQ25=1,Scenario_Control!$M$20,1),0)</f>
        <v>14420</v>
      </c>
      <c r="X25" s="11" t="n">
        <f aca="false">$AO25*IF(X$3&gt;=$AP25+$AQ25*Scenario_Control!$M$19,$AS25*(1+Assumptions!$D$9)/12*(1+Assumptions!$D$8)^(X$5-1)*IF($AQ25=1,Scenario_Control!$M$20,1),0)</f>
        <v>14420</v>
      </c>
      <c r="Y25" s="11" t="n">
        <f aca="false">$AO25*IF(Y$3&gt;=$AP25+$AQ25*Scenario_Control!$M$19,$AS25*(1+Assumptions!$D$9)/12*(1+Assumptions!$D$8)^(Y$5-1)*IF($AQ25=1,Scenario_Control!$M$20,1),0)</f>
        <v>14420</v>
      </c>
      <c r="Z25" s="11" t="n">
        <f aca="false">$AO25*IF(Z$3&gt;=$AP25+$AQ25*Scenario_Control!$M$19,$AS25*(1+Assumptions!$D$9)/12*(1+Assumptions!$D$8)^(Z$5-1)*IF($AQ25=1,Scenario_Control!$M$20,1),0)</f>
        <v>14420</v>
      </c>
      <c r="AA25" s="11" t="n">
        <f aca="false">$AO25*IF(AA$3&gt;=$AP25+$AQ25*Scenario_Control!$M$19,$AS25*(1+Assumptions!$D$9)/12*(1+Assumptions!$D$8)^(AA$5-1)*IF($AQ25=1,Scenario_Control!$M$20,1),0)</f>
        <v>14420</v>
      </c>
      <c r="AB25" s="11" t="n">
        <f aca="false">$AO25*IF(AB$3&gt;=$AP25+$AQ25*Scenario_Control!$M$19,$AS25*(1+Assumptions!$D$9)/12*(1+Assumptions!$D$8)^(AB$5-1)*IF($AQ25=1,Scenario_Control!$M$20,1),0)</f>
        <v>14852.6</v>
      </c>
      <c r="AC25" s="11" t="n">
        <f aca="false">$AO25*IF(AC$3&gt;=$AP25+$AQ25*Scenario_Control!$M$19,$AS25*(1+Assumptions!$D$9)/12*(1+Assumptions!$D$8)^(AC$5-1)*IF($AQ25=1,Scenario_Control!$M$20,1),0)</f>
        <v>14852.6</v>
      </c>
      <c r="AD25" s="11" t="n">
        <f aca="false">$AO25*IF(AD$3&gt;=$AP25+$AQ25*Scenario_Control!$M$19,$AS25*(1+Assumptions!$D$9)/12*(1+Assumptions!$D$8)^(AD$5-1)*IF($AQ25=1,Scenario_Control!$M$20,1),0)</f>
        <v>14852.6</v>
      </c>
      <c r="AE25" s="11" t="n">
        <f aca="false">$AO25*IF(AE$3&gt;=$AP25+$AQ25*Scenario_Control!$M$19,$AS25*(1+Assumptions!$D$9)/12*(1+Assumptions!$D$8)^(AE$5-1)*IF($AQ25=1,Scenario_Control!$M$20,1),0)</f>
        <v>14852.6</v>
      </c>
      <c r="AF25" s="11" t="n">
        <f aca="false">$AO25*IF(AF$3&gt;=$AP25+$AQ25*Scenario_Control!$M$19,$AS25*(1+Assumptions!$D$9)/12*(1+Assumptions!$D$8)^(AF$5-1)*IF($AQ25=1,Scenario_Control!$M$20,1),0)</f>
        <v>14852.6</v>
      </c>
      <c r="AG25" s="11" t="n">
        <f aca="false">$AO25*IF(AG$3&gt;=$AP25+$AQ25*Scenario_Control!$M$19,$AS25*(1+Assumptions!$D$9)/12*(1+Assumptions!$D$8)^(AG$5-1)*IF($AQ25=1,Scenario_Control!$M$20,1),0)</f>
        <v>14852.6</v>
      </c>
      <c r="AH25" s="11" t="n">
        <f aca="false">$AO25*IF(AH$3&gt;=$AP25+$AQ25*Scenario_Control!$M$19,$AS25*(1+Assumptions!$D$9)/12*(1+Assumptions!$D$8)^(AH$5-1)*IF($AQ25=1,Scenario_Control!$M$20,1),0)</f>
        <v>14852.6</v>
      </c>
      <c r="AI25" s="11" t="n">
        <f aca="false">$AO25*IF(AI$3&gt;=$AP25+$AQ25*Scenario_Control!$M$19,$AS25*(1+Assumptions!$D$9)/12*(1+Assumptions!$D$8)^(AI$5-1)*IF($AQ25=1,Scenario_Control!$M$20,1),0)</f>
        <v>14852.6</v>
      </c>
      <c r="AJ25" s="11" t="n">
        <f aca="false">$AO25*IF(AJ$3&gt;=$AP25+$AQ25*Scenario_Control!$M$19,$AS25*(1+Assumptions!$D$9)/12*(1+Assumptions!$D$8)^(AJ$5-1)*IF($AQ25=1,Scenario_Control!$M$20,1),0)</f>
        <v>14852.6</v>
      </c>
      <c r="AK25" s="11" t="n">
        <f aca="false">$AO25*IF(AK$3&gt;=$AP25+$AQ25*Scenario_Control!$M$19,$AS25*(1+Assumptions!$D$9)/12*(1+Assumptions!$D$8)^(AK$5-1)*IF($AQ25=1,Scenario_Control!$M$20,1),0)</f>
        <v>14852.6</v>
      </c>
      <c r="AL25" s="11" t="n">
        <f aca="false">$AO25*IF(AL$3&gt;=$AP25+$AQ25*Scenario_Control!$M$19,$AS25*(1+Assumptions!$D$9)/12*(1+Assumptions!$D$8)^(AL$5-1)*IF($AQ25=1,Scenario_Control!$M$20,1),0)</f>
        <v>14852.6</v>
      </c>
      <c r="AM25" s="11" t="n">
        <f aca="false">$AO25*IF(AM$3&gt;=$AP25+$AQ25*Scenario_Control!$M$19,$AS25*(1+Assumptions!$D$9)/12*(1+Assumptions!$D$8)^(AM$5-1)*IF($AQ25=1,Scenario_Control!$M$20,1),0)</f>
        <v>14852.6</v>
      </c>
      <c r="AO25" s="58" t="n">
        <v>1</v>
      </c>
      <c r="AP25" s="58" t="n">
        <v>11</v>
      </c>
      <c r="AQ25" s="58" t="n">
        <v>1</v>
      </c>
      <c r="AR25" s="58" t="n">
        <v>1</v>
      </c>
      <c r="AS25" s="30" t="n">
        <v>140000</v>
      </c>
      <c r="AT25" s="58" t="s">
        <v>964</v>
      </c>
      <c r="AU25" s="58" t="s">
        <v>968</v>
      </c>
      <c r="AV25" s="58" t="s">
        <v>979</v>
      </c>
      <c r="AW25" s="58" t="n">
        <f aca="false">AP25+AQ25*Scenario_Control!$M$19</f>
        <v>11</v>
      </c>
    </row>
    <row r="26" customFormat="false" ht="15" hidden="false" customHeight="true" outlineLevel="0" collapsed="false">
      <c r="A26" s="5" t="s">
        <v>980</v>
      </c>
      <c r="B26" s="10" t="s">
        <v>976</v>
      </c>
      <c r="C26" s="12" t="n">
        <f aca="false">SUM(D26:AM26)</f>
        <v>311544.2</v>
      </c>
      <c r="D26" s="11" t="n">
        <f aca="false">$AO26*IF(D$3&gt;=$AP26+$AQ26*Scenario_Control!$M$19,$AS26*(1+Assumptions!$D$9)/12*(1+Assumptions!$D$8)^(D$5-1)*IF($AQ26=1,Scenario_Control!$M$20,1),0)</f>
        <v>0</v>
      </c>
      <c r="E26" s="11" t="n">
        <f aca="false">$AO26*IF(E$3&gt;=$AP26+$AQ26*Scenario_Control!$M$19,$AS26*(1+Assumptions!$D$9)/12*(1+Assumptions!$D$8)^(E$5-1)*IF($AQ26=1,Scenario_Control!$M$20,1),0)</f>
        <v>0</v>
      </c>
      <c r="F26" s="11" t="n">
        <f aca="false">$AO26*IF(F$3&gt;=$AP26+$AQ26*Scenario_Control!$M$19,$AS26*(1+Assumptions!$D$9)/12*(1+Assumptions!$D$8)^(F$5-1)*IF($AQ26=1,Scenario_Control!$M$20,1),0)</f>
        <v>0</v>
      </c>
      <c r="G26" s="11" t="n">
        <f aca="false">$AO26*IF(G$3&gt;=$AP26+$AQ26*Scenario_Control!$M$19,$AS26*(1+Assumptions!$D$9)/12*(1+Assumptions!$D$8)^(G$5-1)*IF($AQ26=1,Scenario_Control!$M$20,1),0)</f>
        <v>0</v>
      </c>
      <c r="H26" s="11" t="n">
        <f aca="false">$AO26*IF(H$3&gt;=$AP26+$AQ26*Scenario_Control!$M$19,$AS26*(1+Assumptions!$D$9)/12*(1+Assumptions!$D$8)^(H$5-1)*IF($AQ26=1,Scenario_Control!$M$20,1),0)</f>
        <v>0</v>
      </c>
      <c r="I26" s="11" t="n">
        <f aca="false">$AO26*IF(I$3&gt;=$AP26+$AQ26*Scenario_Control!$M$19,$AS26*(1+Assumptions!$D$9)/12*(1+Assumptions!$D$8)^(I$5-1)*IF($AQ26=1,Scenario_Control!$M$20,1),0)</f>
        <v>0</v>
      </c>
      <c r="J26" s="11" t="n">
        <f aca="false">$AO26*IF(J$3&gt;=$AP26+$AQ26*Scenario_Control!$M$19,$AS26*(1+Assumptions!$D$9)/12*(1+Assumptions!$D$8)^(J$5-1)*IF($AQ26=1,Scenario_Control!$M$20,1),0)</f>
        <v>0</v>
      </c>
      <c r="K26" s="11" t="n">
        <f aca="false">$AO26*IF(K$3&gt;=$AP26+$AQ26*Scenario_Control!$M$19,$AS26*(1+Assumptions!$D$9)/12*(1+Assumptions!$D$8)^(K$5-1)*IF($AQ26=1,Scenario_Control!$M$20,1),0)</f>
        <v>0</v>
      </c>
      <c r="L26" s="11" t="n">
        <f aca="false">$AO26*IF(L$3&gt;=$AP26+$AQ26*Scenario_Control!$M$19,$AS26*(1+Assumptions!$D$9)/12*(1+Assumptions!$D$8)^(L$5-1)*IF($AQ26=1,Scenario_Control!$M$20,1),0)</f>
        <v>0</v>
      </c>
      <c r="M26" s="11" t="n">
        <f aca="false">$AO26*IF(M$3&gt;=$AP26+$AQ26*Scenario_Control!$M$19,$AS26*(1+Assumptions!$D$9)/12*(1+Assumptions!$D$8)^(M$5-1)*IF($AQ26=1,Scenario_Control!$M$20,1),0)</f>
        <v>0</v>
      </c>
      <c r="N26" s="11" t="n">
        <f aca="false">$AO26*IF(N$3&gt;=$AP26+$AQ26*Scenario_Control!$M$19,$AS26*(1+Assumptions!$D$9)/12*(1+Assumptions!$D$8)^(N$5-1)*IF($AQ26=1,Scenario_Control!$M$20,1),0)</f>
        <v>11500</v>
      </c>
      <c r="O26" s="11" t="n">
        <f aca="false">$AO26*IF(O$3&gt;=$AP26+$AQ26*Scenario_Control!$M$19,$AS26*(1+Assumptions!$D$9)/12*(1+Assumptions!$D$8)^(O$5-1)*IF($AQ26=1,Scenario_Control!$M$20,1),0)</f>
        <v>11500</v>
      </c>
      <c r="P26" s="11" t="n">
        <f aca="false">$AO26*IF(P$3&gt;=$AP26+$AQ26*Scenario_Control!$M$19,$AS26*(1+Assumptions!$D$9)/12*(1+Assumptions!$D$8)^(P$5-1)*IF($AQ26=1,Scenario_Control!$M$20,1),0)</f>
        <v>11845</v>
      </c>
      <c r="Q26" s="11" t="n">
        <f aca="false">$AO26*IF(Q$3&gt;=$AP26+$AQ26*Scenario_Control!$M$19,$AS26*(1+Assumptions!$D$9)/12*(1+Assumptions!$D$8)^(Q$5-1)*IF($AQ26=1,Scenario_Control!$M$20,1),0)</f>
        <v>11845</v>
      </c>
      <c r="R26" s="11" t="n">
        <f aca="false">$AO26*IF(R$3&gt;=$AP26+$AQ26*Scenario_Control!$M$19,$AS26*(1+Assumptions!$D$9)/12*(1+Assumptions!$D$8)^(R$5-1)*IF($AQ26=1,Scenario_Control!$M$20,1),0)</f>
        <v>11845</v>
      </c>
      <c r="S26" s="11" t="n">
        <f aca="false">$AO26*IF(S$3&gt;=$AP26+$AQ26*Scenario_Control!$M$19,$AS26*(1+Assumptions!$D$9)/12*(1+Assumptions!$D$8)^(S$5-1)*IF($AQ26=1,Scenario_Control!$M$20,1),0)</f>
        <v>11845</v>
      </c>
      <c r="T26" s="11" t="n">
        <f aca="false">$AO26*IF(T$3&gt;=$AP26+$AQ26*Scenario_Control!$M$19,$AS26*(1+Assumptions!$D$9)/12*(1+Assumptions!$D$8)^(T$5-1)*IF($AQ26=1,Scenario_Control!$M$20,1),0)</f>
        <v>11845</v>
      </c>
      <c r="U26" s="11" t="n">
        <f aca="false">$AO26*IF(U$3&gt;=$AP26+$AQ26*Scenario_Control!$M$19,$AS26*(1+Assumptions!$D$9)/12*(1+Assumptions!$D$8)^(U$5-1)*IF($AQ26=1,Scenario_Control!$M$20,1),0)</f>
        <v>11845</v>
      </c>
      <c r="V26" s="11" t="n">
        <f aca="false">$AO26*IF(V$3&gt;=$AP26+$AQ26*Scenario_Control!$M$19,$AS26*(1+Assumptions!$D$9)/12*(1+Assumptions!$D$8)^(V$5-1)*IF($AQ26=1,Scenario_Control!$M$20,1),0)</f>
        <v>11845</v>
      </c>
      <c r="W26" s="11" t="n">
        <f aca="false">$AO26*IF(W$3&gt;=$AP26+$AQ26*Scenario_Control!$M$19,$AS26*(1+Assumptions!$D$9)/12*(1+Assumptions!$D$8)^(W$5-1)*IF($AQ26=1,Scenario_Control!$M$20,1),0)</f>
        <v>11845</v>
      </c>
      <c r="X26" s="11" t="n">
        <f aca="false">$AO26*IF(X$3&gt;=$AP26+$AQ26*Scenario_Control!$M$19,$AS26*(1+Assumptions!$D$9)/12*(1+Assumptions!$D$8)^(X$5-1)*IF($AQ26=1,Scenario_Control!$M$20,1),0)</f>
        <v>11845</v>
      </c>
      <c r="Y26" s="11" t="n">
        <f aca="false">$AO26*IF(Y$3&gt;=$AP26+$AQ26*Scenario_Control!$M$19,$AS26*(1+Assumptions!$D$9)/12*(1+Assumptions!$D$8)^(Y$5-1)*IF($AQ26=1,Scenario_Control!$M$20,1),0)</f>
        <v>11845</v>
      </c>
      <c r="Z26" s="11" t="n">
        <f aca="false">$AO26*IF(Z$3&gt;=$AP26+$AQ26*Scenario_Control!$M$19,$AS26*(1+Assumptions!$D$9)/12*(1+Assumptions!$D$8)^(Z$5-1)*IF($AQ26=1,Scenario_Control!$M$20,1),0)</f>
        <v>11845</v>
      </c>
      <c r="AA26" s="11" t="n">
        <f aca="false">$AO26*IF(AA$3&gt;=$AP26+$AQ26*Scenario_Control!$M$19,$AS26*(1+Assumptions!$D$9)/12*(1+Assumptions!$D$8)^(AA$5-1)*IF($AQ26=1,Scenario_Control!$M$20,1),0)</f>
        <v>11845</v>
      </c>
      <c r="AB26" s="11" t="n">
        <f aca="false">$AO26*IF(AB$3&gt;=$AP26+$AQ26*Scenario_Control!$M$19,$AS26*(1+Assumptions!$D$9)/12*(1+Assumptions!$D$8)^(AB$5-1)*IF($AQ26=1,Scenario_Control!$M$20,1),0)</f>
        <v>12200.35</v>
      </c>
      <c r="AC26" s="11" t="n">
        <f aca="false">$AO26*IF(AC$3&gt;=$AP26+$AQ26*Scenario_Control!$M$19,$AS26*(1+Assumptions!$D$9)/12*(1+Assumptions!$D$8)^(AC$5-1)*IF($AQ26=1,Scenario_Control!$M$20,1),0)</f>
        <v>12200.35</v>
      </c>
      <c r="AD26" s="11" t="n">
        <f aca="false">$AO26*IF(AD$3&gt;=$AP26+$AQ26*Scenario_Control!$M$19,$AS26*(1+Assumptions!$D$9)/12*(1+Assumptions!$D$8)^(AD$5-1)*IF($AQ26=1,Scenario_Control!$M$20,1),0)</f>
        <v>12200.35</v>
      </c>
      <c r="AE26" s="11" t="n">
        <f aca="false">$AO26*IF(AE$3&gt;=$AP26+$AQ26*Scenario_Control!$M$19,$AS26*(1+Assumptions!$D$9)/12*(1+Assumptions!$D$8)^(AE$5-1)*IF($AQ26=1,Scenario_Control!$M$20,1),0)</f>
        <v>12200.35</v>
      </c>
      <c r="AF26" s="11" t="n">
        <f aca="false">$AO26*IF(AF$3&gt;=$AP26+$AQ26*Scenario_Control!$M$19,$AS26*(1+Assumptions!$D$9)/12*(1+Assumptions!$D$8)^(AF$5-1)*IF($AQ26=1,Scenario_Control!$M$20,1),0)</f>
        <v>12200.35</v>
      </c>
      <c r="AG26" s="11" t="n">
        <f aca="false">$AO26*IF(AG$3&gt;=$AP26+$AQ26*Scenario_Control!$M$19,$AS26*(1+Assumptions!$D$9)/12*(1+Assumptions!$D$8)^(AG$5-1)*IF($AQ26=1,Scenario_Control!$M$20,1),0)</f>
        <v>12200.35</v>
      </c>
      <c r="AH26" s="11" t="n">
        <f aca="false">$AO26*IF(AH$3&gt;=$AP26+$AQ26*Scenario_Control!$M$19,$AS26*(1+Assumptions!$D$9)/12*(1+Assumptions!$D$8)^(AH$5-1)*IF($AQ26=1,Scenario_Control!$M$20,1),0)</f>
        <v>12200.35</v>
      </c>
      <c r="AI26" s="11" t="n">
        <f aca="false">$AO26*IF(AI$3&gt;=$AP26+$AQ26*Scenario_Control!$M$19,$AS26*(1+Assumptions!$D$9)/12*(1+Assumptions!$D$8)^(AI$5-1)*IF($AQ26=1,Scenario_Control!$M$20,1),0)</f>
        <v>12200.35</v>
      </c>
      <c r="AJ26" s="11" t="n">
        <f aca="false">$AO26*IF(AJ$3&gt;=$AP26+$AQ26*Scenario_Control!$M$19,$AS26*(1+Assumptions!$D$9)/12*(1+Assumptions!$D$8)^(AJ$5-1)*IF($AQ26=1,Scenario_Control!$M$20,1),0)</f>
        <v>12200.35</v>
      </c>
      <c r="AK26" s="11" t="n">
        <f aca="false">$AO26*IF(AK$3&gt;=$AP26+$AQ26*Scenario_Control!$M$19,$AS26*(1+Assumptions!$D$9)/12*(1+Assumptions!$D$8)^(AK$5-1)*IF($AQ26=1,Scenario_Control!$M$20,1),0)</f>
        <v>12200.35</v>
      </c>
      <c r="AL26" s="11" t="n">
        <f aca="false">$AO26*IF(AL$3&gt;=$AP26+$AQ26*Scenario_Control!$M$19,$AS26*(1+Assumptions!$D$9)/12*(1+Assumptions!$D$8)^(AL$5-1)*IF($AQ26=1,Scenario_Control!$M$20,1),0)</f>
        <v>12200.35</v>
      </c>
      <c r="AM26" s="11" t="n">
        <f aca="false">$AO26*IF(AM$3&gt;=$AP26+$AQ26*Scenario_Control!$M$19,$AS26*(1+Assumptions!$D$9)/12*(1+Assumptions!$D$8)^(AM$5-1)*IF($AQ26=1,Scenario_Control!$M$20,1),0)</f>
        <v>12200.35</v>
      </c>
      <c r="AO26" s="58" t="n">
        <v>1</v>
      </c>
      <c r="AP26" s="58" t="n">
        <v>11</v>
      </c>
      <c r="AQ26" s="58" t="n">
        <v>0</v>
      </c>
      <c r="AR26" s="58" t="n">
        <v>1</v>
      </c>
      <c r="AS26" s="30" t="n">
        <v>115000</v>
      </c>
      <c r="AT26" s="58" t="s">
        <v>976</v>
      </c>
      <c r="AU26" s="58" t="s">
        <v>956</v>
      </c>
      <c r="AV26" s="58" t="s">
        <v>956</v>
      </c>
      <c r="AW26" s="58" t="n">
        <f aca="false">AP26+AQ26*Scenario_Control!$M$19</f>
        <v>11</v>
      </c>
    </row>
    <row r="27" customFormat="false" ht="15" hidden="false" customHeight="true" outlineLevel="0" collapsed="false">
      <c r="A27" s="5" t="s">
        <v>981</v>
      </c>
      <c r="B27" s="10" t="s">
        <v>80</v>
      </c>
      <c r="C27" s="12" t="n">
        <f aca="false">SUM(D27:AM27)</f>
        <v>887087.2</v>
      </c>
      <c r="D27" s="11" t="n">
        <f aca="false">$AO27*IF(D$3&gt;=$AP27+$AQ27*Scenario_Control!$M$19,$AS27*(1+Assumptions!$D$9)/12*(1+Assumptions!$D$8)^(D$5-1)*IF($AQ27=1,Scenario_Control!$M$20,1),0)</f>
        <v>0</v>
      </c>
      <c r="E27" s="11" t="n">
        <f aca="false">$AO27*IF(E$3&gt;=$AP27+$AQ27*Scenario_Control!$M$19,$AS27*(1+Assumptions!$D$9)/12*(1+Assumptions!$D$8)^(E$5-1)*IF($AQ27=1,Scenario_Control!$M$20,1),0)</f>
        <v>0</v>
      </c>
      <c r="F27" s="11" t="n">
        <f aca="false">$AO27*IF(F$3&gt;=$AP27+$AQ27*Scenario_Control!$M$19,$AS27*(1+Assumptions!$D$9)/12*(1+Assumptions!$D$8)^(F$5-1)*IF($AQ27=1,Scenario_Control!$M$20,1),0)</f>
        <v>0</v>
      </c>
      <c r="G27" s="11" t="n">
        <f aca="false">$AO27*IF(G$3&gt;=$AP27+$AQ27*Scenario_Control!$M$19,$AS27*(1+Assumptions!$D$9)/12*(1+Assumptions!$D$8)^(G$5-1)*IF($AQ27=1,Scenario_Control!$M$20,1),0)</f>
        <v>0</v>
      </c>
      <c r="H27" s="11" t="n">
        <f aca="false">$AO27*IF(H$3&gt;=$AP27+$AQ27*Scenario_Control!$M$19,$AS27*(1+Assumptions!$D$9)/12*(1+Assumptions!$D$8)^(H$5-1)*IF($AQ27=1,Scenario_Control!$M$20,1),0)</f>
        <v>0</v>
      </c>
      <c r="I27" s="11" t="n">
        <f aca="false">$AO27*IF(I$3&gt;=$AP27+$AQ27*Scenario_Control!$M$19,$AS27*(1+Assumptions!$D$9)/12*(1+Assumptions!$D$8)^(I$5-1)*IF($AQ27=1,Scenario_Control!$M$20,1),0)</f>
        <v>0</v>
      </c>
      <c r="J27" s="11" t="n">
        <f aca="false">$AO27*IF(J$3&gt;=$AP27+$AQ27*Scenario_Control!$M$19,$AS27*(1+Assumptions!$D$9)/12*(1+Assumptions!$D$8)^(J$5-1)*IF($AQ27=1,Scenario_Control!$M$20,1),0)</f>
        <v>0</v>
      </c>
      <c r="K27" s="11" t="n">
        <f aca="false">$AO27*IF(K$3&gt;=$AP27+$AQ27*Scenario_Control!$M$19,$AS27*(1+Assumptions!$D$9)/12*(1+Assumptions!$D$8)^(K$5-1)*IF($AQ27=1,Scenario_Control!$M$20,1),0)</f>
        <v>0</v>
      </c>
      <c r="L27" s="11" t="n">
        <f aca="false">$AO27*IF(L$3&gt;=$AP27+$AQ27*Scenario_Control!$M$19,$AS27*(1+Assumptions!$D$9)/12*(1+Assumptions!$D$8)^(L$5-1)*IF($AQ27=1,Scenario_Control!$M$20,1),0)</f>
        <v>0</v>
      </c>
      <c r="M27" s="11" t="n">
        <f aca="false">$AO27*IF(M$3&gt;=$AP27+$AQ27*Scenario_Control!$M$19,$AS27*(1+Assumptions!$D$9)/12*(1+Assumptions!$D$8)^(M$5-1)*IF($AQ27=1,Scenario_Control!$M$20,1),0)</f>
        <v>0</v>
      </c>
      <c r="N27" s="11" t="n">
        <f aca="false">$AO27*IF(N$3&gt;=$AP27+$AQ27*Scenario_Control!$M$19,$AS27*(1+Assumptions!$D$9)/12*(1+Assumptions!$D$8)^(N$5-1)*IF($AQ27=1,Scenario_Control!$M$20,1),0)</f>
        <v>0</v>
      </c>
      <c r="O27" s="11" t="n">
        <f aca="false">$AO27*IF(O$3&gt;=$AP27+$AQ27*Scenario_Control!$M$19,$AS27*(1+Assumptions!$D$9)/12*(1+Assumptions!$D$8)^(O$5-1)*IF($AQ27=1,Scenario_Control!$M$20,1),0)</f>
        <v>34000</v>
      </c>
      <c r="P27" s="11" t="n">
        <f aca="false">$AO27*IF(P$3&gt;=$AP27+$AQ27*Scenario_Control!$M$19,$AS27*(1+Assumptions!$D$9)/12*(1+Assumptions!$D$8)^(P$5-1)*IF($AQ27=1,Scenario_Control!$M$20,1),0)</f>
        <v>35020</v>
      </c>
      <c r="Q27" s="11" t="n">
        <f aca="false">$AO27*IF(Q$3&gt;=$AP27+$AQ27*Scenario_Control!$M$19,$AS27*(1+Assumptions!$D$9)/12*(1+Assumptions!$D$8)^(Q$5-1)*IF($AQ27=1,Scenario_Control!$M$20,1),0)</f>
        <v>35020</v>
      </c>
      <c r="R27" s="11" t="n">
        <f aca="false">$AO27*IF(R$3&gt;=$AP27+$AQ27*Scenario_Control!$M$19,$AS27*(1+Assumptions!$D$9)/12*(1+Assumptions!$D$8)^(R$5-1)*IF($AQ27=1,Scenario_Control!$M$20,1),0)</f>
        <v>35020</v>
      </c>
      <c r="S27" s="11" t="n">
        <f aca="false">$AO27*IF(S$3&gt;=$AP27+$AQ27*Scenario_Control!$M$19,$AS27*(1+Assumptions!$D$9)/12*(1+Assumptions!$D$8)^(S$5-1)*IF($AQ27=1,Scenario_Control!$M$20,1),0)</f>
        <v>35020</v>
      </c>
      <c r="T27" s="11" t="n">
        <f aca="false">$AO27*IF(T$3&gt;=$AP27+$AQ27*Scenario_Control!$M$19,$AS27*(1+Assumptions!$D$9)/12*(1+Assumptions!$D$8)^(T$5-1)*IF($AQ27=1,Scenario_Control!$M$20,1),0)</f>
        <v>35020</v>
      </c>
      <c r="U27" s="11" t="n">
        <f aca="false">$AO27*IF(U$3&gt;=$AP27+$AQ27*Scenario_Control!$M$19,$AS27*(1+Assumptions!$D$9)/12*(1+Assumptions!$D$8)^(U$5-1)*IF($AQ27=1,Scenario_Control!$M$20,1),0)</f>
        <v>35020</v>
      </c>
      <c r="V27" s="11" t="n">
        <f aca="false">$AO27*IF(V$3&gt;=$AP27+$AQ27*Scenario_Control!$M$19,$AS27*(1+Assumptions!$D$9)/12*(1+Assumptions!$D$8)^(V$5-1)*IF($AQ27=1,Scenario_Control!$M$20,1),0)</f>
        <v>35020</v>
      </c>
      <c r="W27" s="11" t="n">
        <f aca="false">$AO27*IF(W$3&gt;=$AP27+$AQ27*Scenario_Control!$M$19,$AS27*(1+Assumptions!$D$9)/12*(1+Assumptions!$D$8)^(W$5-1)*IF($AQ27=1,Scenario_Control!$M$20,1),0)</f>
        <v>35020</v>
      </c>
      <c r="X27" s="11" t="n">
        <f aca="false">$AO27*IF(X$3&gt;=$AP27+$AQ27*Scenario_Control!$M$19,$AS27*(1+Assumptions!$D$9)/12*(1+Assumptions!$D$8)^(X$5-1)*IF($AQ27=1,Scenario_Control!$M$20,1),0)</f>
        <v>35020</v>
      </c>
      <c r="Y27" s="11" t="n">
        <f aca="false">$AO27*IF(Y$3&gt;=$AP27+$AQ27*Scenario_Control!$M$19,$AS27*(1+Assumptions!$D$9)/12*(1+Assumptions!$D$8)^(Y$5-1)*IF($AQ27=1,Scenario_Control!$M$20,1),0)</f>
        <v>35020</v>
      </c>
      <c r="Z27" s="11" t="n">
        <f aca="false">$AO27*IF(Z$3&gt;=$AP27+$AQ27*Scenario_Control!$M$19,$AS27*(1+Assumptions!$D$9)/12*(1+Assumptions!$D$8)^(Z$5-1)*IF($AQ27=1,Scenario_Control!$M$20,1),0)</f>
        <v>35020</v>
      </c>
      <c r="AA27" s="11" t="n">
        <f aca="false">$AO27*IF(AA$3&gt;=$AP27+$AQ27*Scenario_Control!$M$19,$AS27*(1+Assumptions!$D$9)/12*(1+Assumptions!$D$8)^(AA$5-1)*IF($AQ27=1,Scenario_Control!$M$20,1),0)</f>
        <v>35020</v>
      </c>
      <c r="AB27" s="11" t="n">
        <f aca="false">$AO27*IF(AB$3&gt;=$AP27+$AQ27*Scenario_Control!$M$19,$AS27*(1+Assumptions!$D$9)/12*(1+Assumptions!$D$8)^(AB$5-1)*IF($AQ27=1,Scenario_Control!$M$20,1),0)</f>
        <v>36070.6</v>
      </c>
      <c r="AC27" s="11" t="n">
        <f aca="false">$AO27*IF(AC$3&gt;=$AP27+$AQ27*Scenario_Control!$M$19,$AS27*(1+Assumptions!$D$9)/12*(1+Assumptions!$D$8)^(AC$5-1)*IF($AQ27=1,Scenario_Control!$M$20,1),0)</f>
        <v>36070.6</v>
      </c>
      <c r="AD27" s="11" t="n">
        <f aca="false">$AO27*IF(AD$3&gt;=$AP27+$AQ27*Scenario_Control!$M$19,$AS27*(1+Assumptions!$D$9)/12*(1+Assumptions!$D$8)^(AD$5-1)*IF($AQ27=1,Scenario_Control!$M$20,1),0)</f>
        <v>36070.6</v>
      </c>
      <c r="AE27" s="11" t="n">
        <f aca="false">$AO27*IF(AE$3&gt;=$AP27+$AQ27*Scenario_Control!$M$19,$AS27*(1+Assumptions!$D$9)/12*(1+Assumptions!$D$8)^(AE$5-1)*IF($AQ27=1,Scenario_Control!$M$20,1),0)</f>
        <v>36070.6</v>
      </c>
      <c r="AF27" s="11" t="n">
        <f aca="false">$AO27*IF(AF$3&gt;=$AP27+$AQ27*Scenario_Control!$M$19,$AS27*(1+Assumptions!$D$9)/12*(1+Assumptions!$D$8)^(AF$5-1)*IF($AQ27=1,Scenario_Control!$M$20,1),0)</f>
        <v>36070.6</v>
      </c>
      <c r="AG27" s="11" t="n">
        <f aca="false">$AO27*IF(AG$3&gt;=$AP27+$AQ27*Scenario_Control!$M$19,$AS27*(1+Assumptions!$D$9)/12*(1+Assumptions!$D$8)^(AG$5-1)*IF($AQ27=1,Scenario_Control!$M$20,1),0)</f>
        <v>36070.6</v>
      </c>
      <c r="AH27" s="11" t="n">
        <f aca="false">$AO27*IF(AH$3&gt;=$AP27+$AQ27*Scenario_Control!$M$19,$AS27*(1+Assumptions!$D$9)/12*(1+Assumptions!$D$8)^(AH$5-1)*IF($AQ27=1,Scenario_Control!$M$20,1),0)</f>
        <v>36070.6</v>
      </c>
      <c r="AI27" s="11" t="n">
        <f aca="false">$AO27*IF(AI$3&gt;=$AP27+$AQ27*Scenario_Control!$M$19,$AS27*(1+Assumptions!$D$9)/12*(1+Assumptions!$D$8)^(AI$5-1)*IF($AQ27=1,Scenario_Control!$M$20,1),0)</f>
        <v>36070.6</v>
      </c>
      <c r="AJ27" s="11" t="n">
        <f aca="false">$AO27*IF(AJ$3&gt;=$AP27+$AQ27*Scenario_Control!$M$19,$AS27*(1+Assumptions!$D$9)/12*(1+Assumptions!$D$8)^(AJ$5-1)*IF($AQ27=1,Scenario_Control!$M$20,1),0)</f>
        <v>36070.6</v>
      </c>
      <c r="AK27" s="11" t="n">
        <f aca="false">$AO27*IF(AK$3&gt;=$AP27+$AQ27*Scenario_Control!$M$19,$AS27*(1+Assumptions!$D$9)/12*(1+Assumptions!$D$8)^(AK$5-1)*IF($AQ27=1,Scenario_Control!$M$20,1),0)</f>
        <v>36070.6</v>
      </c>
      <c r="AL27" s="11" t="n">
        <f aca="false">$AO27*IF(AL$3&gt;=$AP27+$AQ27*Scenario_Control!$M$19,$AS27*(1+Assumptions!$D$9)/12*(1+Assumptions!$D$8)^(AL$5-1)*IF($AQ27=1,Scenario_Control!$M$20,1),0)</f>
        <v>36070.6</v>
      </c>
      <c r="AM27" s="11" t="n">
        <f aca="false">$AO27*IF(AM$3&gt;=$AP27+$AQ27*Scenario_Control!$M$19,$AS27*(1+Assumptions!$D$9)/12*(1+Assumptions!$D$8)^(AM$5-1)*IF($AQ27=1,Scenario_Control!$M$20,1),0)</f>
        <v>36070.6</v>
      </c>
      <c r="AO27" s="58" t="n">
        <v>2</v>
      </c>
      <c r="AP27" s="58" t="n">
        <v>12</v>
      </c>
      <c r="AQ27" s="58" t="n">
        <v>1</v>
      </c>
      <c r="AR27" s="58" t="n">
        <v>1</v>
      </c>
      <c r="AS27" s="30" t="n">
        <v>170000</v>
      </c>
      <c r="AT27" s="58" t="s">
        <v>80</v>
      </c>
      <c r="AU27" s="58" t="s">
        <v>956</v>
      </c>
      <c r="AV27" s="58" t="s">
        <v>979</v>
      </c>
      <c r="AW27" s="58" t="n">
        <f aca="false">AP27+AQ27*Scenario_Control!$M$19</f>
        <v>12</v>
      </c>
    </row>
    <row r="28" customFormat="false" ht="15" hidden="false" customHeight="true" outlineLevel="0" collapsed="false">
      <c r="A28" s="5" t="s">
        <v>982</v>
      </c>
      <c r="B28" s="10" t="s">
        <v>80</v>
      </c>
      <c r="C28" s="12" t="n">
        <f aca="false">SUM(D28:AM28)</f>
        <v>391362</v>
      </c>
      <c r="D28" s="11" t="n">
        <f aca="false">$AO28*IF(D$3&gt;=$AP28+$AQ28*Scenario_Control!$M$19,$AS28*(1+Assumptions!$D$9)/12*(1+Assumptions!$D$8)^(D$5-1)*IF($AQ28=1,Scenario_Control!$M$20,1),0)</f>
        <v>0</v>
      </c>
      <c r="E28" s="11" t="n">
        <f aca="false">$AO28*IF(E$3&gt;=$AP28+$AQ28*Scenario_Control!$M$19,$AS28*(1+Assumptions!$D$9)/12*(1+Assumptions!$D$8)^(E$5-1)*IF($AQ28=1,Scenario_Control!$M$20,1),0)</f>
        <v>0</v>
      </c>
      <c r="F28" s="11" t="n">
        <f aca="false">$AO28*IF(F$3&gt;=$AP28+$AQ28*Scenario_Control!$M$19,$AS28*(1+Assumptions!$D$9)/12*(1+Assumptions!$D$8)^(F$5-1)*IF($AQ28=1,Scenario_Control!$M$20,1),0)</f>
        <v>0</v>
      </c>
      <c r="G28" s="11" t="n">
        <f aca="false">$AO28*IF(G$3&gt;=$AP28+$AQ28*Scenario_Control!$M$19,$AS28*(1+Assumptions!$D$9)/12*(1+Assumptions!$D$8)^(G$5-1)*IF($AQ28=1,Scenario_Control!$M$20,1),0)</f>
        <v>0</v>
      </c>
      <c r="H28" s="11" t="n">
        <f aca="false">$AO28*IF(H$3&gt;=$AP28+$AQ28*Scenario_Control!$M$19,$AS28*(1+Assumptions!$D$9)/12*(1+Assumptions!$D$8)^(H$5-1)*IF($AQ28=1,Scenario_Control!$M$20,1),0)</f>
        <v>0</v>
      </c>
      <c r="I28" s="11" t="n">
        <f aca="false">$AO28*IF(I$3&gt;=$AP28+$AQ28*Scenario_Control!$M$19,$AS28*(1+Assumptions!$D$9)/12*(1+Assumptions!$D$8)^(I$5-1)*IF($AQ28=1,Scenario_Control!$M$20,1),0)</f>
        <v>0</v>
      </c>
      <c r="J28" s="11" t="n">
        <f aca="false">$AO28*IF(J$3&gt;=$AP28+$AQ28*Scenario_Control!$M$19,$AS28*(1+Assumptions!$D$9)/12*(1+Assumptions!$D$8)^(J$5-1)*IF($AQ28=1,Scenario_Control!$M$20,1),0)</f>
        <v>0</v>
      </c>
      <c r="K28" s="11" t="n">
        <f aca="false">$AO28*IF(K$3&gt;=$AP28+$AQ28*Scenario_Control!$M$19,$AS28*(1+Assumptions!$D$9)/12*(1+Assumptions!$D$8)^(K$5-1)*IF($AQ28=1,Scenario_Control!$M$20,1),0)</f>
        <v>0</v>
      </c>
      <c r="L28" s="11" t="n">
        <f aca="false">$AO28*IF(L$3&gt;=$AP28+$AQ28*Scenario_Control!$M$19,$AS28*(1+Assumptions!$D$9)/12*(1+Assumptions!$D$8)^(L$5-1)*IF($AQ28=1,Scenario_Control!$M$20,1),0)</f>
        <v>0</v>
      </c>
      <c r="M28" s="11" t="n">
        <f aca="false">$AO28*IF(M$3&gt;=$AP28+$AQ28*Scenario_Control!$M$19,$AS28*(1+Assumptions!$D$9)/12*(1+Assumptions!$D$8)^(M$5-1)*IF($AQ28=1,Scenario_Control!$M$20,1),0)</f>
        <v>0</v>
      </c>
      <c r="N28" s="11" t="n">
        <f aca="false">$AO28*IF(N$3&gt;=$AP28+$AQ28*Scenario_Control!$M$19,$AS28*(1+Assumptions!$D$9)/12*(1+Assumptions!$D$8)^(N$5-1)*IF($AQ28=1,Scenario_Control!$M$20,1),0)</f>
        <v>0</v>
      </c>
      <c r="O28" s="11" t="n">
        <f aca="false">$AO28*IF(O$3&gt;=$AP28+$AQ28*Scenario_Control!$M$19,$AS28*(1+Assumptions!$D$9)/12*(1+Assumptions!$D$8)^(O$5-1)*IF($AQ28=1,Scenario_Control!$M$20,1),0)</f>
        <v>15000</v>
      </c>
      <c r="P28" s="11" t="n">
        <f aca="false">$AO28*IF(P$3&gt;=$AP28+$AQ28*Scenario_Control!$M$19,$AS28*(1+Assumptions!$D$9)/12*(1+Assumptions!$D$8)^(P$5-1)*IF($AQ28=1,Scenario_Control!$M$20,1),0)</f>
        <v>15450</v>
      </c>
      <c r="Q28" s="11" t="n">
        <f aca="false">$AO28*IF(Q$3&gt;=$AP28+$AQ28*Scenario_Control!$M$19,$AS28*(1+Assumptions!$D$9)/12*(1+Assumptions!$D$8)^(Q$5-1)*IF($AQ28=1,Scenario_Control!$M$20,1),0)</f>
        <v>15450</v>
      </c>
      <c r="R28" s="11" t="n">
        <f aca="false">$AO28*IF(R$3&gt;=$AP28+$AQ28*Scenario_Control!$M$19,$AS28*(1+Assumptions!$D$9)/12*(1+Assumptions!$D$8)^(R$5-1)*IF($AQ28=1,Scenario_Control!$M$20,1),0)</f>
        <v>15450</v>
      </c>
      <c r="S28" s="11" t="n">
        <f aca="false">$AO28*IF(S$3&gt;=$AP28+$AQ28*Scenario_Control!$M$19,$AS28*(1+Assumptions!$D$9)/12*(1+Assumptions!$D$8)^(S$5-1)*IF($AQ28=1,Scenario_Control!$M$20,1),0)</f>
        <v>15450</v>
      </c>
      <c r="T28" s="11" t="n">
        <f aca="false">$AO28*IF(T$3&gt;=$AP28+$AQ28*Scenario_Control!$M$19,$AS28*(1+Assumptions!$D$9)/12*(1+Assumptions!$D$8)^(T$5-1)*IF($AQ28=1,Scenario_Control!$M$20,1),0)</f>
        <v>15450</v>
      </c>
      <c r="U28" s="11" t="n">
        <f aca="false">$AO28*IF(U$3&gt;=$AP28+$AQ28*Scenario_Control!$M$19,$AS28*(1+Assumptions!$D$9)/12*(1+Assumptions!$D$8)^(U$5-1)*IF($AQ28=1,Scenario_Control!$M$20,1),0)</f>
        <v>15450</v>
      </c>
      <c r="V28" s="11" t="n">
        <f aca="false">$AO28*IF(V$3&gt;=$AP28+$AQ28*Scenario_Control!$M$19,$AS28*(1+Assumptions!$D$9)/12*(1+Assumptions!$D$8)^(V$5-1)*IF($AQ28=1,Scenario_Control!$M$20,1),0)</f>
        <v>15450</v>
      </c>
      <c r="W28" s="11" t="n">
        <f aca="false">$AO28*IF(W$3&gt;=$AP28+$AQ28*Scenario_Control!$M$19,$AS28*(1+Assumptions!$D$9)/12*(1+Assumptions!$D$8)^(W$5-1)*IF($AQ28=1,Scenario_Control!$M$20,1),0)</f>
        <v>15450</v>
      </c>
      <c r="X28" s="11" t="n">
        <f aca="false">$AO28*IF(X$3&gt;=$AP28+$AQ28*Scenario_Control!$M$19,$AS28*(1+Assumptions!$D$9)/12*(1+Assumptions!$D$8)^(X$5-1)*IF($AQ28=1,Scenario_Control!$M$20,1),0)</f>
        <v>15450</v>
      </c>
      <c r="Y28" s="11" t="n">
        <f aca="false">$AO28*IF(Y$3&gt;=$AP28+$AQ28*Scenario_Control!$M$19,$AS28*(1+Assumptions!$D$9)/12*(1+Assumptions!$D$8)^(Y$5-1)*IF($AQ28=1,Scenario_Control!$M$20,1),0)</f>
        <v>15450</v>
      </c>
      <c r="Z28" s="11" t="n">
        <f aca="false">$AO28*IF(Z$3&gt;=$AP28+$AQ28*Scenario_Control!$M$19,$AS28*(1+Assumptions!$D$9)/12*(1+Assumptions!$D$8)^(Z$5-1)*IF($AQ28=1,Scenario_Control!$M$20,1),0)</f>
        <v>15450</v>
      </c>
      <c r="AA28" s="11" t="n">
        <f aca="false">$AO28*IF(AA$3&gt;=$AP28+$AQ28*Scenario_Control!$M$19,$AS28*(1+Assumptions!$D$9)/12*(1+Assumptions!$D$8)^(AA$5-1)*IF($AQ28=1,Scenario_Control!$M$20,1),0)</f>
        <v>15450</v>
      </c>
      <c r="AB28" s="11" t="n">
        <f aca="false">$AO28*IF(AB$3&gt;=$AP28+$AQ28*Scenario_Control!$M$19,$AS28*(1+Assumptions!$D$9)/12*(1+Assumptions!$D$8)^(AB$5-1)*IF($AQ28=1,Scenario_Control!$M$20,1),0)</f>
        <v>15913.5</v>
      </c>
      <c r="AC28" s="11" t="n">
        <f aca="false">$AO28*IF(AC$3&gt;=$AP28+$AQ28*Scenario_Control!$M$19,$AS28*(1+Assumptions!$D$9)/12*(1+Assumptions!$D$8)^(AC$5-1)*IF($AQ28=1,Scenario_Control!$M$20,1),0)</f>
        <v>15913.5</v>
      </c>
      <c r="AD28" s="11" t="n">
        <f aca="false">$AO28*IF(AD$3&gt;=$AP28+$AQ28*Scenario_Control!$M$19,$AS28*(1+Assumptions!$D$9)/12*(1+Assumptions!$D$8)^(AD$5-1)*IF($AQ28=1,Scenario_Control!$M$20,1),0)</f>
        <v>15913.5</v>
      </c>
      <c r="AE28" s="11" t="n">
        <f aca="false">$AO28*IF(AE$3&gt;=$AP28+$AQ28*Scenario_Control!$M$19,$AS28*(1+Assumptions!$D$9)/12*(1+Assumptions!$D$8)^(AE$5-1)*IF($AQ28=1,Scenario_Control!$M$20,1),0)</f>
        <v>15913.5</v>
      </c>
      <c r="AF28" s="11" t="n">
        <f aca="false">$AO28*IF(AF$3&gt;=$AP28+$AQ28*Scenario_Control!$M$19,$AS28*(1+Assumptions!$D$9)/12*(1+Assumptions!$D$8)^(AF$5-1)*IF($AQ28=1,Scenario_Control!$M$20,1),0)</f>
        <v>15913.5</v>
      </c>
      <c r="AG28" s="11" t="n">
        <f aca="false">$AO28*IF(AG$3&gt;=$AP28+$AQ28*Scenario_Control!$M$19,$AS28*(1+Assumptions!$D$9)/12*(1+Assumptions!$D$8)^(AG$5-1)*IF($AQ28=1,Scenario_Control!$M$20,1),0)</f>
        <v>15913.5</v>
      </c>
      <c r="AH28" s="11" t="n">
        <f aca="false">$AO28*IF(AH$3&gt;=$AP28+$AQ28*Scenario_Control!$M$19,$AS28*(1+Assumptions!$D$9)/12*(1+Assumptions!$D$8)^(AH$5-1)*IF($AQ28=1,Scenario_Control!$M$20,1),0)</f>
        <v>15913.5</v>
      </c>
      <c r="AI28" s="11" t="n">
        <f aca="false">$AO28*IF(AI$3&gt;=$AP28+$AQ28*Scenario_Control!$M$19,$AS28*(1+Assumptions!$D$9)/12*(1+Assumptions!$D$8)^(AI$5-1)*IF($AQ28=1,Scenario_Control!$M$20,1),0)</f>
        <v>15913.5</v>
      </c>
      <c r="AJ28" s="11" t="n">
        <f aca="false">$AO28*IF(AJ$3&gt;=$AP28+$AQ28*Scenario_Control!$M$19,$AS28*(1+Assumptions!$D$9)/12*(1+Assumptions!$D$8)^(AJ$5-1)*IF($AQ28=1,Scenario_Control!$M$20,1),0)</f>
        <v>15913.5</v>
      </c>
      <c r="AK28" s="11" t="n">
        <f aca="false">$AO28*IF(AK$3&gt;=$AP28+$AQ28*Scenario_Control!$M$19,$AS28*(1+Assumptions!$D$9)/12*(1+Assumptions!$D$8)^(AK$5-1)*IF($AQ28=1,Scenario_Control!$M$20,1),0)</f>
        <v>15913.5</v>
      </c>
      <c r="AL28" s="11" t="n">
        <f aca="false">$AO28*IF(AL$3&gt;=$AP28+$AQ28*Scenario_Control!$M$19,$AS28*(1+Assumptions!$D$9)/12*(1+Assumptions!$D$8)^(AL$5-1)*IF($AQ28=1,Scenario_Control!$M$20,1),0)</f>
        <v>15913.5</v>
      </c>
      <c r="AM28" s="11" t="n">
        <f aca="false">$AO28*IF(AM$3&gt;=$AP28+$AQ28*Scenario_Control!$M$19,$AS28*(1+Assumptions!$D$9)/12*(1+Assumptions!$D$8)^(AM$5-1)*IF($AQ28=1,Scenario_Control!$M$20,1),0)</f>
        <v>15913.5</v>
      </c>
      <c r="AO28" s="58" t="n">
        <v>1</v>
      </c>
      <c r="AP28" s="58" t="n">
        <v>12</v>
      </c>
      <c r="AQ28" s="58" t="n">
        <v>1</v>
      </c>
      <c r="AR28" s="58" t="n">
        <v>1</v>
      </c>
      <c r="AS28" s="30" t="n">
        <v>150000</v>
      </c>
      <c r="AT28" s="58" t="s">
        <v>80</v>
      </c>
      <c r="AU28" s="58" t="s">
        <v>956</v>
      </c>
      <c r="AV28" s="58" t="s">
        <v>971</v>
      </c>
      <c r="AW28" s="58" t="n">
        <f aca="false">AP28+AQ28*Scenario_Control!$M$19</f>
        <v>12</v>
      </c>
    </row>
    <row r="29" customFormat="false" ht="15" hidden="false" customHeight="true" outlineLevel="0" collapsed="false">
      <c r="A29" s="5" t="s">
        <v>983</v>
      </c>
      <c r="B29" s="10" t="s">
        <v>964</v>
      </c>
      <c r="C29" s="12" t="n">
        <f aca="false">SUM(D29:AM29)</f>
        <v>260908</v>
      </c>
      <c r="D29" s="11" t="n">
        <f aca="false">$AO29*IF(D$3&gt;=$AP29+$AQ29*Scenario_Control!$M$19,$AS29*(1+Assumptions!$D$9)/12*(1+Assumptions!$D$8)^(D$5-1)*IF($AQ29=1,Scenario_Control!$M$20,1),0)</f>
        <v>0</v>
      </c>
      <c r="E29" s="11" t="n">
        <f aca="false">$AO29*IF(E$3&gt;=$AP29+$AQ29*Scenario_Control!$M$19,$AS29*(1+Assumptions!$D$9)/12*(1+Assumptions!$D$8)^(E$5-1)*IF($AQ29=1,Scenario_Control!$M$20,1),0)</f>
        <v>0</v>
      </c>
      <c r="F29" s="11" t="n">
        <f aca="false">$AO29*IF(F$3&gt;=$AP29+$AQ29*Scenario_Control!$M$19,$AS29*(1+Assumptions!$D$9)/12*(1+Assumptions!$D$8)^(F$5-1)*IF($AQ29=1,Scenario_Control!$M$20,1),0)</f>
        <v>0</v>
      </c>
      <c r="G29" s="11" t="n">
        <f aca="false">$AO29*IF(G$3&gt;=$AP29+$AQ29*Scenario_Control!$M$19,$AS29*(1+Assumptions!$D$9)/12*(1+Assumptions!$D$8)^(G$5-1)*IF($AQ29=1,Scenario_Control!$M$20,1),0)</f>
        <v>0</v>
      </c>
      <c r="H29" s="11" t="n">
        <f aca="false">$AO29*IF(H$3&gt;=$AP29+$AQ29*Scenario_Control!$M$19,$AS29*(1+Assumptions!$D$9)/12*(1+Assumptions!$D$8)^(H$5-1)*IF($AQ29=1,Scenario_Control!$M$20,1),0)</f>
        <v>0</v>
      </c>
      <c r="I29" s="11" t="n">
        <f aca="false">$AO29*IF(I$3&gt;=$AP29+$AQ29*Scenario_Control!$M$19,$AS29*(1+Assumptions!$D$9)/12*(1+Assumptions!$D$8)^(I$5-1)*IF($AQ29=1,Scenario_Control!$M$20,1),0)</f>
        <v>0</v>
      </c>
      <c r="J29" s="11" t="n">
        <f aca="false">$AO29*IF(J$3&gt;=$AP29+$AQ29*Scenario_Control!$M$19,$AS29*(1+Assumptions!$D$9)/12*(1+Assumptions!$D$8)^(J$5-1)*IF($AQ29=1,Scenario_Control!$M$20,1),0)</f>
        <v>0</v>
      </c>
      <c r="K29" s="11" t="n">
        <f aca="false">$AO29*IF(K$3&gt;=$AP29+$AQ29*Scenario_Control!$M$19,$AS29*(1+Assumptions!$D$9)/12*(1+Assumptions!$D$8)^(K$5-1)*IF($AQ29=1,Scenario_Control!$M$20,1),0)</f>
        <v>0</v>
      </c>
      <c r="L29" s="11" t="n">
        <f aca="false">$AO29*IF(L$3&gt;=$AP29+$AQ29*Scenario_Control!$M$19,$AS29*(1+Assumptions!$D$9)/12*(1+Assumptions!$D$8)^(L$5-1)*IF($AQ29=1,Scenario_Control!$M$20,1),0)</f>
        <v>0</v>
      </c>
      <c r="M29" s="11" t="n">
        <f aca="false">$AO29*IF(M$3&gt;=$AP29+$AQ29*Scenario_Control!$M$19,$AS29*(1+Assumptions!$D$9)/12*(1+Assumptions!$D$8)^(M$5-1)*IF($AQ29=1,Scenario_Control!$M$20,1),0)</f>
        <v>0</v>
      </c>
      <c r="N29" s="11" t="n">
        <f aca="false">$AO29*IF(N$3&gt;=$AP29+$AQ29*Scenario_Control!$M$19,$AS29*(1+Assumptions!$D$9)/12*(1+Assumptions!$D$8)^(N$5-1)*IF($AQ29=1,Scenario_Control!$M$20,1),0)</f>
        <v>0</v>
      </c>
      <c r="O29" s="11" t="n">
        <f aca="false">$AO29*IF(O$3&gt;=$AP29+$AQ29*Scenario_Control!$M$19,$AS29*(1+Assumptions!$D$9)/12*(1+Assumptions!$D$8)^(O$5-1)*IF($AQ29=1,Scenario_Control!$M$20,1),0)</f>
        <v>10000</v>
      </c>
      <c r="P29" s="11" t="n">
        <f aca="false">$AO29*IF(P$3&gt;=$AP29+$AQ29*Scenario_Control!$M$19,$AS29*(1+Assumptions!$D$9)/12*(1+Assumptions!$D$8)^(P$5-1)*IF($AQ29=1,Scenario_Control!$M$20,1),0)</f>
        <v>10300</v>
      </c>
      <c r="Q29" s="11" t="n">
        <f aca="false">$AO29*IF(Q$3&gt;=$AP29+$AQ29*Scenario_Control!$M$19,$AS29*(1+Assumptions!$D$9)/12*(1+Assumptions!$D$8)^(Q$5-1)*IF($AQ29=1,Scenario_Control!$M$20,1),0)</f>
        <v>10300</v>
      </c>
      <c r="R29" s="11" t="n">
        <f aca="false">$AO29*IF(R$3&gt;=$AP29+$AQ29*Scenario_Control!$M$19,$AS29*(1+Assumptions!$D$9)/12*(1+Assumptions!$D$8)^(R$5-1)*IF($AQ29=1,Scenario_Control!$M$20,1),0)</f>
        <v>10300</v>
      </c>
      <c r="S29" s="11" t="n">
        <f aca="false">$AO29*IF(S$3&gt;=$AP29+$AQ29*Scenario_Control!$M$19,$AS29*(1+Assumptions!$D$9)/12*(1+Assumptions!$D$8)^(S$5-1)*IF($AQ29=1,Scenario_Control!$M$20,1),0)</f>
        <v>10300</v>
      </c>
      <c r="T29" s="11" t="n">
        <f aca="false">$AO29*IF(T$3&gt;=$AP29+$AQ29*Scenario_Control!$M$19,$AS29*(1+Assumptions!$D$9)/12*(1+Assumptions!$D$8)^(T$5-1)*IF($AQ29=1,Scenario_Control!$M$20,1),0)</f>
        <v>10300</v>
      </c>
      <c r="U29" s="11" t="n">
        <f aca="false">$AO29*IF(U$3&gt;=$AP29+$AQ29*Scenario_Control!$M$19,$AS29*(1+Assumptions!$D$9)/12*(1+Assumptions!$D$8)^(U$5-1)*IF($AQ29=1,Scenario_Control!$M$20,1),0)</f>
        <v>10300</v>
      </c>
      <c r="V29" s="11" t="n">
        <f aca="false">$AO29*IF(V$3&gt;=$AP29+$AQ29*Scenario_Control!$M$19,$AS29*(1+Assumptions!$D$9)/12*(1+Assumptions!$D$8)^(V$5-1)*IF($AQ29=1,Scenario_Control!$M$20,1),0)</f>
        <v>10300</v>
      </c>
      <c r="W29" s="11" t="n">
        <f aca="false">$AO29*IF(W$3&gt;=$AP29+$AQ29*Scenario_Control!$M$19,$AS29*(1+Assumptions!$D$9)/12*(1+Assumptions!$D$8)^(W$5-1)*IF($AQ29=1,Scenario_Control!$M$20,1),0)</f>
        <v>10300</v>
      </c>
      <c r="X29" s="11" t="n">
        <f aca="false">$AO29*IF(X$3&gt;=$AP29+$AQ29*Scenario_Control!$M$19,$AS29*(1+Assumptions!$D$9)/12*(1+Assumptions!$D$8)^(X$5-1)*IF($AQ29=1,Scenario_Control!$M$20,1),0)</f>
        <v>10300</v>
      </c>
      <c r="Y29" s="11" t="n">
        <f aca="false">$AO29*IF(Y$3&gt;=$AP29+$AQ29*Scenario_Control!$M$19,$AS29*(1+Assumptions!$D$9)/12*(1+Assumptions!$D$8)^(Y$5-1)*IF($AQ29=1,Scenario_Control!$M$20,1),0)</f>
        <v>10300</v>
      </c>
      <c r="Z29" s="11" t="n">
        <f aca="false">$AO29*IF(Z$3&gt;=$AP29+$AQ29*Scenario_Control!$M$19,$AS29*(1+Assumptions!$D$9)/12*(1+Assumptions!$D$8)^(Z$5-1)*IF($AQ29=1,Scenario_Control!$M$20,1),0)</f>
        <v>10300</v>
      </c>
      <c r="AA29" s="11" t="n">
        <f aca="false">$AO29*IF(AA$3&gt;=$AP29+$AQ29*Scenario_Control!$M$19,$AS29*(1+Assumptions!$D$9)/12*(1+Assumptions!$D$8)^(AA$5-1)*IF($AQ29=1,Scenario_Control!$M$20,1),0)</f>
        <v>10300</v>
      </c>
      <c r="AB29" s="11" t="n">
        <f aca="false">$AO29*IF(AB$3&gt;=$AP29+$AQ29*Scenario_Control!$M$19,$AS29*(1+Assumptions!$D$9)/12*(1+Assumptions!$D$8)^(AB$5-1)*IF($AQ29=1,Scenario_Control!$M$20,1),0)</f>
        <v>10609</v>
      </c>
      <c r="AC29" s="11" t="n">
        <f aca="false">$AO29*IF(AC$3&gt;=$AP29+$AQ29*Scenario_Control!$M$19,$AS29*(1+Assumptions!$D$9)/12*(1+Assumptions!$D$8)^(AC$5-1)*IF($AQ29=1,Scenario_Control!$M$20,1),0)</f>
        <v>10609</v>
      </c>
      <c r="AD29" s="11" t="n">
        <f aca="false">$AO29*IF(AD$3&gt;=$AP29+$AQ29*Scenario_Control!$M$19,$AS29*(1+Assumptions!$D$9)/12*(1+Assumptions!$D$8)^(AD$5-1)*IF($AQ29=1,Scenario_Control!$M$20,1),0)</f>
        <v>10609</v>
      </c>
      <c r="AE29" s="11" t="n">
        <f aca="false">$AO29*IF(AE$3&gt;=$AP29+$AQ29*Scenario_Control!$M$19,$AS29*(1+Assumptions!$D$9)/12*(1+Assumptions!$D$8)^(AE$5-1)*IF($AQ29=1,Scenario_Control!$M$20,1),0)</f>
        <v>10609</v>
      </c>
      <c r="AF29" s="11" t="n">
        <f aca="false">$AO29*IF(AF$3&gt;=$AP29+$AQ29*Scenario_Control!$M$19,$AS29*(1+Assumptions!$D$9)/12*(1+Assumptions!$D$8)^(AF$5-1)*IF($AQ29=1,Scenario_Control!$M$20,1),0)</f>
        <v>10609</v>
      </c>
      <c r="AG29" s="11" t="n">
        <f aca="false">$AO29*IF(AG$3&gt;=$AP29+$AQ29*Scenario_Control!$M$19,$AS29*(1+Assumptions!$D$9)/12*(1+Assumptions!$D$8)^(AG$5-1)*IF($AQ29=1,Scenario_Control!$M$20,1),0)</f>
        <v>10609</v>
      </c>
      <c r="AH29" s="11" t="n">
        <f aca="false">$AO29*IF(AH$3&gt;=$AP29+$AQ29*Scenario_Control!$M$19,$AS29*(1+Assumptions!$D$9)/12*(1+Assumptions!$D$8)^(AH$5-1)*IF($AQ29=1,Scenario_Control!$M$20,1),0)</f>
        <v>10609</v>
      </c>
      <c r="AI29" s="11" t="n">
        <f aca="false">$AO29*IF(AI$3&gt;=$AP29+$AQ29*Scenario_Control!$M$19,$AS29*(1+Assumptions!$D$9)/12*(1+Assumptions!$D$8)^(AI$5-1)*IF($AQ29=1,Scenario_Control!$M$20,1),0)</f>
        <v>10609</v>
      </c>
      <c r="AJ29" s="11" t="n">
        <f aca="false">$AO29*IF(AJ$3&gt;=$AP29+$AQ29*Scenario_Control!$M$19,$AS29*(1+Assumptions!$D$9)/12*(1+Assumptions!$D$8)^(AJ$5-1)*IF($AQ29=1,Scenario_Control!$M$20,1),0)</f>
        <v>10609</v>
      </c>
      <c r="AK29" s="11" t="n">
        <f aca="false">$AO29*IF(AK$3&gt;=$AP29+$AQ29*Scenario_Control!$M$19,$AS29*(1+Assumptions!$D$9)/12*(1+Assumptions!$D$8)^(AK$5-1)*IF($AQ29=1,Scenario_Control!$M$20,1),0)</f>
        <v>10609</v>
      </c>
      <c r="AL29" s="11" t="n">
        <f aca="false">$AO29*IF(AL$3&gt;=$AP29+$AQ29*Scenario_Control!$M$19,$AS29*(1+Assumptions!$D$9)/12*(1+Assumptions!$D$8)^(AL$5-1)*IF($AQ29=1,Scenario_Control!$M$20,1),0)</f>
        <v>10609</v>
      </c>
      <c r="AM29" s="11" t="n">
        <f aca="false">$AO29*IF(AM$3&gt;=$AP29+$AQ29*Scenario_Control!$M$19,$AS29*(1+Assumptions!$D$9)/12*(1+Assumptions!$D$8)^(AM$5-1)*IF($AQ29=1,Scenario_Control!$M$20,1),0)</f>
        <v>10609</v>
      </c>
      <c r="AO29" s="58" t="n">
        <v>1</v>
      </c>
      <c r="AP29" s="58" t="n">
        <v>12</v>
      </c>
      <c r="AQ29" s="58" t="n">
        <v>1</v>
      </c>
      <c r="AR29" s="58" t="n">
        <v>1</v>
      </c>
      <c r="AS29" s="30" t="n">
        <v>100000</v>
      </c>
      <c r="AT29" s="58" t="s">
        <v>964</v>
      </c>
      <c r="AU29" s="58" t="s">
        <v>984</v>
      </c>
      <c r="AV29" s="58" t="s">
        <v>985</v>
      </c>
      <c r="AW29" s="58" t="n">
        <f aca="false">AP29+AQ29*Scenario_Control!$M$19</f>
        <v>12</v>
      </c>
    </row>
    <row r="30" customFormat="false" ht="15" hidden="false" customHeight="true" outlineLevel="0" collapsed="false">
      <c r="A30" s="5" t="s">
        <v>986</v>
      </c>
      <c r="B30" s="10" t="s">
        <v>82</v>
      </c>
      <c r="C30" s="12" t="n">
        <f aca="false">SUM(D30:AM30)</f>
        <v>338725.8</v>
      </c>
      <c r="D30" s="11" t="n">
        <f aca="false">$AO30*IF(D$3&gt;=$AP30+$AQ30*Scenario_Control!$M$19,$AS30*(1+Assumptions!$D$9)/12*(1+Assumptions!$D$8)^(D$5-1)*IF($AQ30=1,Scenario_Control!$M$20,1),0)</f>
        <v>0</v>
      </c>
      <c r="E30" s="11" t="n">
        <f aca="false">$AO30*IF(E$3&gt;=$AP30+$AQ30*Scenario_Control!$M$19,$AS30*(1+Assumptions!$D$9)/12*(1+Assumptions!$D$8)^(E$5-1)*IF($AQ30=1,Scenario_Control!$M$20,1),0)</f>
        <v>0</v>
      </c>
      <c r="F30" s="11" t="n">
        <f aca="false">$AO30*IF(F$3&gt;=$AP30+$AQ30*Scenario_Control!$M$19,$AS30*(1+Assumptions!$D$9)/12*(1+Assumptions!$D$8)^(F$5-1)*IF($AQ30=1,Scenario_Control!$M$20,1),0)</f>
        <v>0</v>
      </c>
      <c r="G30" s="11" t="n">
        <f aca="false">$AO30*IF(G$3&gt;=$AP30+$AQ30*Scenario_Control!$M$19,$AS30*(1+Assumptions!$D$9)/12*(1+Assumptions!$D$8)^(G$5-1)*IF($AQ30=1,Scenario_Control!$M$20,1),0)</f>
        <v>0</v>
      </c>
      <c r="H30" s="11" t="n">
        <f aca="false">$AO30*IF(H$3&gt;=$AP30+$AQ30*Scenario_Control!$M$19,$AS30*(1+Assumptions!$D$9)/12*(1+Assumptions!$D$8)^(H$5-1)*IF($AQ30=1,Scenario_Control!$M$20,1),0)</f>
        <v>0</v>
      </c>
      <c r="I30" s="11" t="n">
        <f aca="false">$AO30*IF(I$3&gt;=$AP30+$AQ30*Scenario_Control!$M$19,$AS30*(1+Assumptions!$D$9)/12*(1+Assumptions!$D$8)^(I$5-1)*IF($AQ30=1,Scenario_Control!$M$20,1),0)</f>
        <v>0</v>
      </c>
      <c r="J30" s="11" t="n">
        <f aca="false">$AO30*IF(J$3&gt;=$AP30+$AQ30*Scenario_Control!$M$19,$AS30*(1+Assumptions!$D$9)/12*(1+Assumptions!$D$8)^(J$5-1)*IF($AQ30=1,Scenario_Control!$M$20,1),0)</f>
        <v>0</v>
      </c>
      <c r="K30" s="11" t="n">
        <f aca="false">$AO30*IF(K$3&gt;=$AP30+$AQ30*Scenario_Control!$M$19,$AS30*(1+Assumptions!$D$9)/12*(1+Assumptions!$D$8)^(K$5-1)*IF($AQ30=1,Scenario_Control!$M$20,1),0)</f>
        <v>0</v>
      </c>
      <c r="L30" s="11" t="n">
        <f aca="false">$AO30*IF(L$3&gt;=$AP30+$AQ30*Scenario_Control!$M$19,$AS30*(1+Assumptions!$D$9)/12*(1+Assumptions!$D$8)^(L$5-1)*IF($AQ30=1,Scenario_Control!$M$20,1),0)</f>
        <v>0</v>
      </c>
      <c r="M30" s="11" t="n">
        <f aca="false">$AO30*IF(M$3&gt;=$AP30+$AQ30*Scenario_Control!$M$19,$AS30*(1+Assumptions!$D$9)/12*(1+Assumptions!$D$8)^(M$5-1)*IF($AQ30=1,Scenario_Control!$M$20,1),0)</f>
        <v>0</v>
      </c>
      <c r="N30" s="11" t="n">
        <f aca="false">$AO30*IF(N$3&gt;=$AP30+$AQ30*Scenario_Control!$M$19,$AS30*(1+Assumptions!$D$9)/12*(1+Assumptions!$D$8)^(N$5-1)*IF($AQ30=1,Scenario_Control!$M$20,1),0)</f>
        <v>0</v>
      </c>
      <c r="O30" s="11" t="n">
        <f aca="false">$AO30*IF(O$3&gt;=$AP30+$AQ30*Scenario_Control!$M$19,$AS30*(1+Assumptions!$D$9)/12*(1+Assumptions!$D$8)^(O$5-1)*IF($AQ30=1,Scenario_Control!$M$20,1),0)</f>
        <v>0</v>
      </c>
      <c r="P30" s="11" t="n">
        <f aca="false">$AO30*IF(P$3&gt;=$AP30+$AQ30*Scenario_Control!$M$19,$AS30*(1+Assumptions!$D$9)/12*(1+Assumptions!$D$8)^(P$5-1)*IF($AQ30=1,Scenario_Control!$M$20,1),0)</f>
        <v>13905</v>
      </c>
      <c r="Q30" s="11" t="n">
        <f aca="false">$AO30*IF(Q$3&gt;=$AP30+$AQ30*Scenario_Control!$M$19,$AS30*(1+Assumptions!$D$9)/12*(1+Assumptions!$D$8)^(Q$5-1)*IF($AQ30=1,Scenario_Control!$M$20,1),0)</f>
        <v>13905</v>
      </c>
      <c r="R30" s="11" t="n">
        <f aca="false">$AO30*IF(R$3&gt;=$AP30+$AQ30*Scenario_Control!$M$19,$AS30*(1+Assumptions!$D$9)/12*(1+Assumptions!$D$8)^(R$5-1)*IF($AQ30=1,Scenario_Control!$M$20,1),0)</f>
        <v>13905</v>
      </c>
      <c r="S30" s="11" t="n">
        <f aca="false">$AO30*IF(S$3&gt;=$AP30+$AQ30*Scenario_Control!$M$19,$AS30*(1+Assumptions!$D$9)/12*(1+Assumptions!$D$8)^(S$5-1)*IF($AQ30=1,Scenario_Control!$M$20,1),0)</f>
        <v>13905</v>
      </c>
      <c r="T30" s="11" t="n">
        <f aca="false">$AO30*IF(T$3&gt;=$AP30+$AQ30*Scenario_Control!$M$19,$AS30*(1+Assumptions!$D$9)/12*(1+Assumptions!$D$8)^(T$5-1)*IF($AQ30=1,Scenario_Control!$M$20,1),0)</f>
        <v>13905</v>
      </c>
      <c r="U30" s="11" t="n">
        <f aca="false">$AO30*IF(U$3&gt;=$AP30+$AQ30*Scenario_Control!$M$19,$AS30*(1+Assumptions!$D$9)/12*(1+Assumptions!$D$8)^(U$5-1)*IF($AQ30=1,Scenario_Control!$M$20,1),0)</f>
        <v>13905</v>
      </c>
      <c r="V30" s="11" t="n">
        <f aca="false">$AO30*IF(V$3&gt;=$AP30+$AQ30*Scenario_Control!$M$19,$AS30*(1+Assumptions!$D$9)/12*(1+Assumptions!$D$8)^(V$5-1)*IF($AQ30=1,Scenario_Control!$M$20,1),0)</f>
        <v>13905</v>
      </c>
      <c r="W30" s="11" t="n">
        <f aca="false">$AO30*IF(W$3&gt;=$AP30+$AQ30*Scenario_Control!$M$19,$AS30*(1+Assumptions!$D$9)/12*(1+Assumptions!$D$8)^(W$5-1)*IF($AQ30=1,Scenario_Control!$M$20,1),0)</f>
        <v>13905</v>
      </c>
      <c r="X30" s="11" t="n">
        <f aca="false">$AO30*IF(X$3&gt;=$AP30+$AQ30*Scenario_Control!$M$19,$AS30*(1+Assumptions!$D$9)/12*(1+Assumptions!$D$8)^(X$5-1)*IF($AQ30=1,Scenario_Control!$M$20,1),0)</f>
        <v>13905</v>
      </c>
      <c r="Y30" s="11" t="n">
        <f aca="false">$AO30*IF(Y$3&gt;=$AP30+$AQ30*Scenario_Control!$M$19,$AS30*(1+Assumptions!$D$9)/12*(1+Assumptions!$D$8)^(Y$5-1)*IF($AQ30=1,Scenario_Control!$M$20,1),0)</f>
        <v>13905</v>
      </c>
      <c r="Z30" s="11" t="n">
        <f aca="false">$AO30*IF(Z$3&gt;=$AP30+$AQ30*Scenario_Control!$M$19,$AS30*(1+Assumptions!$D$9)/12*(1+Assumptions!$D$8)^(Z$5-1)*IF($AQ30=1,Scenario_Control!$M$20,1),0)</f>
        <v>13905</v>
      </c>
      <c r="AA30" s="11" t="n">
        <f aca="false">$AO30*IF(AA$3&gt;=$AP30+$AQ30*Scenario_Control!$M$19,$AS30*(1+Assumptions!$D$9)/12*(1+Assumptions!$D$8)^(AA$5-1)*IF($AQ30=1,Scenario_Control!$M$20,1),0)</f>
        <v>13905</v>
      </c>
      <c r="AB30" s="11" t="n">
        <f aca="false">$AO30*IF(AB$3&gt;=$AP30+$AQ30*Scenario_Control!$M$19,$AS30*(1+Assumptions!$D$9)/12*(1+Assumptions!$D$8)^(AB$5-1)*IF($AQ30=1,Scenario_Control!$M$20,1),0)</f>
        <v>14322.15</v>
      </c>
      <c r="AC30" s="11" t="n">
        <f aca="false">$AO30*IF(AC$3&gt;=$AP30+$AQ30*Scenario_Control!$M$19,$AS30*(1+Assumptions!$D$9)/12*(1+Assumptions!$D$8)^(AC$5-1)*IF($AQ30=1,Scenario_Control!$M$20,1),0)</f>
        <v>14322.15</v>
      </c>
      <c r="AD30" s="11" t="n">
        <f aca="false">$AO30*IF(AD$3&gt;=$AP30+$AQ30*Scenario_Control!$M$19,$AS30*(1+Assumptions!$D$9)/12*(1+Assumptions!$D$8)^(AD$5-1)*IF($AQ30=1,Scenario_Control!$M$20,1),0)</f>
        <v>14322.15</v>
      </c>
      <c r="AE30" s="11" t="n">
        <f aca="false">$AO30*IF(AE$3&gt;=$AP30+$AQ30*Scenario_Control!$M$19,$AS30*(1+Assumptions!$D$9)/12*(1+Assumptions!$D$8)^(AE$5-1)*IF($AQ30=1,Scenario_Control!$M$20,1),0)</f>
        <v>14322.15</v>
      </c>
      <c r="AF30" s="11" t="n">
        <f aca="false">$AO30*IF(AF$3&gt;=$AP30+$AQ30*Scenario_Control!$M$19,$AS30*(1+Assumptions!$D$9)/12*(1+Assumptions!$D$8)^(AF$5-1)*IF($AQ30=1,Scenario_Control!$M$20,1),0)</f>
        <v>14322.15</v>
      </c>
      <c r="AG30" s="11" t="n">
        <f aca="false">$AO30*IF(AG$3&gt;=$AP30+$AQ30*Scenario_Control!$M$19,$AS30*(1+Assumptions!$D$9)/12*(1+Assumptions!$D$8)^(AG$5-1)*IF($AQ30=1,Scenario_Control!$M$20,1),0)</f>
        <v>14322.15</v>
      </c>
      <c r="AH30" s="11" t="n">
        <f aca="false">$AO30*IF(AH$3&gt;=$AP30+$AQ30*Scenario_Control!$M$19,$AS30*(1+Assumptions!$D$9)/12*(1+Assumptions!$D$8)^(AH$5-1)*IF($AQ30=1,Scenario_Control!$M$20,1),0)</f>
        <v>14322.15</v>
      </c>
      <c r="AI30" s="11" t="n">
        <f aca="false">$AO30*IF(AI$3&gt;=$AP30+$AQ30*Scenario_Control!$M$19,$AS30*(1+Assumptions!$D$9)/12*(1+Assumptions!$D$8)^(AI$5-1)*IF($AQ30=1,Scenario_Control!$M$20,1),0)</f>
        <v>14322.15</v>
      </c>
      <c r="AJ30" s="11" t="n">
        <f aca="false">$AO30*IF(AJ$3&gt;=$AP30+$AQ30*Scenario_Control!$M$19,$AS30*(1+Assumptions!$D$9)/12*(1+Assumptions!$D$8)^(AJ$5-1)*IF($AQ30=1,Scenario_Control!$M$20,1),0)</f>
        <v>14322.15</v>
      </c>
      <c r="AK30" s="11" t="n">
        <f aca="false">$AO30*IF(AK$3&gt;=$AP30+$AQ30*Scenario_Control!$M$19,$AS30*(1+Assumptions!$D$9)/12*(1+Assumptions!$D$8)^(AK$5-1)*IF($AQ30=1,Scenario_Control!$M$20,1),0)</f>
        <v>14322.15</v>
      </c>
      <c r="AL30" s="11" t="n">
        <f aca="false">$AO30*IF(AL$3&gt;=$AP30+$AQ30*Scenario_Control!$M$19,$AS30*(1+Assumptions!$D$9)/12*(1+Assumptions!$D$8)^(AL$5-1)*IF($AQ30=1,Scenario_Control!$M$20,1),0)</f>
        <v>14322.15</v>
      </c>
      <c r="AM30" s="11" t="n">
        <f aca="false">$AO30*IF(AM$3&gt;=$AP30+$AQ30*Scenario_Control!$M$19,$AS30*(1+Assumptions!$D$9)/12*(1+Assumptions!$D$8)^(AM$5-1)*IF($AQ30=1,Scenario_Control!$M$20,1),0)</f>
        <v>14322.15</v>
      </c>
      <c r="AO30" s="58" t="n">
        <v>1</v>
      </c>
      <c r="AP30" s="58" t="n">
        <v>13</v>
      </c>
      <c r="AQ30" s="58" t="n">
        <v>1</v>
      </c>
      <c r="AR30" s="58" t="n">
        <v>1</v>
      </c>
      <c r="AS30" s="30" t="n">
        <v>135000</v>
      </c>
      <c r="AT30" s="58" t="s">
        <v>82</v>
      </c>
      <c r="AU30" s="58" t="s">
        <v>956</v>
      </c>
      <c r="AV30" s="58" t="s">
        <v>987</v>
      </c>
      <c r="AW30" s="58" t="n">
        <f aca="false">AP30+AQ30*Scenario_Control!$M$19</f>
        <v>13</v>
      </c>
    </row>
    <row r="31" customFormat="false" ht="15" hidden="false" customHeight="true" outlineLevel="0" collapsed="false">
      <c r="A31" s="5" t="s">
        <v>988</v>
      </c>
      <c r="B31" s="10" t="s">
        <v>80</v>
      </c>
      <c r="C31" s="12" t="n">
        <f aca="false">SUM(D31:AM31)</f>
        <v>338725.8</v>
      </c>
      <c r="D31" s="11" t="n">
        <f aca="false">$AO31*IF(D$3&gt;=$AP31+$AQ31*Scenario_Control!$M$19,$AS31*(1+Assumptions!$D$9)/12*(1+Assumptions!$D$8)^(D$5-1)*IF($AQ31=1,Scenario_Control!$M$20,1),0)</f>
        <v>0</v>
      </c>
      <c r="E31" s="11" t="n">
        <f aca="false">$AO31*IF(E$3&gt;=$AP31+$AQ31*Scenario_Control!$M$19,$AS31*(1+Assumptions!$D$9)/12*(1+Assumptions!$D$8)^(E$5-1)*IF($AQ31=1,Scenario_Control!$M$20,1),0)</f>
        <v>0</v>
      </c>
      <c r="F31" s="11" t="n">
        <f aca="false">$AO31*IF(F$3&gt;=$AP31+$AQ31*Scenario_Control!$M$19,$AS31*(1+Assumptions!$D$9)/12*(1+Assumptions!$D$8)^(F$5-1)*IF($AQ31=1,Scenario_Control!$M$20,1),0)</f>
        <v>0</v>
      </c>
      <c r="G31" s="11" t="n">
        <f aca="false">$AO31*IF(G$3&gt;=$AP31+$AQ31*Scenario_Control!$M$19,$AS31*(1+Assumptions!$D$9)/12*(1+Assumptions!$D$8)^(G$5-1)*IF($AQ31=1,Scenario_Control!$M$20,1),0)</f>
        <v>0</v>
      </c>
      <c r="H31" s="11" t="n">
        <f aca="false">$AO31*IF(H$3&gt;=$AP31+$AQ31*Scenario_Control!$M$19,$AS31*(1+Assumptions!$D$9)/12*(1+Assumptions!$D$8)^(H$5-1)*IF($AQ31=1,Scenario_Control!$M$20,1),0)</f>
        <v>0</v>
      </c>
      <c r="I31" s="11" t="n">
        <f aca="false">$AO31*IF(I$3&gt;=$AP31+$AQ31*Scenario_Control!$M$19,$AS31*(1+Assumptions!$D$9)/12*(1+Assumptions!$D$8)^(I$5-1)*IF($AQ31=1,Scenario_Control!$M$20,1),0)</f>
        <v>0</v>
      </c>
      <c r="J31" s="11" t="n">
        <f aca="false">$AO31*IF(J$3&gt;=$AP31+$AQ31*Scenario_Control!$M$19,$AS31*(1+Assumptions!$D$9)/12*(1+Assumptions!$D$8)^(J$5-1)*IF($AQ31=1,Scenario_Control!$M$20,1),0)</f>
        <v>0</v>
      </c>
      <c r="K31" s="11" t="n">
        <f aca="false">$AO31*IF(K$3&gt;=$AP31+$AQ31*Scenario_Control!$M$19,$AS31*(1+Assumptions!$D$9)/12*(1+Assumptions!$D$8)^(K$5-1)*IF($AQ31=1,Scenario_Control!$M$20,1),0)</f>
        <v>0</v>
      </c>
      <c r="L31" s="11" t="n">
        <f aca="false">$AO31*IF(L$3&gt;=$AP31+$AQ31*Scenario_Control!$M$19,$AS31*(1+Assumptions!$D$9)/12*(1+Assumptions!$D$8)^(L$5-1)*IF($AQ31=1,Scenario_Control!$M$20,1),0)</f>
        <v>0</v>
      </c>
      <c r="M31" s="11" t="n">
        <f aca="false">$AO31*IF(M$3&gt;=$AP31+$AQ31*Scenario_Control!$M$19,$AS31*(1+Assumptions!$D$9)/12*(1+Assumptions!$D$8)^(M$5-1)*IF($AQ31=1,Scenario_Control!$M$20,1),0)</f>
        <v>0</v>
      </c>
      <c r="N31" s="11" t="n">
        <f aca="false">$AO31*IF(N$3&gt;=$AP31+$AQ31*Scenario_Control!$M$19,$AS31*(1+Assumptions!$D$9)/12*(1+Assumptions!$D$8)^(N$5-1)*IF($AQ31=1,Scenario_Control!$M$20,1),0)</f>
        <v>0</v>
      </c>
      <c r="O31" s="11" t="n">
        <f aca="false">$AO31*IF(O$3&gt;=$AP31+$AQ31*Scenario_Control!$M$19,$AS31*(1+Assumptions!$D$9)/12*(1+Assumptions!$D$8)^(O$5-1)*IF($AQ31=1,Scenario_Control!$M$20,1),0)</f>
        <v>0</v>
      </c>
      <c r="P31" s="11" t="n">
        <f aca="false">$AO31*IF(P$3&gt;=$AP31+$AQ31*Scenario_Control!$M$19,$AS31*(1+Assumptions!$D$9)/12*(1+Assumptions!$D$8)^(P$5-1)*IF($AQ31=1,Scenario_Control!$M$20,1),0)</f>
        <v>13905</v>
      </c>
      <c r="Q31" s="11" t="n">
        <f aca="false">$AO31*IF(Q$3&gt;=$AP31+$AQ31*Scenario_Control!$M$19,$AS31*(1+Assumptions!$D$9)/12*(1+Assumptions!$D$8)^(Q$5-1)*IF($AQ31=1,Scenario_Control!$M$20,1),0)</f>
        <v>13905</v>
      </c>
      <c r="R31" s="11" t="n">
        <f aca="false">$AO31*IF(R$3&gt;=$AP31+$AQ31*Scenario_Control!$M$19,$AS31*(1+Assumptions!$D$9)/12*(1+Assumptions!$D$8)^(R$5-1)*IF($AQ31=1,Scenario_Control!$M$20,1),0)</f>
        <v>13905</v>
      </c>
      <c r="S31" s="11" t="n">
        <f aca="false">$AO31*IF(S$3&gt;=$AP31+$AQ31*Scenario_Control!$M$19,$AS31*(1+Assumptions!$D$9)/12*(1+Assumptions!$D$8)^(S$5-1)*IF($AQ31=1,Scenario_Control!$M$20,1),0)</f>
        <v>13905</v>
      </c>
      <c r="T31" s="11" t="n">
        <f aca="false">$AO31*IF(T$3&gt;=$AP31+$AQ31*Scenario_Control!$M$19,$AS31*(1+Assumptions!$D$9)/12*(1+Assumptions!$D$8)^(T$5-1)*IF($AQ31=1,Scenario_Control!$M$20,1),0)</f>
        <v>13905</v>
      </c>
      <c r="U31" s="11" t="n">
        <f aca="false">$AO31*IF(U$3&gt;=$AP31+$AQ31*Scenario_Control!$M$19,$AS31*(1+Assumptions!$D$9)/12*(1+Assumptions!$D$8)^(U$5-1)*IF($AQ31=1,Scenario_Control!$M$20,1),0)</f>
        <v>13905</v>
      </c>
      <c r="V31" s="11" t="n">
        <f aca="false">$AO31*IF(V$3&gt;=$AP31+$AQ31*Scenario_Control!$M$19,$AS31*(1+Assumptions!$D$9)/12*(1+Assumptions!$D$8)^(V$5-1)*IF($AQ31=1,Scenario_Control!$M$20,1),0)</f>
        <v>13905</v>
      </c>
      <c r="W31" s="11" t="n">
        <f aca="false">$AO31*IF(W$3&gt;=$AP31+$AQ31*Scenario_Control!$M$19,$AS31*(1+Assumptions!$D$9)/12*(1+Assumptions!$D$8)^(W$5-1)*IF($AQ31=1,Scenario_Control!$M$20,1),0)</f>
        <v>13905</v>
      </c>
      <c r="X31" s="11" t="n">
        <f aca="false">$AO31*IF(X$3&gt;=$AP31+$AQ31*Scenario_Control!$M$19,$AS31*(1+Assumptions!$D$9)/12*(1+Assumptions!$D$8)^(X$5-1)*IF($AQ31=1,Scenario_Control!$M$20,1),0)</f>
        <v>13905</v>
      </c>
      <c r="Y31" s="11" t="n">
        <f aca="false">$AO31*IF(Y$3&gt;=$AP31+$AQ31*Scenario_Control!$M$19,$AS31*(1+Assumptions!$D$9)/12*(1+Assumptions!$D$8)^(Y$5-1)*IF($AQ31=1,Scenario_Control!$M$20,1),0)</f>
        <v>13905</v>
      </c>
      <c r="Z31" s="11" t="n">
        <f aca="false">$AO31*IF(Z$3&gt;=$AP31+$AQ31*Scenario_Control!$M$19,$AS31*(1+Assumptions!$D$9)/12*(1+Assumptions!$D$8)^(Z$5-1)*IF($AQ31=1,Scenario_Control!$M$20,1),0)</f>
        <v>13905</v>
      </c>
      <c r="AA31" s="11" t="n">
        <f aca="false">$AO31*IF(AA$3&gt;=$AP31+$AQ31*Scenario_Control!$M$19,$AS31*(1+Assumptions!$D$9)/12*(1+Assumptions!$D$8)^(AA$5-1)*IF($AQ31=1,Scenario_Control!$M$20,1),0)</f>
        <v>13905</v>
      </c>
      <c r="AB31" s="11" t="n">
        <f aca="false">$AO31*IF(AB$3&gt;=$AP31+$AQ31*Scenario_Control!$M$19,$AS31*(1+Assumptions!$D$9)/12*(1+Assumptions!$D$8)^(AB$5-1)*IF($AQ31=1,Scenario_Control!$M$20,1),0)</f>
        <v>14322.15</v>
      </c>
      <c r="AC31" s="11" t="n">
        <f aca="false">$AO31*IF(AC$3&gt;=$AP31+$AQ31*Scenario_Control!$M$19,$AS31*(1+Assumptions!$D$9)/12*(1+Assumptions!$D$8)^(AC$5-1)*IF($AQ31=1,Scenario_Control!$M$20,1),0)</f>
        <v>14322.15</v>
      </c>
      <c r="AD31" s="11" t="n">
        <f aca="false">$AO31*IF(AD$3&gt;=$AP31+$AQ31*Scenario_Control!$M$19,$AS31*(1+Assumptions!$D$9)/12*(1+Assumptions!$D$8)^(AD$5-1)*IF($AQ31=1,Scenario_Control!$M$20,1),0)</f>
        <v>14322.15</v>
      </c>
      <c r="AE31" s="11" t="n">
        <f aca="false">$AO31*IF(AE$3&gt;=$AP31+$AQ31*Scenario_Control!$M$19,$AS31*(1+Assumptions!$D$9)/12*(1+Assumptions!$D$8)^(AE$5-1)*IF($AQ31=1,Scenario_Control!$M$20,1),0)</f>
        <v>14322.15</v>
      </c>
      <c r="AF31" s="11" t="n">
        <f aca="false">$AO31*IF(AF$3&gt;=$AP31+$AQ31*Scenario_Control!$M$19,$AS31*(1+Assumptions!$D$9)/12*(1+Assumptions!$D$8)^(AF$5-1)*IF($AQ31=1,Scenario_Control!$M$20,1),0)</f>
        <v>14322.15</v>
      </c>
      <c r="AG31" s="11" t="n">
        <f aca="false">$AO31*IF(AG$3&gt;=$AP31+$AQ31*Scenario_Control!$M$19,$AS31*(1+Assumptions!$D$9)/12*(1+Assumptions!$D$8)^(AG$5-1)*IF($AQ31=1,Scenario_Control!$M$20,1),0)</f>
        <v>14322.15</v>
      </c>
      <c r="AH31" s="11" t="n">
        <f aca="false">$AO31*IF(AH$3&gt;=$AP31+$AQ31*Scenario_Control!$M$19,$AS31*(1+Assumptions!$D$9)/12*(1+Assumptions!$D$8)^(AH$5-1)*IF($AQ31=1,Scenario_Control!$M$20,1),0)</f>
        <v>14322.15</v>
      </c>
      <c r="AI31" s="11" t="n">
        <f aca="false">$AO31*IF(AI$3&gt;=$AP31+$AQ31*Scenario_Control!$M$19,$AS31*(1+Assumptions!$D$9)/12*(1+Assumptions!$D$8)^(AI$5-1)*IF($AQ31=1,Scenario_Control!$M$20,1),0)</f>
        <v>14322.15</v>
      </c>
      <c r="AJ31" s="11" t="n">
        <f aca="false">$AO31*IF(AJ$3&gt;=$AP31+$AQ31*Scenario_Control!$M$19,$AS31*(1+Assumptions!$D$9)/12*(1+Assumptions!$D$8)^(AJ$5-1)*IF($AQ31=1,Scenario_Control!$M$20,1),0)</f>
        <v>14322.15</v>
      </c>
      <c r="AK31" s="11" t="n">
        <f aca="false">$AO31*IF(AK$3&gt;=$AP31+$AQ31*Scenario_Control!$M$19,$AS31*(1+Assumptions!$D$9)/12*(1+Assumptions!$D$8)^(AK$5-1)*IF($AQ31=1,Scenario_Control!$M$20,1),0)</f>
        <v>14322.15</v>
      </c>
      <c r="AL31" s="11" t="n">
        <f aca="false">$AO31*IF(AL$3&gt;=$AP31+$AQ31*Scenario_Control!$M$19,$AS31*(1+Assumptions!$D$9)/12*(1+Assumptions!$D$8)^(AL$5-1)*IF($AQ31=1,Scenario_Control!$M$20,1),0)</f>
        <v>14322.15</v>
      </c>
      <c r="AM31" s="11" t="n">
        <f aca="false">$AO31*IF(AM$3&gt;=$AP31+$AQ31*Scenario_Control!$M$19,$AS31*(1+Assumptions!$D$9)/12*(1+Assumptions!$D$8)^(AM$5-1)*IF($AQ31=1,Scenario_Control!$M$20,1),0)</f>
        <v>14322.15</v>
      </c>
      <c r="AO31" s="58" t="n">
        <v>1</v>
      </c>
      <c r="AP31" s="58" t="n">
        <v>13</v>
      </c>
      <c r="AQ31" s="58" t="n">
        <v>1</v>
      </c>
      <c r="AR31" s="58" t="n">
        <v>1</v>
      </c>
      <c r="AS31" s="30" t="n">
        <v>135000</v>
      </c>
      <c r="AT31" s="58" t="s">
        <v>80</v>
      </c>
      <c r="AU31" s="58" t="s">
        <v>956</v>
      </c>
      <c r="AV31" s="58" t="s">
        <v>971</v>
      </c>
      <c r="AW31" s="58" t="n">
        <f aca="false">AP31+AQ31*Scenario_Control!$M$19</f>
        <v>13</v>
      </c>
    </row>
    <row r="32" customFormat="false" ht="15" hidden="false" customHeight="true" outlineLevel="0" collapsed="false">
      <c r="A32" s="5" t="s">
        <v>989</v>
      </c>
      <c r="B32" s="10" t="s">
        <v>964</v>
      </c>
      <c r="C32" s="12" t="n">
        <f aca="false">SUM(D32:AM32)</f>
        <v>168425.6</v>
      </c>
      <c r="D32" s="11" t="n">
        <f aca="false">$AO32*IF(D$3&gt;=$AP32+$AQ32*Scenario_Control!$M$19,$AS32*(1+Assumptions!$D$9)/12*(1+Assumptions!$D$8)^(D$5-1)*IF($AQ32=1,Scenario_Control!$M$20,1),0)</f>
        <v>0</v>
      </c>
      <c r="E32" s="11" t="n">
        <f aca="false">$AO32*IF(E$3&gt;=$AP32+$AQ32*Scenario_Control!$M$19,$AS32*(1+Assumptions!$D$9)/12*(1+Assumptions!$D$8)^(E$5-1)*IF($AQ32=1,Scenario_Control!$M$20,1),0)</f>
        <v>0</v>
      </c>
      <c r="F32" s="11" t="n">
        <f aca="false">$AO32*IF(F$3&gt;=$AP32+$AQ32*Scenario_Control!$M$19,$AS32*(1+Assumptions!$D$9)/12*(1+Assumptions!$D$8)^(F$5-1)*IF($AQ32=1,Scenario_Control!$M$20,1),0)</f>
        <v>0</v>
      </c>
      <c r="G32" s="11" t="n">
        <f aca="false">$AO32*IF(G$3&gt;=$AP32+$AQ32*Scenario_Control!$M$19,$AS32*(1+Assumptions!$D$9)/12*(1+Assumptions!$D$8)^(G$5-1)*IF($AQ32=1,Scenario_Control!$M$20,1),0)</f>
        <v>0</v>
      </c>
      <c r="H32" s="11" t="n">
        <f aca="false">$AO32*IF(H$3&gt;=$AP32+$AQ32*Scenario_Control!$M$19,$AS32*(1+Assumptions!$D$9)/12*(1+Assumptions!$D$8)^(H$5-1)*IF($AQ32=1,Scenario_Control!$M$20,1),0)</f>
        <v>0</v>
      </c>
      <c r="I32" s="11" t="n">
        <f aca="false">$AO32*IF(I$3&gt;=$AP32+$AQ32*Scenario_Control!$M$19,$AS32*(1+Assumptions!$D$9)/12*(1+Assumptions!$D$8)^(I$5-1)*IF($AQ32=1,Scenario_Control!$M$20,1),0)</f>
        <v>0</v>
      </c>
      <c r="J32" s="11" t="n">
        <f aca="false">$AO32*IF(J$3&gt;=$AP32+$AQ32*Scenario_Control!$M$19,$AS32*(1+Assumptions!$D$9)/12*(1+Assumptions!$D$8)^(J$5-1)*IF($AQ32=1,Scenario_Control!$M$20,1),0)</f>
        <v>0</v>
      </c>
      <c r="K32" s="11" t="n">
        <f aca="false">$AO32*IF(K$3&gt;=$AP32+$AQ32*Scenario_Control!$M$19,$AS32*(1+Assumptions!$D$9)/12*(1+Assumptions!$D$8)^(K$5-1)*IF($AQ32=1,Scenario_Control!$M$20,1),0)</f>
        <v>0</v>
      </c>
      <c r="L32" s="11" t="n">
        <f aca="false">$AO32*IF(L$3&gt;=$AP32+$AQ32*Scenario_Control!$M$19,$AS32*(1+Assumptions!$D$9)/12*(1+Assumptions!$D$8)^(L$5-1)*IF($AQ32=1,Scenario_Control!$M$20,1),0)</f>
        <v>0</v>
      </c>
      <c r="M32" s="11" t="n">
        <f aca="false">$AO32*IF(M$3&gt;=$AP32+$AQ32*Scenario_Control!$M$19,$AS32*(1+Assumptions!$D$9)/12*(1+Assumptions!$D$8)^(M$5-1)*IF($AQ32=1,Scenario_Control!$M$20,1),0)</f>
        <v>0</v>
      </c>
      <c r="N32" s="11" t="n">
        <f aca="false">$AO32*IF(N$3&gt;=$AP32+$AQ32*Scenario_Control!$M$19,$AS32*(1+Assumptions!$D$9)/12*(1+Assumptions!$D$8)^(N$5-1)*IF($AQ32=1,Scenario_Control!$M$20,1),0)</f>
        <v>0</v>
      </c>
      <c r="O32" s="11" t="n">
        <f aca="false">$AO32*IF(O$3&gt;=$AP32+$AQ32*Scenario_Control!$M$19,$AS32*(1+Assumptions!$D$9)/12*(1+Assumptions!$D$8)^(O$5-1)*IF($AQ32=1,Scenario_Control!$M$20,1),0)</f>
        <v>0</v>
      </c>
      <c r="P32" s="11" t="n">
        <f aca="false">$AO32*IF(P$3&gt;=$AP32+$AQ32*Scenario_Control!$M$19,$AS32*(1+Assumptions!$D$9)/12*(1+Assumptions!$D$8)^(P$5-1)*IF($AQ32=1,Scenario_Control!$M$20,1),0)</f>
        <v>0</v>
      </c>
      <c r="Q32" s="11" t="n">
        <f aca="false">$AO32*IF(Q$3&gt;=$AP32+$AQ32*Scenario_Control!$M$19,$AS32*(1+Assumptions!$D$9)/12*(1+Assumptions!$D$8)^(Q$5-1)*IF($AQ32=1,Scenario_Control!$M$20,1),0)</f>
        <v>7210</v>
      </c>
      <c r="R32" s="11" t="n">
        <f aca="false">$AO32*IF(R$3&gt;=$AP32+$AQ32*Scenario_Control!$M$19,$AS32*(1+Assumptions!$D$9)/12*(1+Assumptions!$D$8)^(R$5-1)*IF($AQ32=1,Scenario_Control!$M$20,1),0)</f>
        <v>7210</v>
      </c>
      <c r="S32" s="11" t="n">
        <f aca="false">$AO32*IF(S$3&gt;=$AP32+$AQ32*Scenario_Control!$M$19,$AS32*(1+Assumptions!$D$9)/12*(1+Assumptions!$D$8)^(S$5-1)*IF($AQ32=1,Scenario_Control!$M$20,1),0)</f>
        <v>7210</v>
      </c>
      <c r="T32" s="11" t="n">
        <f aca="false">$AO32*IF(T$3&gt;=$AP32+$AQ32*Scenario_Control!$M$19,$AS32*(1+Assumptions!$D$9)/12*(1+Assumptions!$D$8)^(T$5-1)*IF($AQ32=1,Scenario_Control!$M$20,1),0)</f>
        <v>7210</v>
      </c>
      <c r="U32" s="11" t="n">
        <f aca="false">$AO32*IF(U$3&gt;=$AP32+$AQ32*Scenario_Control!$M$19,$AS32*(1+Assumptions!$D$9)/12*(1+Assumptions!$D$8)^(U$5-1)*IF($AQ32=1,Scenario_Control!$M$20,1),0)</f>
        <v>7210</v>
      </c>
      <c r="V32" s="11" t="n">
        <f aca="false">$AO32*IF(V$3&gt;=$AP32+$AQ32*Scenario_Control!$M$19,$AS32*(1+Assumptions!$D$9)/12*(1+Assumptions!$D$8)^(V$5-1)*IF($AQ32=1,Scenario_Control!$M$20,1),0)</f>
        <v>7210</v>
      </c>
      <c r="W32" s="11" t="n">
        <f aca="false">$AO32*IF(W$3&gt;=$AP32+$AQ32*Scenario_Control!$M$19,$AS32*(1+Assumptions!$D$9)/12*(1+Assumptions!$D$8)^(W$5-1)*IF($AQ32=1,Scenario_Control!$M$20,1),0)</f>
        <v>7210</v>
      </c>
      <c r="X32" s="11" t="n">
        <f aca="false">$AO32*IF(X$3&gt;=$AP32+$AQ32*Scenario_Control!$M$19,$AS32*(1+Assumptions!$D$9)/12*(1+Assumptions!$D$8)^(X$5-1)*IF($AQ32=1,Scenario_Control!$M$20,1),0)</f>
        <v>7210</v>
      </c>
      <c r="Y32" s="11" t="n">
        <f aca="false">$AO32*IF(Y$3&gt;=$AP32+$AQ32*Scenario_Control!$M$19,$AS32*(1+Assumptions!$D$9)/12*(1+Assumptions!$D$8)^(Y$5-1)*IF($AQ32=1,Scenario_Control!$M$20,1),0)</f>
        <v>7210</v>
      </c>
      <c r="Z32" s="11" t="n">
        <f aca="false">$AO32*IF(Z$3&gt;=$AP32+$AQ32*Scenario_Control!$M$19,$AS32*(1+Assumptions!$D$9)/12*(1+Assumptions!$D$8)^(Z$5-1)*IF($AQ32=1,Scenario_Control!$M$20,1),0)</f>
        <v>7210</v>
      </c>
      <c r="AA32" s="11" t="n">
        <f aca="false">$AO32*IF(AA$3&gt;=$AP32+$AQ32*Scenario_Control!$M$19,$AS32*(1+Assumptions!$D$9)/12*(1+Assumptions!$D$8)^(AA$5-1)*IF($AQ32=1,Scenario_Control!$M$20,1),0)</f>
        <v>7210</v>
      </c>
      <c r="AB32" s="11" t="n">
        <f aca="false">$AO32*IF(AB$3&gt;=$AP32+$AQ32*Scenario_Control!$M$19,$AS32*(1+Assumptions!$D$9)/12*(1+Assumptions!$D$8)^(AB$5-1)*IF($AQ32=1,Scenario_Control!$M$20,1),0)</f>
        <v>7426.3</v>
      </c>
      <c r="AC32" s="11" t="n">
        <f aca="false">$AO32*IF(AC$3&gt;=$AP32+$AQ32*Scenario_Control!$M$19,$AS32*(1+Assumptions!$D$9)/12*(1+Assumptions!$D$8)^(AC$5-1)*IF($AQ32=1,Scenario_Control!$M$20,1),0)</f>
        <v>7426.3</v>
      </c>
      <c r="AD32" s="11" t="n">
        <f aca="false">$AO32*IF(AD$3&gt;=$AP32+$AQ32*Scenario_Control!$M$19,$AS32*(1+Assumptions!$D$9)/12*(1+Assumptions!$D$8)^(AD$5-1)*IF($AQ32=1,Scenario_Control!$M$20,1),0)</f>
        <v>7426.3</v>
      </c>
      <c r="AE32" s="11" t="n">
        <f aca="false">$AO32*IF(AE$3&gt;=$AP32+$AQ32*Scenario_Control!$M$19,$AS32*(1+Assumptions!$D$9)/12*(1+Assumptions!$D$8)^(AE$5-1)*IF($AQ32=1,Scenario_Control!$M$20,1),0)</f>
        <v>7426.3</v>
      </c>
      <c r="AF32" s="11" t="n">
        <f aca="false">$AO32*IF(AF$3&gt;=$AP32+$AQ32*Scenario_Control!$M$19,$AS32*(1+Assumptions!$D$9)/12*(1+Assumptions!$D$8)^(AF$5-1)*IF($AQ32=1,Scenario_Control!$M$20,1),0)</f>
        <v>7426.3</v>
      </c>
      <c r="AG32" s="11" t="n">
        <f aca="false">$AO32*IF(AG$3&gt;=$AP32+$AQ32*Scenario_Control!$M$19,$AS32*(1+Assumptions!$D$9)/12*(1+Assumptions!$D$8)^(AG$5-1)*IF($AQ32=1,Scenario_Control!$M$20,1),0)</f>
        <v>7426.3</v>
      </c>
      <c r="AH32" s="11" t="n">
        <f aca="false">$AO32*IF(AH$3&gt;=$AP32+$AQ32*Scenario_Control!$M$19,$AS32*(1+Assumptions!$D$9)/12*(1+Assumptions!$D$8)^(AH$5-1)*IF($AQ32=1,Scenario_Control!$M$20,1),0)</f>
        <v>7426.3</v>
      </c>
      <c r="AI32" s="11" t="n">
        <f aca="false">$AO32*IF(AI$3&gt;=$AP32+$AQ32*Scenario_Control!$M$19,$AS32*(1+Assumptions!$D$9)/12*(1+Assumptions!$D$8)^(AI$5-1)*IF($AQ32=1,Scenario_Control!$M$20,1),0)</f>
        <v>7426.3</v>
      </c>
      <c r="AJ32" s="11" t="n">
        <f aca="false">$AO32*IF(AJ$3&gt;=$AP32+$AQ32*Scenario_Control!$M$19,$AS32*(1+Assumptions!$D$9)/12*(1+Assumptions!$D$8)^(AJ$5-1)*IF($AQ32=1,Scenario_Control!$M$20,1),0)</f>
        <v>7426.3</v>
      </c>
      <c r="AK32" s="11" t="n">
        <f aca="false">$AO32*IF(AK$3&gt;=$AP32+$AQ32*Scenario_Control!$M$19,$AS32*(1+Assumptions!$D$9)/12*(1+Assumptions!$D$8)^(AK$5-1)*IF($AQ32=1,Scenario_Control!$M$20,1),0)</f>
        <v>7426.3</v>
      </c>
      <c r="AL32" s="11" t="n">
        <f aca="false">$AO32*IF(AL$3&gt;=$AP32+$AQ32*Scenario_Control!$M$19,$AS32*(1+Assumptions!$D$9)/12*(1+Assumptions!$D$8)^(AL$5-1)*IF($AQ32=1,Scenario_Control!$M$20,1),0)</f>
        <v>7426.3</v>
      </c>
      <c r="AM32" s="11" t="n">
        <f aca="false">$AO32*IF(AM$3&gt;=$AP32+$AQ32*Scenario_Control!$M$19,$AS32*(1+Assumptions!$D$9)/12*(1+Assumptions!$D$8)^(AM$5-1)*IF($AQ32=1,Scenario_Control!$M$20,1),0)</f>
        <v>7426.3</v>
      </c>
      <c r="AO32" s="58" t="n">
        <v>1</v>
      </c>
      <c r="AP32" s="58" t="n">
        <v>14</v>
      </c>
      <c r="AQ32" s="58" t="n">
        <v>1</v>
      </c>
      <c r="AR32" s="58" t="n">
        <v>1</v>
      </c>
      <c r="AS32" s="30" t="n">
        <v>70000</v>
      </c>
      <c r="AT32" s="58" t="s">
        <v>964</v>
      </c>
      <c r="AU32" s="58" t="s">
        <v>968</v>
      </c>
      <c r="AV32" s="58" t="s">
        <v>990</v>
      </c>
      <c r="AW32" s="58" t="n">
        <f aca="false">AP32+AQ32*Scenario_Control!$M$19</f>
        <v>14</v>
      </c>
    </row>
    <row r="33" customFormat="false" ht="15" hidden="false" customHeight="true" outlineLevel="0" collapsed="false">
      <c r="A33" s="5" t="s">
        <v>991</v>
      </c>
      <c r="B33" s="10" t="s">
        <v>964</v>
      </c>
      <c r="C33" s="12" t="n">
        <f aca="false">SUM(D33:AM33)</f>
        <v>300760</v>
      </c>
      <c r="D33" s="11" t="n">
        <f aca="false">$AO33*IF(D$3&gt;=$AP33+$AQ33*Scenario_Control!$M$19,$AS33*(1+Assumptions!$D$9)/12*(1+Assumptions!$D$8)^(D$5-1)*IF($AQ33=1,Scenario_Control!$M$20,1),0)</f>
        <v>0</v>
      </c>
      <c r="E33" s="11" t="n">
        <f aca="false">$AO33*IF(E$3&gt;=$AP33+$AQ33*Scenario_Control!$M$19,$AS33*(1+Assumptions!$D$9)/12*(1+Assumptions!$D$8)^(E$5-1)*IF($AQ33=1,Scenario_Control!$M$20,1),0)</f>
        <v>0</v>
      </c>
      <c r="F33" s="11" t="n">
        <f aca="false">$AO33*IF(F$3&gt;=$AP33+$AQ33*Scenario_Control!$M$19,$AS33*(1+Assumptions!$D$9)/12*(1+Assumptions!$D$8)^(F$5-1)*IF($AQ33=1,Scenario_Control!$M$20,1),0)</f>
        <v>0</v>
      </c>
      <c r="G33" s="11" t="n">
        <f aca="false">$AO33*IF(G$3&gt;=$AP33+$AQ33*Scenario_Control!$M$19,$AS33*(1+Assumptions!$D$9)/12*(1+Assumptions!$D$8)^(G$5-1)*IF($AQ33=1,Scenario_Control!$M$20,1),0)</f>
        <v>0</v>
      </c>
      <c r="H33" s="11" t="n">
        <f aca="false">$AO33*IF(H$3&gt;=$AP33+$AQ33*Scenario_Control!$M$19,$AS33*(1+Assumptions!$D$9)/12*(1+Assumptions!$D$8)^(H$5-1)*IF($AQ33=1,Scenario_Control!$M$20,1),0)</f>
        <v>0</v>
      </c>
      <c r="I33" s="11" t="n">
        <f aca="false">$AO33*IF(I$3&gt;=$AP33+$AQ33*Scenario_Control!$M$19,$AS33*(1+Assumptions!$D$9)/12*(1+Assumptions!$D$8)^(I$5-1)*IF($AQ33=1,Scenario_Control!$M$20,1),0)</f>
        <v>0</v>
      </c>
      <c r="J33" s="11" t="n">
        <f aca="false">$AO33*IF(J$3&gt;=$AP33+$AQ33*Scenario_Control!$M$19,$AS33*(1+Assumptions!$D$9)/12*(1+Assumptions!$D$8)^(J$5-1)*IF($AQ33=1,Scenario_Control!$M$20,1),0)</f>
        <v>0</v>
      </c>
      <c r="K33" s="11" t="n">
        <f aca="false">$AO33*IF(K$3&gt;=$AP33+$AQ33*Scenario_Control!$M$19,$AS33*(1+Assumptions!$D$9)/12*(1+Assumptions!$D$8)^(K$5-1)*IF($AQ33=1,Scenario_Control!$M$20,1),0)</f>
        <v>0</v>
      </c>
      <c r="L33" s="11" t="n">
        <f aca="false">$AO33*IF(L$3&gt;=$AP33+$AQ33*Scenario_Control!$M$19,$AS33*(1+Assumptions!$D$9)/12*(1+Assumptions!$D$8)^(L$5-1)*IF($AQ33=1,Scenario_Control!$M$20,1),0)</f>
        <v>0</v>
      </c>
      <c r="M33" s="11" t="n">
        <f aca="false">$AO33*IF(M$3&gt;=$AP33+$AQ33*Scenario_Control!$M$19,$AS33*(1+Assumptions!$D$9)/12*(1+Assumptions!$D$8)^(M$5-1)*IF($AQ33=1,Scenario_Control!$M$20,1),0)</f>
        <v>0</v>
      </c>
      <c r="N33" s="11" t="n">
        <f aca="false">$AO33*IF(N$3&gt;=$AP33+$AQ33*Scenario_Control!$M$19,$AS33*(1+Assumptions!$D$9)/12*(1+Assumptions!$D$8)^(N$5-1)*IF($AQ33=1,Scenario_Control!$M$20,1),0)</f>
        <v>0</v>
      </c>
      <c r="O33" s="11" t="n">
        <f aca="false">$AO33*IF(O$3&gt;=$AP33+$AQ33*Scenario_Control!$M$19,$AS33*(1+Assumptions!$D$9)/12*(1+Assumptions!$D$8)^(O$5-1)*IF($AQ33=1,Scenario_Control!$M$20,1),0)</f>
        <v>0</v>
      </c>
      <c r="P33" s="11" t="n">
        <f aca="false">$AO33*IF(P$3&gt;=$AP33+$AQ33*Scenario_Control!$M$19,$AS33*(1+Assumptions!$D$9)/12*(1+Assumptions!$D$8)^(P$5-1)*IF($AQ33=1,Scenario_Control!$M$20,1),0)</f>
        <v>0</v>
      </c>
      <c r="Q33" s="11" t="n">
        <f aca="false">$AO33*IF(Q$3&gt;=$AP33+$AQ33*Scenario_Control!$M$19,$AS33*(1+Assumptions!$D$9)/12*(1+Assumptions!$D$8)^(Q$5-1)*IF($AQ33=1,Scenario_Control!$M$20,1),0)</f>
        <v>12875</v>
      </c>
      <c r="R33" s="11" t="n">
        <f aca="false">$AO33*IF(R$3&gt;=$AP33+$AQ33*Scenario_Control!$M$19,$AS33*(1+Assumptions!$D$9)/12*(1+Assumptions!$D$8)^(R$5-1)*IF($AQ33=1,Scenario_Control!$M$20,1),0)</f>
        <v>12875</v>
      </c>
      <c r="S33" s="11" t="n">
        <f aca="false">$AO33*IF(S$3&gt;=$AP33+$AQ33*Scenario_Control!$M$19,$AS33*(1+Assumptions!$D$9)/12*(1+Assumptions!$D$8)^(S$5-1)*IF($AQ33=1,Scenario_Control!$M$20,1),0)</f>
        <v>12875</v>
      </c>
      <c r="T33" s="11" t="n">
        <f aca="false">$AO33*IF(T$3&gt;=$AP33+$AQ33*Scenario_Control!$M$19,$AS33*(1+Assumptions!$D$9)/12*(1+Assumptions!$D$8)^(T$5-1)*IF($AQ33=1,Scenario_Control!$M$20,1),0)</f>
        <v>12875</v>
      </c>
      <c r="U33" s="11" t="n">
        <f aca="false">$AO33*IF(U$3&gt;=$AP33+$AQ33*Scenario_Control!$M$19,$AS33*(1+Assumptions!$D$9)/12*(1+Assumptions!$D$8)^(U$5-1)*IF($AQ33=1,Scenario_Control!$M$20,1),0)</f>
        <v>12875</v>
      </c>
      <c r="V33" s="11" t="n">
        <f aca="false">$AO33*IF(V$3&gt;=$AP33+$AQ33*Scenario_Control!$M$19,$AS33*(1+Assumptions!$D$9)/12*(1+Assumptions!$D$8)^(V$5-1)*IF($AQ33=1,Scenario_Control!$M$20,1),0)</f>
        <v>12875</v>
      </c>
      <c r="W33" s="11" t="n">
        <f aca="false">$AO33*IF(W$3&gt;=$AP33+$AQ33*Scenario_Control!$M$19,$AS33*(1+Assumptions!$D$9)/12*(1+Assumptions!$D$8)^(W$5-1)*IF($AQ33=1,Scenario_Control!$M$20,1),0)</f>
        <v>12875</v>
      </c>
      <c r="X33" s="11" t="n">
        <f aca="false">$AO33*IF(X$3&gt;=$AP33+$AQ33*Scenario_Control!$M$19,$AS33*(1+Assumptions!$D$9)/12*(1+Assumptions!$D$8)^(X$5-1)*IF($AQ33=1,Scenario_Control!$M$20,1),0)</f>
        <v>12875</v>
      </c>
      <c r="Y33" s="11" t="n">
        <f aca="false">$AO33*IF(Y$3&gt;=$AP33+$AQ33*Scenario_Control!$M$19,$AS33*(1+Assumptions!$D$9)/12*(1+Assumptions!$D$8)^(Y$5-1)*IF($AQ33=1,Scenario_Control!$M$20,1),0)</f>
        <v>12875</v>
      </c>
      <c r="Z33" s="11" t="n">
        <f aca="false">$AO33*IF(Z$3&gt;=$AP33+$AQ33*Scenario_Control!$M$19,$AS33*(1+Assumptions!$D$9)/12*(1+Assumptions!$D$8)^(Z$5-1)*IF($AQ33=1,Scenario_Control!$M$20,1),0)</f>
        <v>12875</v>
      </c>
      <c r="AA33" s="11" t="n">
        <f aca="false">$AO33*IF(AA$3&gt;=$AP33+$AQ33*Scenario_Control!$M$19,$AS33*(1+Assumptions!$D$9)/12*(1+Assumptions!$D$8)^(AA$5-1)*IF($AQ33=1,Scenario_Control!$M$20,1),0)</f>
        <v>12875</v>
      </c>
      <c r="AB33" s="11" t="n">
        <f aca="false">$AO33*IF(AB$3&gt;=$AP33+$AQ33*Scenario_Control!$M$19,$AS33*(1+Assumptions!$D$9)/12*(1+Assumptions!$D$8)^(AB$5-1)*IF($AQ33=1,Scenario_Control!$M$20,1),0)</f>
        <v>13261.25</v>
      </c>
      <c r="AC33" s="11" t="n">
        <f aca="false">$AO33*IF(AC$3&gt;=$AP33+$AQ33*Scenario_Control!$M$19,$AS33*(1+Assumptions!$D$9)/12*(1+Assumptions!$D$8)^(AC$5-1)*IF($AQ33=1,Scenario_Control!$M$20,1),0)</f>
        <v>13261.25</v>
      </c>
      <c r="AD33" s="11" t="n">
        <f aca="false">$AO33*IF(AD$3&gt;=$AP33+$AQ33*Scenario_Control!$M$19,$AS33*(1+Assumptions!$D$9)/12*(1+Assumptions!$D$8)^(AD$5-1)*IF($AQ33=1,Scenario_Control!$M$20,1),0)</f>
        <v>13261.25</v>
      </c>
      <c r="AE33" s="11" t="n">
        <f aca="false">$AO33*IF(AE$3&gt;=$AP33+$AQ33*Scenario_Control!$M$19,$AS33*(1+Assumptions!$D$9)/12*(1+Assumptions!$D$8)^(AE$5-1)*IF($AQ33=1,Scenario_Control!$M$20,1),0)</f>
        <v>13261.25</v>
      </c>
      <c r="AF33" s="11" t="n">
        <f aca="false">$AO33*IF(AF$3&gt;=$AP33+$AQ33*Scenario_Control!$M$19,$AS33*(1+Assumptions!$D$9)/12*(1+Assumptions!$D$8)^(AF$5-1)*IF($AQ33=1,Scenario_Control!$M$20,1),0)</f>
        <v>13261.25</v>
      </c>
      <c r="AG33" s="11" t="n">
        <f aca="false">$AO33*IF(AG$3&gt;=$AP33+$AQ33*Scenario_Control!$M$19,$AS33*(1+Assumptions!$D$9)/12*(1+Assumptions!$D$8)^(AG$5-1)*IF($AQ33=1,Scenario_Control!$M$20,1),0)</f>
        <v>13261.25</v>
      </c>
      <c r="AH33" s="11" t="n">
        <f aca="false">$AO33*IF(AH$3&gt;=$AP33+$AQ33*Scenario_Control!$M$19,$AS33*(1+Assumptions!$D$9)/12*(1+Assumptions!$D$8)^(AH$5-1)*IF($AQ33=1,Scenario_Control!$M$20,1),0)</f>
        <v>13261.25</v>
      </c>
      <c r="AI33" s="11" t="n">
        <f aca="false">$AO33*IF(AI$3&gt;=$AP33+$AQ33*Scenario_Control!$M$19,$AS33*(1+Assumptions!$D$9)/12*(1+Assumptions!$D$8)^(AI$5-1)*IF($AQ33=1,Scenario_Control!$M$20,1),0)</f>
        <v>13261.25</v>
      </c>
      <c r="AJ33" s="11" t="n">
        <f aca="false">$AO33*IF(AJ$3&gt;=$AP33+$AQ33*Scenario_Control!$M$19,$AS33*(1+Assumptions!$D$9)/12*(1+Assumptions!$D$8)^(AJ$5-1)*IF($AQ33=1,Scenario_Control!$M$20,1),0)</f>
        <v>13261.25</v>
      </c>
      <c r="AK33" s="11" t="n">
        <f aca="false">$AO33*IF(AK$3&gt;=$AP33+$AQ33*Scenario_Control!$M$19,$AS33*(1+Assumptions!$D$9)/12*(1+Assumptions!$D$8)^(AK$5-1)*IF($AQ33=1,Scenario_Control!$M$20,1),0)</f>
        <v>13261.25</v>
      </c>
      <c r="AL33" s="11" t="n">
        <f aca="false">$AO33*IF(AL$3&gt;=$AP33+$AQ33*Scenario_Control!$M$19,$AS33*(1+Assumptions!$D$9)/12*(1+Assumptions!$D$8)^(AL$5-1)*IF($AQ33=1,Scenario_Control!$M$20,1),0)</f>
        <v>13261.25</v>
      </c>
      <c r="AM33" s="11" t="n">
        <f aca="false">$AO33*IF(AM$3&gt;=$AP33+$AQ33*Scenario_Control!$M$19,$AS33*(1+Assumptions!$D$9)/12*(1+Assumptions!$D$8)^(AM$5-1)*IF($AQ33=1,Scenario_Control!$M$20,1),0)</f>
        <v>13261.25</v>
      </c>
      <c r="AO33" s="58" t="n">
        <v>1</v>
      </c>
      <c r="AP33" s="58" t="n">
        <v>14</v>
      </c>
      <c r="AQ33" s="58" t="n">
        <v>1</v>
      </c>
      <c r="AR33" s="58" t="n">
        <v>1</v>
      </c>
      <c r="AS33" s="30" t="n">
        <v>125000</v>
      </c>
      <c r="AT33" s="58" t="s">
        <v>964</v>
      </c>
      <c r="AU33" s="58" t="s">
        <v>992</v>
      </c>
      <c r="AV33" s="58" t="s">
        <v>985</v>
      </c>
      <c r="AW33" s="58" t="n">
        <f aca="false">AP33+AQ33*Scenario_Control!$M$19</f>
        <v>14</v>
      </c>
    </row>
    <row r="34" customFormat="false" ht="15" hidden="false" customHeight="true" outlineLevel="0" collapsed="false">
      <c r="A34" s="5" t="s">
        <v>993</v>
      </c>
      <c r="B34" s="10" t="s">
        <v>80</v>
      </c>
      <c r="C34" s="12" t="n">
        <f aca="false">SUM(D34:AM34)</f>
        <v>783047.2</v>
      </c>
      <c r="D34" s="11" t="n">
        <f aca="false">$AO34*IF(D$3&gt;=$AP34+$AQ34*Scenario_Control!$M$19,$AS34*(1+Assumptions!$D$9)/12*(1+Assumptions!$D$8)^(D$5-1)*IF($AQ34=1,Scenario_Control!$M$20,1),0)</f>
        <v>0</v>
      </c>
      <c r="E34" s="11" t="n">
        <f aca="false">$AO34*IF(E$3&gt;=$AP34+$AQ34*Scenario_Control!$M$19,$AS34*(1+Assumptions!$D$9)/12*(1+Assumptions!$D$8)^(E$5-1)*IF($AQ34=1,Scenario_Control!$M$20,1),0)</f>
        <v>0</v>
      </c>
      <c r="F34" s="11" t="n">
        <f aca="false">$AO34*IF(F$3&gt;=$AP34+$AQ34*Scenario_Control!$M$19,$AS34*(1+Assumptions!$D$9)/12*(1+Assumptions!$D$8)^(F$5-1)*IF($AQ34=1,Scenario_Control!$M$20,1),0)</f>
        <v>0</v>
      </c>
      <c r="G34" s="11" t="n">
        <f aca="false">$AO34*IF(G$3&gt;=$AP34+$AQ34*Scenario_Control!$M$19,$AS34*(1+Assumptions!$D$9)/12*(1+Assumptions!$D$8)^(G$5-1)*IF($AQ34=1,Scenario_Control!$M$20,1),0)</f>
        <v>0</v>
      </c>
      <c r="H34" s="11" t="n">
        <f aca="false">$AO34*IF(H$3&gt;=$AP34+$AQ34*Scenario_Control!$M$19,$AS34*(1+Assumptions!$D$9)/12*(1+Assumptions!$D$8)^(H$5-1)*IF($AQ34=1,Scenario_Control!$M$20,1),0)</f>
        <v>0</v>
      </c>
      <c r="I34" s="11" t="n">
        <f aca="false">$AO34*IF(I$3&gt;=$AP34+$AQ34*Scenario_Control!$M$19,$AS34*(1+Assumptions!$D$9)/12*(1+Assumptions!$D$8)^(I$5-1)*IF($AQ34=1,Scenario_Control!$M$20,1),0)</f>
        <v>0</v>
      </c>
      <c r="J34" s="11" t="n">
        <f aca="false">$AO34*IF(J$3&gt;=$AP34+$AQ34*Scenario_Control!$M$19,$AS34*(1+Assumptions!$D$9)/12*(1+Assumptions!$D$8)^(J$5-1)*IF($AQ34=1,Scenario_Control!$M$20,1),0)</f>
        <v>0</v>
      </c>
      <c r="K34" s="11" t="n">
        <f aca="false">$AO34*IF(K$3&gt;=$AP34+$AQ34*Scenario_Control!$M$19,$AS34*(1+Assumptions!$D$9)/12*(1+Assumptions!$D$8)^(K$5-1)*IF($AQ34=1,Scenario_Control!$M$20,1),0)</f>
        <v>0</v>
      </c>
      <c r="L34" s="11" t="n">
        <f aca="false">$AO34*IF(L$3&gt;=$AP34+$AQ34*Scenario_Control!$M$19,$AS34*(1+Assumptions!$D$9)/12*(1+Assumptions!$D$8)^(L$5-1)*IF($AQ34=1,Scenario_Control!$M$20,1),0)</f>
        <v>0</v>
      </c>
      <c r="M34" s="11" t="n">
        <f aca="false">$AO34*IF(M$3&gt;=$AP34+$AQ34*Scenario_Control!$M$19,$AS34*(1+Assumptions!$D$9)/12*(1+Assumptions!$D$8)^(M$5-1)*IF($AQ34=1,Scenario_Control!$M$20,1),0)</f>
        <v>0</v>
      </c>
      <c r="N34" s="11" t="n">
        <f aca="false">$AO34*IF(N$3&gt;=$AP34+$AQ34*Scenario_Control!$M$19,$AS34*(1+Assumptions!$D$9)/12*(1+Assumptions!$D$8)^(N$5-1)*IF($AQ34=1,Scenario_Control!$M$20,1),0)</f>
        <v>0</v>
      </c>
      <c r="O34" s="11" t="n">
        <f aca="false">$AO34*IF(O$3&gt;=$AP34+$AQ34*Scenario_Control!$M$19,$AS34*(1+Assumptions!$D$9)/12*(1+Assumptions!$D$8)^(O$5-1)*IF($AQ34=1,Scenario_Control!$M$20,1),0)</f>
        <v>0</v>
      </c>
      <c r="P34" s="11" t="n">
        <f aca="false">$AO34*IF(P$3&gt;=$AP34+$AQ34*Scenario_Control!$M$19,$AS34*(1+Assumptions!$D$9)/12*(1+Assumptions!$D$8)^(P$5-1)*IF($AQ34=1,Scenario_Control!$M$20,1),0)</f>
        <v>0</v>
      </c>
      <c r="Q34" s="11" t="n">
        <f aca="false">$AO34*IF(Q$3&gt;=$AP34+$AQ34*Scenario_Control!$M$19,$AS34*(1+Assumptions!$D$9)/12*(1+Assumptions!$D$8)^(Q$5-1)*IF($AQ34=1,Scenario_Control!$M$20,1),0)</f>
        <v>0</v>
      </c>
      <c r="R34" s="11" t="n">
        <f aca="false">$AO34*IF(R$3&gt;=$AP34+$AQ34*Scenario_Control!$M$19,$AS34*(1+Assumptions!$D$9)/12*(1+Assumptions!$D$8)^(R$5-1)*IF($AQ34=1,Scenario_Control!$M$20,1),0)</f>
        <v>35020</v>
      </c>
      <c r="S34" s="11" t="n">
        <f aca="false">$AO34*IF(S$3&gt;=$AP34+$AQ34*Scenario_Control!$M$19,$AS34*(1+Assumptions!$D$9)/12*(1+Assumptions!$D$8)^(S$5-1)*IF($AQ34=1,Scenario_Control!$M$20,1),0)</f>
        <v>35020</v>
      </c>
      <c r="T34" s="11" t="n">
        <f aca="false">$AO34*IF(T$3&gt;=$AP34+$AQ34*Scenario_Control!$M$19,$AS34*(1+Assumptions!$D$9)/12*(1+Assumptions!$D$8)^(T$5-1)*IF($AQ34=1,Scenario_Control!$M$20,1),0)</f>
        <v>35020</v>
      </c>
      <c r="U34" s="11" t="n">
        <f aca="false">$AO34*IF(U$3&gt;=$AP34+$AQ34*Scenario_Control!$M$19,$AS34*(1+Assumptions!$D$9)/12*(1+Assumptions!$D$8)^(U$5-1)*IF($AQ34=1,Scenario_Control!$M$20,1),0)</f>
        <v>35020</v>
      </c>
      <c r="V34" s="11" t="n">
        <f aca="false">$AO34*IF(V$3&gt;=$AP34+$AQ34*Scenario_Control!$M$19,$AS34*(1+Assumptions!$D$9)/12*(1+Assumptions!$D$8)^(V$5-1)*IF($AQ34=1,Scenario_Control!$M$20,1),0)</f>
        <v>35020</v>
      </c>
      <c r="W34" s="11" t="n">
        <f aca="false">$AO34*IF(W$3&gt;=$AP34+$AQ34*Scenario_Control!$M$19,$AS34*(1+Assumptions!$D$9)/12*(1+Assumptions!$D$8)^(W$5-1)*IF($AQ34=1,Scenario_Control!$M$20,1),0)</f>
        <v>35020</v>
      </c>
      <c r="X34" s="11" t="n">
        <f aca="false">$AO34*IF(X$3&gt;=$AP34+$AQ34*Scenario_Control!$M$19,$AS34*(1+Assumptions!$D$9)/12*(1+Assumptions!$D$8)^(X$5-1)*IF($AQ34=1,Scenario_Control!$M$20,1),0)</f>
        <v>35020</v>
      </c>
      <c r="Y34" s="11" t="n">
        <f aca="false">$AO34*IF(Y$3&gt;=$AP34+$AQ34*Scenario_Control!$M$19,$AS34*(1+Assumptions!$D$9)/12*(1+Assumptions!$D$8)^(Y$5-1)*IF($AQ34=1,Scenario_Control!$M$20,1),0)</f>
        <v>35020</v>
      </c>
      <c r="Z34" s="11" t="n">
        <f aca="false">$AO34*IF(Z$3&gt;=$AP34+$AQ34*Scenario_Control!$M$19,$AS34*(1+Assumptions!$D$9)/12*(1+Assumptions!$D$8)^(Z$5-1)*IF($AQ34=1,Scenario_Control!$M$20,1),0)</f>
        <v>35020</v>
      </c>
      <c r="AA34" s="11" t="n">
        <f aca="false">$AO34*IF(AA$3&gt;=$AP34+$AQ34*Scenario_Control!$M$19,$AS34*(1+Assumptions!$D$9)/12*(1+Assumptions!$D$8)^(AA$5-1)*IF($AQ34=1,Scenario_Control!$M$20,1),0)</f>
        <v>35020</v>
      </c>
      <c r="AB34" s="11" t="n">
        <f aca="false">$AO34*IF(AB$3&gt;=$AP34+$AQ34*Scenario_Control!$M$19,$AS34*(1+Assumptions!$D$9)/12*(1+Assumptions!$D$8)^(AB$5-1)*IF($AQ34=1,Scenario_Control!$M$20,1),0)</f>
        <v>36070.6</v>
      </c>
      <c r="AC34" s="11" t="n">
        <f aca="false">$AO34*IF(AC$3&gt;=$AP34+$AQ34*Scenario_Control!$M$19,$AS34*(1+Assumptions!$D$9)/12*(1+Assumptions!$D$8)^(AC$5-1)*IF($AQ34=1,Scenario_Control!$M$20,1),0)</f>
        <v>36070.6</v>
      </c>
      <c r="AD34" s="11" t="n">
        <f aca="false">$AO34*IF(AD$3&gt;=$AP34+$AQ34*Scenario_Control!$M$19,$AS34*(1+Assumptions!$D$9)/12*(1+Assumptions!$D$8)^(AD$5-1)*IF($AQ34=1,Scenario_Control!$M$20,1),0)</f>
        <v>36070.6</v>
      </c>
      <c r="AE34" s="11" t="n">
        <f aca="false">$AO34*IF(AE$3&gt;=$AP34+$AQ34*Scenario_Control!$M$19,$AS34*(1+Assumptions!$D$9)/12*(1+Assumptions!$D$8)^(AE$5-1)*IF($AQ34=1,Scenario_Control!$M$20,1),0)</f>
        <v>36070.6</v>
      </c>
      <c r="AF34" s="11" t="n">
        <f aca="false">$AO34*IF(AF$3&gt;=$AP34+$AQ34*Scenario_Control!$M$19,$AS34*(1+Assumptions!$D$9)/12*(1+Assumptions!$D$8)^(AF$5-1)*IF($AQ34=1,Scenario_Control!$M$20,1),0)</f>
        <v>36070.6</v>
      </c>
      <c r="AG34" s="11" t="n">
        <f aca="false">$AO34*IF(AG$3&gt;=$AP34+$AQ34*Scenario_Control!$M$19,$AS34*(1+Assumptions!$D$9)/12*(1+Assumptions!$D$8)^(AG$5-1)*IF($AQ34=1,Scenario_Control!$M$20,1),0)</f>
        <v>36070.6</v>
      </c>
      <c r="AH34" s="11" t="n">
        <f aca="false">$AO34*IF(AH$3&gt;=$AP34+$AQ34*Scenario_Control!$M$19,$AS34*(1+Assumptions!$D$9)/12*(1+Assumptions!$D$8)^(AH$5-1)*IF($AQ34=1,Scenario_Control!$M$20,1),0)</f>
        <v>36070.6</v>
      </c>
      <c r="AI34" s="11" t="n">
        <f aca="false">$AO34*IF(AI$3&gt;=$AP34+$AQ34*Scenario_Control!$M$19,$AS34*(1+Assumptions!$D$9)/12*(1+Assumptions!$D$8)^(AI$5-1)*IF($AQ34=1,Scenario_Control!$M$20,1),0)</f>
        <v>36070.6</v>
      </c>
      <c r="AJ34" s="11" t="n">
        <f aca="false">$AO34*IF(AJ$3&gt;=$AP34+$AQ34*Scenario_Control!$M$19,$AS34*(1+Assumptions!$D$9)/12*(1+Assumptions!$D$8)^(AJ$5-1)*IF($AQ34=1,Scenario_Control!$M$20,1),0)</f>
        <v>36070.6</v>
      </c>
      <c r="AK34" s="11" t="n">
        <f aca="false">$AO34*IF(AK$3&gt;=$AP34+$AQ34*Scenario_Control!$M$19,$AS34*(1+Assumptions!$D$9)/12*(1+Assumptions!$D$8)^(AK$5-1)*IF($AQ34=1,Scenario_Control!$M$20,1),0)</f>
        <v>36070.6</v>
      </c>
      <c r="AL34" s="11" t="n">
        <f aca="false">$AO34*IF(AL$3&gt;=$AP34+$AQ34*Scenario_Control!$M$19,$AS34*(1+Assumptions!$D$9)/12*(1+Assumptions!$D$8)^(AL$5-1)*IF($AQ34=1,Scenario_Control!$M$20,1),0)</f>
        <v>36070.6</v>
      </c>
      <c r="AM34" s="11" t="n">
        <f aca="false">$AO34*IF(AM$3&gt;=$AP34+$AQ34*Scenario_Control!$M$19,$AS34*(1+Assumptions!$D$9)/12*(1+Assumptions!$D$8)^(AM$5-1)*IF($AQ34=1,Scenario_Control!$M$20,1),0)</f>
        <v>36070.6</v>
      </c>
      <c r="AO34" s="58" t="n">
        <v>2</v>
      </c>
      <c r="AP34" s="58" t="n">
        <v>15</v>
      </c>
      <c r="AQ34" s="58" t="n">
        <v>1</v>
      </c>
      <c r="AR34" s="58" t="n">
        <v>1</v>
      </c>
      <c r="AS34" s="30" t="n">
        <v>170000</v>
      </c>
      <c r="AT34" s="58" t="s">
        <v>80</v>
      </c>
      <c r="AU34" s="58" t="s">
        <v>956</v>
      </c>
      <c r="AV34" s="58" t="s">
        <v>994</v>
      </c>
      <c r="AW34" s="58" t="n">
        <f aca="false">AP34+AQ34*Scenario_Control!$M$19</f>
        <v>15</v>
      </c>
    </row>
    <row r="35" customFormat="false" ht="15" hidden="false" customHeight="true" outlineLevel="0" collapsed="false">
      <c r="A35" s="5" t="s">
        <v>995</v>
      </c>
      <c r="B35" s="10" t="s">
        <v>964</v>
      </c>
      <c r="C35" s="12" t="n">
        <f aca="false">SUM(D35:AM35)</f>
        <v>253338.8</v>
      </c>
      <c r="D35" s="11" t="n">
        <f aca="false">$AO35*IF(D$3&gt;=$AP35+$AQ35*Scenario_Control!$M$19,$AS35*(1+Assumptions!$D$9)/12*(1+Assumptions!$D$8)^(D$5-1)*IF($AQ35=1,Scenario_Control!$M$20,1),0)</f>
        <v>0</v>
      </c>
      <c r="E35" s="11" t="n">
        <f aca="false">$AO35*IF(E$3&gt;=$AP35+$AQ35*Scenario_Control!$M$19,$AS35*(1+Assumptions!$D$9)/12*(1+Assumptions!$D$8)^(E$5-1)*IF($AQ35=1,Scenario_Control!$M$20,1),0)</f>
        <v>0</v>
      </c>
      <c r="F35" s="11" t="n">
        <f aca="false">$AO35*IF(F$3&gt;=$AP35+$AQ35*Scenario_Control!$M$19,$AS35*(1+Assumptions!$D$9)/12*(1+Assumptions!$D$8)^(F$5-1)*IF($AQ35=1,Scenario_Control!$M$20,1),0)</f>
        <v>0</v>
      </c>
      <c r="G35" s="11" t="n">
        <f aca="false">$AO35*IF(G$3&gt;=$AP35+$AQ35*Scenario_Control!$M$19,$AS35*(1+Assumptions!$D$9)/12*(1+Assumptions!$D$8)^(G$5-1)*IF($AQ35=1,Scenario_Control!$M$20,1),0)</f>
        <v>0</v>
      </c>
      <c r="H35" s="11" t="n">
        <f aca="false">$AO35*IF(H$3&gt;=$AP35+$AQ35*Scenario_Control!$M$19,$AS35*(1+Assumptions!$D$9)/12*(1+Assumptions!$D$8)^(H$5-1)*IF($AQ35=1,Scenario_Control!$M$20,1),0)</f>
        <v>0</v>
      </c>
      <c r="I35" s="11" t="n">
        <f aca="false">$AO35*IF(I$3&gt;=$AP35+$AQ35*Scenario_Control!$M$19,$AS35*(1+Assumptions!$D$9)/12*(1+Assumptions!$D$8)^(I$5-1)*IF($AQ35=1,Scenario_Control!$M$20,1),0)</f>
        <v>0</v>
      </c>
      <c r="J35" s="11" t="n">
        <f aca="false">$AO35*IF(J$3&gt;=$AP35+$AQ35*Scenario_Control!$M$19,$AS35*(1+Assumptions!$D$9)/12*(1+Assumptions!$D$8)^(J$5-1)*IF($AQ35=1,Scenario_Control!$M$20,1),0)</f>
        <v>0</v>
      </c>
      <c r="K35" s="11" t="n">
        <f aca="false">$AO35*IF(K$3&gt;=$AP35+$AQ35*Scenario_Control!$M$19,$AS35*(1+Assumptions!$D$9)/12*(1+Assumptions!$D$8)^(K$5-1)*IF($AQ35=1,Scenario_Control!$M$20,1),0)</f>
        <v>0</v>
      </c>
      <c r="L35" s="11" t="n">
        <f aca="false">$AO35*IF(L$3&gt;=$AP35+$AQ35*Scenario_Control!$M$19,$AS35*(1+Assumptions!$D$9)/12*(1+Assumptions!$D$8)^(L$5-1)*IF($AQ35=1,Scenario_Control!$M$20,1),0)</f>
        <v>0</v>
      </c>
      <c r="M35" s="11" t="n">
        <f aca="false">$AO35*IF(M$3&gt;=$AP35+$AQ35*Scenario_Control!$M$19,$AS35*(1+Assumptions!$D$9)/12*(1+Assumptions!$D$8)^(M$5-1)*IF($AQ35=1,Scenario_Control!$M$20,1),0)</f>
        <v>0</v>
      </c>
      <c r="N35" s="11" t="n">
        <f aca="false">$AO35*IF(N$3&gt;=$AP35+$AQ35*Scenario_Control!$M$19,$AS35*(1+Assumptions!$D$9)/12*(1+Assumptions!$D$8)^(N$5-1)*IF($AQ35=1,Scenario_Control!$M$20,1),0)</f>
        <v>0</v>
      </c>
      <c r="O35" s="11" t="n">
        <f aca="false">$AO35*IF(O$3&gt;=$AP35+$AQ35*Scenario_Control!$M$19,$AS35*(1+Assumptions!$D$9)/12*(1+Assumptions!$D$8)^(O$5-1)*IF($AQ35=1,Scenario_Control!$M$20,1),0)</f>
        <v>0</v>
      </c>
      <c r="P35" s="11" t="n">
        <f aca="false">$AO35*IF(P$3&gt;=$AP35+$AQ35*Scenario_Control!$M$19,$AS35*(1+Assumptions!$D$9)/12*(1+Assumptions!$D$8)^(P$5-1)*IF($AQ35=1,Scenario_Control!$M$20,1),0)</f>
        <v>0</v>
      </c>
      <c r="Q35" s="11" t="n">
        <f aca="false">$AO35*IF(Q$3&gt;=$AP35+$AQ35*Scenario_Control!$M$19,$AS35*(1+Assumptions!$D$9)/12*(1+Assumptions!$D$8)^(Q$5-1)*IF($AQ35=1,Scenario_Control!$M$20,1),0)</f>
        <v>0</v>
      </c>
      <c r="R35" s="11" t="n">
        <f aca="false">$AO35*IF(R$3&gt;=$AP35+$AQ35*Scenario_Control!$M$19,$AS35*(1+Assumptions!$D$9)/12*(1+Assumptions!$D$8)^(R$5-1)*IF($AQ35=1,Scenario_Control!$M$20,1),0)</f>
        <v>11330</v>
      </c>
      <c r="S35" s="11" t="n">
        <f aca="false">$AO35*IF(S$3&gt;=$AP35+$AQ35*Scenario_Control!$M$19,$AS35*(1+Assumptions!$D$9)/12*(1+Assumptions!$D$8)^(S$5-1)*IF($AQ35=1,Scenario_Control!$M$20,1),0)</f>
        <v>11330</v>
      </c>
      <c r="T35" s="11" t="n">
        <f aca="false">$AO35*IF(T$3&gt;=$AP35+$AQ35*Scenario_Control!$M$19,$AS35*(1+Assumptions!$D$9)/12*(1+Assumptions!$D$8)^(T$5-1)*IF($AQ35=1,Scenario_Control!$M$20,1),0)</f>
        <v>11330</v>
      </c>
      <c r="U35" s="11" t="n">
        <f aca="false">$AO35*IF(U$3&gt;=$AP35+$AQ35*Scenario_Control!$M$19,$AS35*(1+Assumptions!$D$9)/12*(1+Assumptions!$D$8)^(U$5-1)*IF($AQ35=1,Scenario_Control!$M$20,1),0)</f>
        <v>11330</v>
      </c>
      <c r="V35" s="11" t="n">
        <f aca="false">$AO35*IF(V$3&gt;=$AP35+$AQ35*Scenario_Control!$M$19,$AS35*(1+Assumptions!$D$9)/12*(1+Assumptions!$D$8)^(V$5-1)*IF($AQ35=1,Scenario_Control!$M$20,1),0)</f>
        <v>11330</v>
      </c>
      <c r="W35" s="11" t="n">
        <f aca="false">$AO35*IF(W$3&gt;=$AP35+$AQ35*Scenario_Control!$M$19,$AS35*(1+Assumptions!$D$9)/12*(1+Assumptions!$D$8)^(W$5-1)*IF($AQ35=1,Scenario_Control!$M$20,1),0)</f>
        <v>11330</v>
      </c>
      <c r="X35" s="11" t="n">
        <f aca="false">$AO35*IF(X$3&gt;=$AP35+$AQ35*Scenario_Control!$M$19,$AS35*(1+Assumptions!$D$9)/12*(1+Assumptions!$D$8)^(X$5-1)*IF($AQ35=1,Scenario_Control!$M$20,1),0)</f>
        <v>11330</v>
      </c>
      <c r="Y35" s="11" t="n">
        <f aca="false">$AO35*IF(Y$3&gt;=$AP35+$AQ35*Scenario_Control!$M$19,$AS35*(1+Assumptions!$D$9)/12*(1+Assumptions!$D$8)^(Y$5-1)*IF($AQ35=1,Scenario_Control!$M$20,1),0)</f>
        <v>11330</v>
      </c>
      <c r="Z35" s="11" t="n">
        <f aca="false">$AO35*IF(Z$3&gt;=$AP35+$AQ35*Scenario_Control!$M$19,$AS35*(1+Assumptions!$D$9)/12*(1+Assumptions!$D$8)^(Z$5-1)*IF($AQ35=1,Scenario_Control!$M$20,1),0)</f>
        <v>11330</v>
      </c>
      <c r="AA35" s="11" t="n">
        <f aca="false">$AO35*IF(AA$3&gt;=$AP35+$AQ35*Scenario_Control!$M$19,$AS35*(1+Assumptions!$D$9)/12*(1+Assumptions!$D$8)^(AA$5-1)*IF($AQ35=1,Scenario_Control!$M$20,1),0)</f>
        <v>11330</v>
      </c>
      <c r="AB35" s="11" t="n">
        <f aca="false">$AO35*IF(AB$3&gt;=$AP35+$AQ35*Scenario_Control!$M$19,$AS35*(1+Assumptions!$D$9)/12*(1+Assumptions!$D$8)^(AB$5-1)*IF($AQ35=1,Scenario_Control!$M$20,1),0)</f>
        <v>11669.9</v>
      </c>
      <c r="AC35" s="11" t="n">
        <f aca="false">$AO35*IF(AC$3&gt;=$AP35+$AQ35*Scenario_Control!$M$19,$AS35*(1+Assumptions!$D$9)/12*(1+Assumptions!$D$8)^(AC$5-1)*IF($AQ35=1,Scenario_Control!$M$20,1),0)</f>
        <v>11669.9</v>
      </c>
      <c r="AD35" s="11" t="n">
        <f aca="false">$AO35*IF(AD$3&gt;=$AP35+$AQ35*Scenario_Control!$M$19,$AS35*(1+Assumptions!$D$9)/12*(1+Assumptions!$D$8)^(AD$5-1)*IF($AQ35=1,Scenario_Control!$M$20,1),0)</f>
        <v>11669.9</v>
      </c>
      <c r="AE35" s="11" t="n">
        <f aca="false">$AO35*IF(AE$3&gt;=$AP35+$AQ35*Scenario_Control!$M$19,$AS35*(1+Assumptions!$D$9)/12*(1+Assumptions!$D$8)^(AE$5-1)*IF($AQ35=1,Scenario_Control!$M$20,1),0)</f>
        <v>11669.9</v>
      </c>
      <c r="AF35" s="11" t="n">
        <f aca="false">$AO35*IF(AF$3&gt;=$AP35+$AQ35*Scenario_Control!$M$19,$AS35*(1+Assumptions!$D$9)/12*(1+Assumptions!$D$8)^(AF$5-1)*IF($AQ35=1,Scenario_Control!$M$20,1),0)</f>
        <v>11669.9</v>
      </c>
      <c r="AG35" s="11" t="n">
        <f aca="false">$AO35*IF(AG$3&gt;=$AP35+$AQ35*Scenario_Control!$M$19,$AS35*(1+Assumptions!$D$9)/12*(1+Assumptions!$D$8)^(AG$5-1)*IF($AQ35=1,Scenario_Control!$M$20,1),0)</f>
        <v>11669.9</v>
      </c>
      <c r="AH35" s="11" t="n">
        <f aca="false">$AO35*IF(AH$3&gt;=$AP35+$AQ35*Scenario_Control!$M$19,$AS35*(1+Assumptions!$D$9)/12*(1+Assumptions!$D$8)^(AH$5-1)*IF($AQ35=1,Scenario_Control!$M$20,1),0)</f>
        <v>11669.9</v>
      </c>
      <c r="AI35" s="11" t="n">
        <f aca="false">$AO35*IF(AI$3&gt;=$AP35+$AQ35*Scenario_Control!$M$19,$AS35*(1+Assumptions!$D$9)/12*(1+Assumptions!$D$8)^(AI$5-1)*IF($AQ35=1,Scenario_Control!$M$20,1),0)</f>
        <v>11669.9</v>
      </c>
      <c r="AJ35" s="11" t="n">
        <f aca="false">$AO35*IF(AJ$3&gt;=$AP35+$AQ35*Scenario_Control!$M$19,$AS35*(1+Assumptions!$D$9)/12*(1+Assumptions!$D$8)^(AJ$5-1)*IF($AQ35=1,Scenario_Control!$M$20,1),0)</f>
        <v>11669.9</v>
      </c>
      <c r="AK35" s="11" t="n">
        <f aca="false">$AO35*IF(AK$3&gt;=$AP35+$AQ35*Scenario_Control!$M$19,$AS35*(1+Assumptions!$D$9)/12*(1+Assumptions!$D$8)^(AK$5-1)*IF($AQ35=1,Scenario_Control!$M$20,1),0)</f>
        <v>11669.9</v>
      </c>
      <c r="AL35" s="11" t="n">
        <f aca="false">$AO35*IF(AL$3&gt;=$AP35+$AQ35*Scenario_Control!$M$19,$AS35*(1+Assumptions!$D$9)/12*(1+Assumptions!$D$8)^(AL$5-1)*IF($AQ35=1,Scenario_Control!$M$20,1),0)</f>
        <v>11669.9</v>
      </c>
      <c r="AM35" s="11" t="n">
        <f aca="false">$AO35*IF(AM$3&gt;=$AP35+$AQ35*Scenario_Control!$M$19,$AS35*(1+Assumptions!$D$9)/12*(1+Assumptions!$D$8)^(AM$5-1)*IF($AQ35=1,Scenario_Control!$M$20,1),0)</f>
        <v>11669.9</v>
      </c>
      <c r="AO35" s="58" t="n">
        <v>1</v>
      </c>
      <c r="AP35" s="58" t="n">
        <v>15</v>
      </c>
      <c r="AQ35" s="58" t="n">
        <v>1</v>
      </c>
      <c r="AR35" s="58" t="n">
        <v>1</v>
      </c>
      <c r="AS35" s="30" t="n">
        <v>110000</v>
      </c>
      <c r="AT35" s="58" t="s">
        <v>964</v>
      </c>
      <c r="AU35" s="58" t="s">
        <v>968</v>
      </c>
      <c r="AV35" s="58" t="s">
        <v>990</v>
      </c>
      <c r="AW35" s="58" t="n">
        <f aca="false">AP35+AQ35*Scenario_Control!$M$19</f>
        <v>15</v>
      </c>
    </row>
    <row r="36" customFormat="false" ht="15" hidden="false" customHeight="true" outlineLevel="0" collapsed="false">
      <c r="A36" s="5" t="s">
        <v>996</v>
      </c>
      <c r="B36" s="10" t="s">
        <v>80</v>
      </c>
      <c r="C36" s="12" t="n">
        <f aca="false">SUM(D36:AM36)</f>
        <v>286010.4</v>
      </c>
      <c r="D36" s="11" t="n">
        <f aca="false">$AO36*IF(D$3&gt;=$AP36+$AQ36*Scenario_Control!$M$19,$AS36*(1+Assumptions!$D$9)/12*(1+Assumptions!$D$8)^(D$5-1)*IF($AQ36=1,Scenario_Control!$M$20,1),0)</f>
        <v>0</v>
      </c>
      <c r="E36" s="11" t="n">
        <f aca="false">$AO36*IF(E$3&gt;=$AP36+$AQ36*Scenario_Control!$M$19,$AS36*(1+Assumptions!$D$9)/12*(1+Assumptions!$D$8)^(E$5-1)*IF($AQ36=1,Scenario_Control!$M$20,1),0)</f>
        <v>0</v>
      </c>
      <c r="F36" s="11" t="n">
        <f aca="false">$AO36*IF(F$3&gt;=$AP36+$AQ36*Scenario_Control!$M$19,$AS36*(1+Assumptions!$D$9)/12*(1+Assumptions!$D$8)^(F$5-1)*IF($AQ36=1,Scenario_Control!$M$20,1),0)</f>
        <v>0</v>
      </c>
      <c r="G36" s="11" t="n">
        <f aca="false">$AO36*IF(G$3&gt;=$AP36+$AQ36*Scenario_Control!$M$19,$AS36*(1+Assumptions!$D$9)/12*(1+Assumptions!$D$8)^(G$5-1)*IF($AQ36=1,Scenario_Control!$M$20,1),0)</f>
        <v>0</v>
      </c>
      <c r="H36" s="11" t="n">
        <f aca="false">$AO36*IF(H$3&gt;=$AP36+$AQ36*Scenario_Control!$M$19,$AS36*(1+Assumptions!$D$9)/12*(1+Assumptions!$D$8)^(H$5-1)*IF($AQ36=1,Scenario_Control!$M$20,1),0)</f>
        <v>0</v>
      </c>
      <c r="I36" s="11" t="n">
        <f aca="false">$AO36*IF(I$3&gt;=$AP36+$AQ36*Scenario_Control!$M$19,$AS36*(1+Assumptions!$D$9)/12*(1+Assumptions!$D$8)^(I$5-1)*IF($AQ36=1,Scenario_Control!$M$20,1),0)</f>
        <v>0</v>
      </c>
      <c r="J36" s="11" t="n">
        <f aca="false">$AO36*IF(J$3&gt;=$AP36+$AQ36*Scenario_Control!$M$19,$AS36*(1+Assumptions!$D$9)/12*(1+Assumptions!$D$8)^(J$5-1)*IF($AQ36=1,Scenario_Control!$M$20,1),0)</f>
        <v>0</v>
      </c>
      <c r="K36" s="11" t="n">
        <f aca="false">$AO36*IF(K$3&gt;=$AP36+$AQ36*Scenario_Control!$M$19,$AS36*(1+Assumptions!$D$9)/12*(1+Assumptions!$D$8)^(K$5-1)*IF($AQ36=1,Scenario_Control!$M$20,1),0)</f>
        <v>0</v>
      </c>
      <c r="L36" s="11" t="n">
        <f aca="false">$AO36*IF(L$3&gt;=$AP36+$AQ36*Scenario_Control!$M$19,$AS36*(1+Assumptions!$D$9)/12*(1+Assumptions!$D$8)^(L$5-1)*IF($AQ36=1,Scenario_Control!$M$20,1),0)</f>
        <v>0</v>
      </c>
      <c r="M36" s="11" t="n">
        <f aca="false">$AO36*IF(M$3&gt;=$AP36+$AQ36*Scenario_Control!$M$19,$AS36*(1+Assumptions!$D$9)/12*(1+Assumptions!$D$8)^(M$5-1)*IF($AQ36=1,Scenario_Control!$M$20,1),0)</f>
        <v>0</v>
      </c>
      <c r="N36" s="11" t="n">
        <f aca="false">$AO36*IF(N$3&gt;=$AP36+$AQ36*Scenario_Control!$M$19,$AS36*(1+Assumptions!$D$9)/12*(1+Assumptions!$D$8)^(N$5-1)*IF($AQ36=1,Scenario_Control!$M$20,1),0)</f>
        <v>0</v>
      </c>
      <c r="O36" s="11" t="n">
        <f aca="false">$AO36*IF(O$3&gt;=$AP36+$AQ36*Scenario_Control!$M$19,$AS36*(1+Assumptions!$D$9)/12*(1+Assumptions!$D$8)^(O$5-1)*IF($AQ36=1,Scenario_Control!$M$20,1),0)</f>
        <v>0</v>
      </c>
      <c r="P36" s="11" t="n">
        <f aca="false">$AO36*IF(P$3&gt;=$AP36+$AQ36*Scenario_Control!$M$19,$AS36*(1+Assumptions!$D$9)/12*(1+Assumptions!$D$8)^(P$5-1)*IF($AQ36=1,Scenario_Control!$M$20,1),0)</f>
        <v>0</v>
      </c>
      <c r="Q36" s="11" t="n">
        <f aca="false">$AO36*IF(Q$3&gt;=$AP36+$AQ36*Scenario_Control!$M$19,$AS36*(1+Assumptions!$D$9)/12*(1+Assumptions!$D$8)^(Q$5-1)*IF($AQ36=1,Scenario_Control!$M$20,1),0)</f>
        <v>0</v>
      </c>
      <c r="R36" s="11" t="n">
        <f aca="false">$AO36*IF(R$3&gt;=$AP36+$AQ36*Scenario_Control!$M$19,$AS36*(1+Assumptions!$D$9)/12*(1+Assumptions!$D$8)^(R$5-1)*IF($AQ36=1,Scenario_Control!$M$20,1),0)</f>
        <v>0</v>
      </c>
      <c r="S36" s="11" t="n">
        <f aca="false">$AO36*IF(S$3&gt;=$AP36+$AQ36*Scenario_Control!$M$19,$AS36*(1+Assumptions!$D$9)/12*(1+Assumptions!$D$8)^(S$5-1)*IF($AQ36=1,Scenario_Control!$M$20,1),0)</f>
        <v>13390</v>
      </c>
      <c r="T36" s="11" t="n">
        <f aca="false">$AO36*IF(T$3&gt;=$AP36+$AQ36*Scenario_Control!$M$19,$AS36*(1+Assumptions!$D$9)/12*(1+Assumptions!$D$8)^(T$5-1)*IF($AQ36=1,Scenario_Control!$M$20,1),0)</f>
        <v>13390</v>
      </c>
      <c r="U36" s="11" t="n">
        <f aca="false">$AO36*IF(U$3&gt;=$AP36+$AQ36*Scenario_Control!$M$19,$AS36*(1+Assumptions!$D$9)/12*(1+Assumptions!$D$8)^(U$5-1)*IF($AQ36=1,Scenario_Control!$M$20,1),0)</f>
        <v>13390</v>
      </c>
      <c r="V36" s="11" t="n">
        <f aca="false">$AO36*IF(V$3&gt;=$AP36+$AQ36*Scenario_Control!$M$19,$AS36*(1+Assumptions!$D$9)/12*(1+Assumptions!$D$8)^(V$5-1)*IF($AQ36=1,Scenario_Control!$M$20,1),0)</f>
        <v>13390</v>
      </c>
      <c r="W36" s="11" t="n">
        <f aca="false">$AO36*IF(W$3&gt;=$AP36+$AQ36*Scenario_Control!$M$19,$AS36*(1+Assumptions!$D$9)/12*(1+Assumptions!$D$8)^(W$5-1)*IF($AQ36=1,Scenario_Control!$M$20,1),0)</f>
        <v>13390</v>
      </c>
      <c r="X36" s="11" t="n">
        <f aca="false">$AO36*IF(X$3&gt;=$AP36+$AQ36*Scenario_Control!$M$19,$AS36*(1+Assumptions!$D$9)/12*(1+Assumptions!$D$8)^(X$5-1)*IF($AQ36=1,Scenario_Control!$M$20,1),0)</f>
        <v>13390</v>
      </c>
      <c r="Y36" s="11" t="n">
        <f aca="false">$AO36*IF(Y$3&gt;=$AP36+$AQ36*Scenario_Control!$M$19,$AS36*(1+Assumptions!$D$9)/12*(1+Assumptions!$D$8)^(Y$5-1)*IF($AQ36=1,Scenario_Control!$M$20,1),0)</f>
        <v>13390</v>
      </c>
      <c r="Z36" s="11" t="n">
        <f aca="false">$AO36*IF(Z$3&gt;=$AP36+$AQ36*Scenario_Control!$M$19,$AS36*(1+Assumptions!$D$9)/12*(1+Assumptions!$D$8)^(Z$5-1)*IF($AQ36=1,Scenario_Control!$M$20,1),0)</f>
        <v>13390</v>
      </c>
      <c r="AA36" s="11" t="n">
        <f aca="false">$AO36*IF(AA$3&gt;=$AP36+$AQ36*Scenario_Control!$M$19,$AS36*(1+Assumptions!$D$9)/12*(1+Assumptions!$D$8)^(AA$5-1)*IF($AQ36=1,Scenario_Control!$M$20,1),0)</f>
        <v>13390</v>
      </c>
      <c r="AB36" s="11" t="n">
        <f aca="false">$AO36*IF(AB$3&gt;=$AP36+$AQ36*Scenario_Control!$M$19,$AS36*(1+Assumptions!$D$9)/12*(1+Assumptions!$D$8)^(AB$5-1)*IF($AQ36=1,Scenario_Control!$M$20,1),0)</f>
        <v>13791.7</v>
      </c>
      <c r="AC36" s="11" t="n">
        <f aca="false">$AO36*IF(AC$3&gt;=$AP36+$AQ36*Scenario_Control!$M$19,$AS36*(1+Assumptions!$D$9)/12*(1+Assumptions!$D$8)^(AC$5-1)*IF($AQ36=1,Scenario_Control!$M$20,1),0)</f>
        <v>13791.7</v>
      </c>
      <c r="AD36" s="11" t="n">
        <f aca="false">$AO36*IF(AD$3&gt;=$AP36+$AQ36*Scenario_Control!$M$19,$AS36*(1+Assumptions!$D$9)/12*(1+Assumptions!$D$8)^(AD$5-1)*IF($AQ36=1,Scenario_Control!$M$20,1),0)</f>
        <v>13791.7</v>
      </c>
      <c r="AE36" s="11" t="n">
        <f aca="false">$AO36*IF(AE$3&gt;=$AP36+$AQ36*Scenario_Control!$M$19,$AS36*(1+Assumptions!$D$9)/12*(1+Assumptions!$D$8)^(AE$5-1)*IF($AQ36=1,Scenario_Control!$M$20,1),0)</f>
        <v>13791.7</v>
      </c>
      <c r="AF36" s="11" t="n">
        <f aca="false">$AO36*IF(AF$3&gt;=$AP36+$AQ36*Scenario_Control!$M$19,$AS36*(1+Assumptions!$D$9)/12*(1+Assumptions!$D$8)^(AF$5-1)*IF($AQ36=1,Scenario_Control!$M$20,1),0)</f>
        <v>13791.7</v>
      </c>
      <c r="AG36" s="11" t="n">
        <f aca="false">$AO36*IF(AG$3&gt;=$AP36+$AQ36*Scenario_Control!$M$19,$AS36*(1+Assumptions!$D$9)/12*(1+Assumptions!$D$8)^(AG$5-1)*IF($AQ36=1,Scenario_Control!$M$20,1),0)</f>
        <v>13791.7</v>
      </c>
      <c r="AH36" s="11" t="n">
        <f aca="false">$AO36*IF(AH$3&gt;=$AP36+$AQ36*Scenario_Control!$M$19,$AS36*(1+Assumptions!$D$9)/12*(1+Assumptions!$D$8)^(AH$5-1)*IF($AQ36=1,Scenario_Control!$M$20,1),0)</f>
        <v>13791.7</v>
      </c>
      <c r="AI36" s="11" t="n">
        <f aca="false">$AO36*IF(AI$3&gt;=$AP36+$AQ36*Scenario_Control!$M$19,$AS36*(1+Assumptions!$D$9)/12*(1+Assumptions!$D$8)^(AI$5-1)*IF($AQ36=1,Scenario_Control!$M$20,1),0)</f>
        <v>13791.7</v>
      </c>
      <c r="AJ36" s="11" t="n">
        <f aca="false">$AO36*IF(AJ$3&gt;=$AP36+$AQ36*Scenario_Control!$M$19,$AS36*(1+Assumptions!$D$9)/12*(1+Assumptions!$D$8)^(AJ$5-1)*IF($AQ36=1,Scenario_Control!$M$20,1),0)</f>
        <v>13791.7</v>
      </c>
      <c r="AK36" s="11" t="n">
        <f aca="false">$AO36*IF(AK$3&gt;=$AP36+$AQ36*Scenario_Control!$M$19,$AS36*(1+Assumptions!$D$9)/12*(1+Assumptions!$D$8)^(AK$5-1)*IF($AQ36=1,Scenario_Control!$M$20,1),0)</f>
        <v>13791.7</v>
      </c>
      <c r="AL36" s="11" t="n">
        <f aca="false">$AO36*IF(AL$3&gt;=$AP36+$AQ36*Scenario_Control!$M$19,$AS36*(1+Assumptions!$D$9)/12*(1+Assumptions!$D$8)^(AL$5-1)*IF($AQ36=1,Scenario_Control!$M$20,1),0)</f>
        <v>13791.7</v>
      </c>
      <c r="AM36" s="11" t="n">
        <f aca="false">$AO36*IF(AM$3&gt;=$AP36+$AQ36*Scenario_Control!$M$19,$AS36*(1+Assumptions!$D$9)/12*(1+Assumptions!$D$8)^(AM$5-1)*IF($AQ36=1,Scenario_Control!$M$20,1),0)</f>
        <v>13791.7</v>
      </c>
      <c r="AO36" s="58" t="n">
        <v>1</v>
      </c>
      <c r="AP36" s="58" t="n">
        <v>16</v>
      </c>
      <c r="AQ36" s="58" t="n">
        <v>1</v>
      </c>
      <c r="AR36" s="58" t="n">
        <v>1</v>
      </c>
      <c r="AS36" s="30" t="n">
        <v>130000</v>
      </c>
      <c r="AT36" s="58" t="s">
        <v>80</v>
      </c>
      <c r="AU36" s="58" t="s">
        <v>956</v>
      </c>
      <c r="AV36" s="58" t="s">
        <v>994</v>
      </c>
      <c r="AW36" s="58" t="n">
        <f aca="false">AP36+AQ36*Scenario_Control!$M$19</f>
        <v>16</v>
      </c>
    </row>
    <row r="37" customFormat="false" ht="15" hidden="false" customHeight="true" outlineLevel="0" collapsed="false">
      <c r="A37" s="5" t="s">
        <v>997</v>
      </c>
      <c r="B37" s="10" t="s">
        <v>964</v>
      </c>
      <c r="C37" s="12" t="n">
        <f aca="false">SUM(D37:AM37)</f>
        <v>187006.8</v>
      </c>
      <c r="D37" s="11" t="n">
        <f aca="false">$AO37*IF(D$3&gt;=$AP37+$AQ37*Scenario_Control!$M$19,$AS37*(1+Assumptions!$D$9)/12*(1+Assumptions!$D$8)^(D$5-1)*IF($AQ37=1,Scenario_Control!$M$20,1),0)</f>
        <v>0</v>
      </c>
      <c r="E37" s="11" t="n">
        <f aca="false">$AO37*IF(E$3&gt;=$AP37+$AQ37*Scenario_Control!$M$19,$AS37*(1+Assumptions!$D$9)/12*(1+Assumptions!$D$8)^(E$5-1)*IF($AQ37=1,Scenario_Control!$M$20,1),0)</f>
        <v>0</v>
      </c>
      <c r="F37" s="11" t="n">
        <f aca="false">$AO37*IF(F$3&gt;=$AP37+$AQ37*Scenario_Control!$M$19,$AS37*(1+Assumptions!$D$9)/12*(1+Assumptions!$D$8)^(F$5-1)*IF($AQ37=1,Scenario_Control!$M$20,1),0)</f>
        <v>0</v>
      </c>
      <c r="G37" s="11" t="n">
        <f aca="false">$AO37*IF(G$3&gt;=$AP37+$AQ37*Scenario_Control!$M$19,$AS37*(1+Assumptions!$D$9)/12*(1+Assumptions!$D$8)^(G$5-1)*IF($AQ37=1,Scenario_Control!$M$20,1),0)</f>
        <v>0</v>
      </c>
      <c r="H37" s="11" t="n">
        <f aca="false">$AO37*IF(H$3&gt;=$AP37+$AQ37*Scenario_Control!$M$19,$AS37*(1+Assumptions!$D$9)/12*(1+Assumptions!$D$8)^(H$5-1)*IF($AQ37=1,Scenario_Control!$M$20,1),0)</f>
        <v>0</v>
      </c>
      <c r="I37" s="11" t="n">
        <f aca="false">$AO37*IF(I$3&gt;=$AP37+$AQ37*Scenario_Control!$M$19,$AS37*(1+Assumptions!$D$9)/12*(1+Assumptions!$D$8)^(I$5-1)*IF($AQ37=1,Scenario_Control!$M$20,1),0)</f>
        <v>0</v>
      </c>
      <c r="J37" s="11" t="n">
        <f aca="false">$AO37*IF(J$3&gt;=$AP37+$AQ37*Scenario_Control!$M$19,$AS37*(1+Assumptions!$D$9)/12*(1+Assumptions!$D$8)^(J$5-1)*IF($AQ37=1,Scenario_Control!$M$20,1),0)</f>
        <v>0</v>
      </c>
      <c r="K37" s="11" t="n">
        <f aca="false">$AO37*IF(K$3&gt;=$AP37+$AQ37*Scenario_Control!$M$19,$AS37*(1+Assumptions!$D$9)/12*(1+Assumptions!$D$8)^(K$5-1)*IF($AQ37=1,Scenario_Control!$M$20,1),0)</f>
        <v>0</v>
      </c>
      <c r="L37" s="11" t="n">
        <f aca="false">$AO37*IF(L$3&gt;=$AP37+$AQ37*Scenario_Control!$M$19,$AS37*(1+Assumptions!$D$9)/12*(1+Assumptions!$D$8)^(L$5-1)*IF($AQ37=1,Scenario_Control!$M$20,1),0)</f>
        <v>0</v>
      </c>
      <c r="M37" s="11" t="n">
        <f aca="false">$AO37*IF(M$3&gt;=$AP37+$AQ37*Scenario_Control!$M$19,$AS37*(1+Assumptions!$D$9)/12*(1+Assumptions!$D$8)^(M$5-1)*IF($AQ37=1,Scenario_Control!$M$20,1),0)</f>
        <v>0</v>
      </c>
      <c r="N37" s="11" t="n">
        <f aca="false">$AO37*IF(N$3&gt;=$AP37+$AQ37*Scenario_Control!$M$19,$AS37*(1+Assumptions!$D$9)/12*(1+Assumptions!$D$8)^(N$5-1)*IF($AQ37=1,Scenario_Control!$M$20,1),0)</f>
        <v>0</v>
      </c>
      <c r="O37" s="11" t="n">
        <f aca="false">$AO37*IF(O$3&gt;=$AP37+$AQ37*Scenario_Control!$M$19,$AS37*(1+Assumptions!$D$9)/12*(1+Assumptions!$D$8)^(O$5-1)*IF($AQ37=1,Scenario_Control!$M$20,1),0)</f>
        <v>0</v>
      </c>
      <c r="P37" s="11" t="n">
        <f aca="false">$AO37*IF(P$3&gt;=$AP37+$AQ37*Scenario_Control!$M$19,$AS37*(1+Assumptions!$D$9)/12*(1+Assumptions!$D$8)^(P$5-1)*IF($AQ37=1,Scenario_Control!$M$20,1),0)</f>
        <v>0</v>
      </c>
      <c r="Q37" s="11" t="n">
        <f aca="false">$AO37*IF(Q$3&gt;=$AP37+$AQ37*Scenario_Control!$M$19,$AS37*(1+Assumptions!$D$9)/12*(1+Assumptions!$D$8)^(Q$5-1)*IF($AQ37=1,Scenario_Control!$M$20,1),0)</f>
        <v>0</v>
      </c>
      <c r="R37" s="11" t="n">
        <f aca="false">$AO37*IF(R$3&gt;=$AP37+$AQ37*Scenario_Control!$M$19,$AS37*(1+Assumptions!$D$9)/12*(1+Assumptions!$D$8)^(R$5-1)*IF($AQ37=1,Scenario_Control!$M$20,1),0)</f>
        <v>0</v>
      </c>
      <c r="S37" s="11" t="n">
        <f aca="false">$AO37*IF(S$3&gt;=$AP37+$AQ37*Scenario_Control!$M$19,$AS37*(1+Assumptions!$D$9)/12*(1+Assumptions!$D$8)^(S$5-1)*IF($AQ37=1,Scenario_Control!$M$20,1),0)</f>
        <v>8755</v>
      </c>
      <c r="T37" s="11" t="n">
        <f aca="false">$AO37*IF(T$3&gt;=$AP37+$AQ37*Scenario_Control!$M$19,$AS37*(1+Assumptions!$D$9)/12*(1+Assumptions!$D$8)^(T$5-1)*IF($AQ37=1,Scenario_Control!$M$20,1),0)</f>
        <v>8755</v>
      </c>
      <c r="U37" s="11" t="n">
        <f aca="false">$AO37*IF(U$3&gt;=$AP37+$AQ37*Scenario_Control!$M$19,$AS37*(1+Assumptions!$D$9)/12*(1+Assumptions!$D$8)^(U$5-1)*IF($AQ37=1,Scenario_Control!$M$20,1),0)</f>
        <v>8755</v>
      </c>
      <c r="V37" s="11" t="n">
        <f aca="false">$AO37*IF(V$3&gt;=$AP37+$AQ37*Scenario_Control!$M$19,$AS37*(1+Assumptions!$D$9)/12*(1+Assumptions!$D$8)^(V$5-1)*IF($AQ37=1,Scenario_Control!$M$20,1),0)</f>
        <v>8755</v>
      </c>
      <c r="W37" s="11" t="n">
        <f aca="false">$AO37*IF(W$3&gt;=$AP37+$AQ37*Scenario_Control!$M$19,$AS37*(1+Assumptions!$D$9)/12*(1+Assumptions!$D$8)^(W$5-1)*IF($AQ37=1,Scenario_Control!$M$20,1),0)</f>
        <v>8755</v>
      </c>
      <c r="X37" s="11" t="n">
        <f aca="false">$AO37*IF(X$3&gt;=$AP37+$AQ37*Scenario_Control!$M$19,$AS37*(1+Assumptions!$D$9)/12*(1+Assumptions!$D$8)^(X$5-1)*IF($AQ37=1,Scenario_Control!$M$20,1),0)</f>
        <v>8755</v>
      </c>
      <c r="Y37" s="11" t="n">
        <f aca="false">$AO37*IF(Y$3&gt;=$AP37+$AQ37*Scenario_Control!$M$19,$AS37*(1+Assumptions!$D$9)/12*(1+Assumptions!$D$8)^(Y$5-1)*IF($AQ37=1,Scenario_Control!$M$20,1),0)</f>
        <v>8755</v>
      </c>
      <c r="Z37" s="11" t="n">
        <f aca="false">$AO37*IF(Z$3&gt;=$AP37+$AQ37*Scenario_Control!$M$19,$AS37*(1+Assumptions!$D$9)/12*(1+Assumptions!$D$8)^(Z$5-1)*IF($AQ37=1,Scenario_Control!$M$20,1),0)</f>
        <v>8755</v>
      </c>
      <c r="AA37" s="11" t="n">
        <f aca="false">$AO37*IF(AA$3&gt;=$AP37+$AQ37*Scenario_Control!$M$19,$AS37*(1+Assumptions!$D$9)/12*(1+Assumptions!$D$8)^(AA$5-1)*IF($AQ37=1,Scenario_Control!$M$20,1),0)</f>
        <v>8755</v>
      </c>
      <c r="AB37" s="11" t="n">
        <f aca="false">$AO37*IF(AB$3&gt;=$AP37+$AQ37*Scenario_Control!$M$19,$AS37*(1+Assumptions!$D$9)/12*(1+Assumptions!$D$8)^(AB$5-1)*IF($AQ37=1,Scenario_Control!$M$20,1),0)</f>
        <v>9017.65</v>
      </c>
      <c r="AC37" s="11" t="n">
        <f aca="false">$AO37*IF(AC$3&gt;=$AP37+$AQ37*Scenario_Control!$M$19,$AS37*(1+Assumptions!$D$9)/12*(1+Assumptions!$D$8)^(AC$5-1)*IF($AQ37=1,Scenario_Control!$M$20,1),0)</f>
        <v>9017.65</v>
      </c>
      <c r="AD37" s="11" t="n">
        <f aca="false">$AO37*IF(AD$3&gt;=$AP37+$AQ37*Scenario_Control!$M$19,$AS37*(1+Assumptions!$D$9)/12*(1+Assumptions!$D$8)^(AD$5-1)*IF($AQ37=1,Scenario_Control!$M$20,1),0)</f>
        <v>9017.65</v>
      </c>
      <c r="AE37" s="11" t="n">
        <f aca="false">$AO37*IF(AE$3&gt;=$AP37+$AQ37*Scenario_Control!$M$19,$AS37*(1+Assumptions!$D$9)/12*(1+Assumptions!$D$8)^(AE$5-1)*IF($AQ37=1,Scenario_Control!$M$20,1),0)</f>
        <v>9017.65</v>
      </c>
      <c r="AF37" s="11" t="n">
        <f aca="false">$AO37*IF(AF$3&gt;=$AP37+$AQ37*Scenario_Control!$M$19,$AS37*(1+Assumptions!$D$9)/12*(1+Assumptions!$D$8)^(AF$5-1)*IF($AQ37=1,Scenario_Control!$M$20,1),0)</f>
        <v>9017.65</v>
      </c>
      <c r="AG37" s="11" t="n">
        <f aca="false">$AO37*IF(AG$3&gt;=$AP37+$AQ37*Scenario_Control!$M$19,$AS37*(1+Assumptions!$D$9)/12*(1+Assumptions!$D$8)^(AG$5-1)*IF($AQ37=1,Scenario_Control!$M$20,1),0)</f>
        <v>9017.65</v>
      </c>
      <c r="AH37" s="11" t="n">
        <f aca="false">$AO37*IF(AH$3&gt;=$AP37+$AQ37*Scenario_Control!$M$19,$AS37*(1+Assumptions!$D$9)/12*(1+Assumptions!$D$8)^(AH$5-1)*IF($AQ37=1,Scenario_Control!$M$20,1),0)</f>
        <v>9017.65</v>
      </c>
      <c r="AI37" s="11" t="n">
        <f aca="false">$AO37*IF(AI$3&gt;=$AP37+$AQ37*Scenario_Control!$M$19,$AS37*(1+Assumptions!$D$9)/12*(1+Assumptions!$D$8)^(AI$5-1)*IF($AQ37=1,Scenario_Control!$M$20,1),0)</f>
        <v>9017.65</v>
      </c>
      <c r="AJ37" s="11" t="n">
        <f aca="false">$AO37*IF(AJ$3&gt;=$AP37+$AQ37*Scenario_Control!$M$19,$AS37*(1+Assumptions!$D$9)/12*(1+Assumptions!$D$8)^(AJ$5-1)*IF($AQ37=1,Scenario_Control!$M$20,1),0)</f>
        <v>9017.65</v>
      </c>
      <c r="AK37" s="11" t="n">
        <f aca="false">$AO37*IF(AK$3&gt;=$AP37+$AQ37*Scenario_Control!$M$19,$AS37*(1+Assumptions!$D$9)/12*(1+Assumptions!$D$8)^(AK$5-1)*IF($AQ37=1,Scenario_Control!$M$20,1),0)</f>
        <v>9017.65</v>
      </c>
      <c r="AL37" s="11" t="n">
        <f aca="false">$AO37*IF(AL$3&gt;=$AP37+$AQ37*Scenario_Control!$M$19,$AS37*(1+Assumptions!$D$9)/12*(1+Assumptions!$D$8)^(AL$5-1)*IF($AQ37=1,Scenario_Control!$M$20,1),0)</f>
        <v>9017.65</v>
      </c>
      <c r="AM37" s="11" t="n">
        <f aca="false">$AO37*IF(AM$3&gt;=$AP37+$AQ37*Scenario_Control!$M$19,$AS37*(1+Assumptions!$D$9)/12*(1+Assumptions!$D$8)^(AM$5-1)*IF($AQ37=1,Scenario_Control!$M$20,1),0)</f>
        <v>9017.65</v>
      </c>
      <c r="AO37" s="58" t="n">
        <v>1</v>
      </c>
      <c r="AP37" s="58" t="n">
        <v>16</v>
      </c>
      <c r="AQ37" s="58" t="n">
        <v>1</v>
      </c>
      <c r="AR37" s="58" t="n">
        <v>1</v>
      </c>
      <c r="AS37" s="30" t="n">
        <v>85000</v>
      </c>
      <c r="AT37" s="58" t="s">
        <v>964</v>
      </c>
      <c r="AU37" s="58" t="s">
        <v>984</v>
      </c>
      <c r="AV37" s="58" t="s">
        <v>985</v>
      </c>
      <c r="AW37" s="58" t="n">
        <f aca="false">AP37+AQ37*Scenario_Control!$M$19</f>
        <v>16</v>
      </c>
    </row>
    <row r="38" customFormat="false" ht="15" hidden="false" customHeight="true" outlineLevel="0" collapsed="false">
      <c r="A38" s="5" t="s">
        <v>998</v>
      </c>
      <c r="B38" s="10" t="s">
        <v>976</v>
      </c>
      <c r="C38" s="12" t="n">
        <f aca="false">SUM(D38:AM38)</f>
        <v>188737.2</v>
      </c>
      <c r="D38" s="11" t="n">
        <f aca="false">$AO38*IF(D$3&gt;=$AP38+$AQ38*Scenario_Control!$M$19,$AS38*(1+Assumptions!$D$9)/12*(1+Assumptions!$D$8)^(D$5-1)*IF($AQ38=1,Scenario_Control!$M$20,1),0)</f>
        <v>0</v>
      </c>
      <c r="E38" s="11" t="n">
        <f aca="false">$AO38*IF(E$3&gt;=$AP38+$AQ38*Scenario_Control!$M$19,$AS38*(1+Assumptions!$D$9)/12*(1+Assumptions!$D$8)^(E$5-1)*IF($AQ38=1,Scenario_Control!$M$20,1),0)</f>
        <v>0</v>
      </c>
      <c r="F38" s="11" t="n">
        <f aca="false">$AO38*IF(F$3&gt;=$AP38+$AQ38*Scenario_Control!$M$19,$AS38*(1+Assumptions!$D$9)/12*(1+Assumptions!$D$8)^(F$5-1)*IF($AQ38=1,Scenario_Control!$M$20,1),0)</f>
        <v>0</v>
      </c>
      <c r="G38" s="11" t="n">
        <f aca="false">$AO38*IF(G$3&gt;=$AP38+$AQ38*Scenario_Control!$M$19,$AS38*(1+Assumptions!$D$9)/12*(1+Assumptions!$D$8)^(G$5-1)*IF($AQ38=1,Scenario_Control!$M$20,1),0)</f>
        <v>0</v>
      </c>
      <c r="H38" s="11" t="n">
        <f aca="false">$AO38*IF(H$3&gt;=$AP38+$AQ38*Scenario_Control!$M$19,$AS38*(1+Assumptions!$D$9)/12*(1+Assumptions!$D$8)^(H$5-1)*IF($AQ38=1,Scenario_Control!$M$20,1),0)</f>
        <v>0</v>
      </c>
      <c r="I38" s="11" t="n">
        <f aca="false">$AO38*IF(I$3&gt;=$AP38+$AQ38*Scenario_Control!$M$19,$AS38*(1+Assumptions!$D$9)/12*(1+Assumptions!$D$8)^(I$5-1)*IF($AQ38=1,Scenario_Control!$M$20,1),0)</f>
        <v>0</v>
      </c>
      <c r="J38" s="11" t="n">
        <f aca="false">$AO38*IF(J$3&gt;=$AP38+$AQ38*Scenario_Control!$M$19,$AS38*(1+Assumptions!$D$9)/12*(1+Assumptions!$D$8)^(J$5-1)*IF($AQ38=1,Scenario_Control!$M$20,1),0)</f>
        <v>0</v>
      </c>
      <c r="K38" s="11" t="n">
        <f aca="false">$AO38*IF(K$3&gt;=$AP38+$AQ38*Scenario_Control!$M$19,$AS38*(1+Assumptions!$D$9)/12*(1+Assumptions!$D$8)^(K$5-1)*IF($AQ38=1,Scenario_Control!$M$20,1),0)</f>
        <v>0</v>
      </c>
      <c r="L38" s="11" t="n">
        <f aca="false">$AO38*IF(L$3&gt;=$AP38+$AQ38*Scenario_Control!$M$19,$AS38*(1+Assumptions!$D$9)/12*(1+Assumptions!$D$8)^(L$5-1)*IF($AQ38=1,Scenario_Control!$M$20,1),0)</f>
        <v>0</v>
      </c>
      <c r="M38" s="11" t="n">
        <f aca="false">$AO38*IF(M$3&gt;=$AP38+$AQ38*Scenario_Control!$M$19,$AS38*(1+Assumptions!$D$9)/12*(1+Assumptions!$D$8)^(M$5-1)*IF($AQ38=1,Scenario_Control!$M$20,1),0)</f>
        <v>0</v>
      </c>
      <c r="N38" s="11" t="n">
        <f aca="false">$AO38*IF(N$3&gt;=$AP38+$AQ38*Scenario_Control!$M$19,$AS38*(1+Assumptions!$D$9)/12*(1+Assumptions!$D$8)^(N$5-1)*IF($AQ38=1,Scenario_Control!$M$20,1),0)</f>
        <v>0</v>
      </c>
      <c r="O38" s="11" t="n">
        <f aca="false">$AO38*IF(O$3&gt;=$AP38+$AQ38*Scenario_Control!$M$19,$AS38*(1+Assumptions!$D$9)/12*(1+Assumptions!$D$8)^(O$5-1)*IF($AQ38=1,Scenario_Control!$M$20,1),0)</f>
        <v>0</v>
      </c>
      <c r="P38" s="11" t="n">
        <f aca="false">$AO38*IF(P$3&gt;=$AP38+$AQ38*Scenario_Control!$M$19,$AS38*(1+Assumptions!$D$9)/12*(1+Assumptions!$D$8)^(P$5-1)*IF($AQ38=1,Scenario_Control!$M$20,1),0)</f>
        <v>0</v>
      </c>
      <c r="Q38" s="11" t="n">
        <f aca="false">$AO38*IF(Q$3&gt;=$AP38+$AQ38*Scenario_Control!$M$19,$AS38*(1+Assumptions!$D$9)/12*(1+Assumptions!$D$8)^(Q$5-1)*IF($AQ38=1,Scenario_Control!$M$20,1),0)</f>
        <v>0</v>
      </c>
      <c r="R38" s="11" t="n">
        <f aca="false">$AO38*IF(R$3&gt;=$AP38+$AQ38*Scenario_Control!$M$19,$AS38*(1+Assumptions!$D$9)/12*(1+Assumptions!$D$8)^(R$5-1)*IF($AQ38=1,Scenario_Control!$M$20,1),0)</f>
        <v>0</v>
      </c>
      <c r="S38" s="11" t="n">
        <f aca="false">$AO38*IF(S$3&gt;=$AP38+$AQ38*Scenario_Control!$M$19,$AS38*(1+Assumptions!$D$9)/12*(1+Assumptions!$D$8)^(S$5-1)*IF($AQ38=1,Scenario_Control!$M$20,1),0)</f>
        <v>0</v>
      </c>
      <c r="T38" s="11" t="n">
        <f aca="false">$AO38*IF(T$3&gt;=$AP38+$AQ38*Scenario_Control!$M$19,$AS38*(1+Assumptions!$D$9)/12*(1+Assumptions!$D$8)^(T$5-1)*IF($AQ38=1,Scenario_Control!$M$20,1),0)</f>
        <v>9270</v>
      </c>
      <c r="U38" s="11" t="n">
        <f aca="false">$AO38*IF(U$3&gt;=$AP38+$AQ38*Scenario_Control!$M$19,$AS38*(1+Assumptions!$D$9)/12*(1+Assumptions!$D$8)^(U$5-1)*IF($AQ38=1,Scenario_Control!$M$20,1),0)</f>
        <v>9270</v>
      </c>
      <c r="V38" s="11" t="n">
        <f aca="false">$AO38*IF(V$3&gt;=$AP38+$AQ38*Scenario_Control!$M$19,$AS38*(1+Assumptions!$D$9)/12*(1+Assumptions!$D$8)^(V$5-1)*IF($AQ38=1,Scenario_Control!$M$20,1),0)</f>
        <v>9270</v>
      </c>
      <c r="W38" s="11" t="n">
        <f aca="false">$AO38*IF(W$3&gt;=$AP38+$AQ38*Scenario_Control!$M$19,$AS38*(1+Assumptions!$D$9)/12*(1+Assumptions!$D$8)^(W$5-1)*IF($AQ38=1,Scenario_Control!$M$20,1),0)</f>
        <v>9270</v>
      </c>
      <c r="X38" s="11" t="n">
        <f aca="false">$AO38*IF(X$3&gt;=$AP38+$AQ38*Scenario_Control!$M$19,$AS38*(1+Assumptions!$D$9)/12*(1+Assumptions!$D$8)^(X$5-1)*IF($AQ38=1,Scenario_Control!$M$20,1),0)</f>
        <v>9270</v>
      </c>
      <c r="Y38" s="11" t="n">
        <f aca="false">$AO38*IF(Y$3&gt;=$AP38+$AQ38*Scenario_Control!$M$19,$AS38*(1+Assumptions!$D$9)/12*(1+Assumptions!$D$8)^(Y$5-1)*IF($AQ38=1,Scenario_Control!$M$20,1),0)</f>
        <v>9270</v>
      </c>
      <c r="Z38" s="11" t="n">
        <f aca="false">$AO38*IF(Z$3&gt;=$AP38+$AQ38*Scenario_Control!$M$19,$AS38*(1+Assumptions!$D$9)/12*(1+Assumptions!$D$8)^(Z$5-1)*IF($AQ38=1,Scenario_Control!$M$20,1),0)</f>
        <v>9270</v>
      </c>
      <c r="AA38" s="11" t="n">
        <f aca="false">$AO38*IF(AA$3&gt;=$AP38+$AQ38*Scenario_Control!$M$19,$AS38*(1+Assumptions!$D$9)/12*(1+Assumptions!$D$8)^(AA$5-1)*IF($AQ38=1,Scenario_Control!$M$20,1),0)</f>
        <v>9270</v>
      </c>
      <c r="AB38" s="11" t="n">
        <f aca="false">$AO38*IF(AB$3&gt;=$AP38+$AQ38*Scenario_Control!$M$19,$AS38*(1+Assumptions!$D$9)/12*(1+Assumptions!$D$8)^(AB$5-1)*IF($AQ38=1,Scenario_Control!$M$20,1),0)</f>
        <v>9548.1</v>
      </c>
      <c r="AC38" s="11" t="n">
        <f aca="false">$AO38*IF(AC$3&gt;=$AP38+$AQ38*Scenario_Control!$M$19,$AS38*(1+Assumptions!$D$9)/12*(1+Assumptions!$D$8)^(AC$5-1)*IF($AQ38=1,Scenario_Control!$M$20,1),0)</f>
        <v>9548.1</v>
      </c>
      <c r="AD38" s="11" t="n">
        <f aca="false">$AO38*IF(AD$3&gt;=$AP38+$AQ38*Scenario_Control!$M$19,$AS38*(1+Assumptions!$D$9)/12*(1+Assumptions!$D$8)^(AD$5-1)*IF($AQ38=1,Scenario_Control!$M$20,1),0)</f>
        <v>9548.1</v>
      </c>
      <c r="AE38" s="11" t="n">
        <f aca="false">$AO38*IF(AE$3&gt;=$AP38+$AQ38*Scenario_Control!$M$19,$AS38*(1+Assumptions!$D$9)/12*(1+Assumptions!$D$8)^(AE$5-1)*IF($AQ38=1,Scenario_Control!$M$20,1),0)</f>
        <v>9548.1</v>
      </c>
      <c r="AF38" s="11" t="n">
        <f aca="false">$AO38*IF(AF$3&gt;=$AP38+$AQ38*Scenario_Control!$M$19,$AS38*(1+Assumptions!$D$9)/12*(1+Assumptions!$D$8)^(AF$5-1)*IF($AQ38=1,Scenario_Control!$M$20,1),0)</f>
        <v>9548.1</v>
      </c>
      <c r="AG38" s="11" t="n">
        <f aca="false">$AO38*IF(AG$3&gt;=$AP38+$AQ38*Scenario_Control!$M$19,$AS38*(1+Assumptions!$D$9)/12*(1+Assumptions!$D$8)^(AG$5-1)*IF($AQ38=1,Scenario_Control!$M$20,1),0)</f>
        <v>9548.1</v>
      </c>
      <c r="AH38" s="11" t="n">
        <f aca="false">$AO38*IF(AH$3&gt;=$AP38+$AQ38*Scenario_Control!$M$19,$AS38*(1+Assumptions!$D$9)/12*(1+Assumptions!$D$8)^(AH$5-1)*IF($AQ38=1,Scenario_Control!$M$20,1),0)</f>
        <v>9548.1</v>
      </c>
      <c r="AI38" s="11" t="n">
        <f aca="false">$AO38*IF(AI$3&gt;=$AP38+$AQ38*Scenario_Control!$M$19,$AS38*(1+Assumptions!$D$9)/12*(1+Assumptions!$D$8)^(AI$5-1)*IF($AQ38=1,Scenario_Control!$M$20,1),0)</f>
        <v>9548.1</v>
      </c>
      <c r="AJ38" s="11" t="n">
        <f aca="false">$AO38*IF(AJ$3&gt;=$AP38+$AQ38*Scenario_Control!$M$19,$AS38*(1+Assumptions!$D$9)/12*(1+Assumptions!$D$8)^(AJ$5-1)*IF($AQ38=1,Scenario_Control!$M$20,1),0)</f>
        <v>9548.1</v>
      </c>
      <c r="AK38" s="11" t="n">
        <f aca="false">$AO38*IF(AK$3&gt;=$AP38+$AQ38*Scenario_Control!$M$19,$AS38*(1+Assumptions!$D$9)/12*(1+Assumptions!$D$8)^(AK$5-1)*IF($AQ38=1,Scenario_Control!$M$20,1),0)</f>
        <v>9548.1</v>
      </c>
      <c r="AL38" s="11" t="n">
        <f aca="false">$AO38*IF(AL$3&gt;=$AP38+$AQ38*Scenario_Control!$M$19,$AS38*(1+Assumptions!$D$9)/12*(1+Assumptions!$D$8)^(AL$5-1)*IF($AQ38=1,Scenario_Control!$M$20,1),0)</f>
        <v>9548.1</v>
      </c>
      <c r="AM38" s="11" t="n">
        <f aca="false">$AO38*IF(AM$3&gt;=$AP38+$AQ38*Scenario_Control!$M$19,$AS38*(1+Assumptions!$D$9)/12*(1+Assumptions!$D$8)^(AM$5-1)*IF($AQ38=1,Scenario_Control!$M$20,1),0)</f>
        <v>9548.1</v>
      </c>
      <c r="AO38" s="58" t="n">
        <v>1</v>
      </c>
      <c r="AP38" s="58" t="n">
        <v>17</v>
      </c>
      <c r="AQ38" s="58" t="n">
        <v>1</v>
      </c>
      <c r="AR38" s="58" t="n">
        <v>1</v>
      </c>
      <c r="AS38" s="30" t="n">
        <v>90000</v>
      </c>
      <c r="AT38" s="58" t="s">
        <v>976</v>
      </c>
      <c r="AU38" s="58" t="s">
        <v>956</v>
      </c>
      <c r="AV38" s="58" t="s">
        <v>985</v>
      </c>
      <c r="AW38" s="58" t="n">
        <f aca="false">AP38+AQ38*Scenario_Control!$M$19</f>
        <v>17</v>
      </c>
    </row>
    <row r="39" customFormat="false" ht="15" hidden="false" customHeight="true" outlineLevel="0" collapsed="false">
      <c r="A39" s="5" t="s">
        <v>999</v>
      </c>
      <c r="B39" s="10" t="s">
        <v>80</v>
      </c>
      <c r="C39" s="12" t="n">
        <f aca="false">SUM(D39:AM39)</f>
        <v>348964</v>
      </c>
      <c r="D39" s="11" t="n">
        <f aca="false">$AO39*IF(D$3&gt;=$AP39+$AQ39*Scenario_Control!$M$19,$AS39*(1+Assumptions!$D$9)/12*(1+Assumptions!$D$8)^(D$5-1)*IF($AQ39=1,Scenario_Control!$M$20,1),0)</f>
        <v>0</v>
      </c>
      <c r="E39" s="11" t="n">
        <f aca="false">$AO39*IF(E$3&gt;=$AP39+$AQ39*Scenario_Control!$M$19,$AS39*(1+Assumptions!$D$9)/12*(1+Assumptions!$D$8)^(E$5-1)*IF($AQ39=1,Scenario_Control!$M$20,1),0)</f>
        <v>0</v>
      </c>
      <c r="F39" s="11" t="n">
        <f aca="false">$AO39*IF(F$3&gt;=$AP39+$AQ39*Scenario_Control!$M$19,$AS39*(1+Assumptions!$D$9)/12*(1+Assumptions!$D$8)^(F$5-1)*IF($AQ39=1,Scenario_Control!$M$20,1),0)</f>
        <v>0</v>
      </c>
      <c r="G39" s="11" t="n">
        <f aca="false">$AO39*IF(G$3&gt;=$AP39+$AQ39*Scenario_Control!$M$19,$AS39*(1+Assumptions!$D$9)/12*(1+Assumptions!$D$8)^(G$5-1)*IF($AQ39=1,Scenario_Control!$M$20,1),0)</f>
        <v>0</v>
      </c>
      <c r="H39" s="11" t="n">
        <f aca="false">$AO39*IF(H$3&gt;=$AP39+$AQ39*Scenario_Control!$M$19,$AS39*(1+Assumptions!$D$9)/12*(1+Assumptions!$D$8)^(H$5-1)*IF($AQ39=1,Scenario_Control!$M$20,1),0)</f>
        <v>0</v>
      </c>
      <c r="I39" s="11" t="n">
        <f aca="false">$AO39*IF(I$3&gt;=$AP39+$AQ39*Scenario_Control!$M$19,$AS39*(1+Assumptions!$D$9)/12*(1+Assumptions!$D$8)^(I$5-1)*IF($AQ39=1,Scenario_Control!$M$20,1),0)</f>
        <v>0</v>
      </c>
      <c r="J39" s="11" t="n">
        <f aca="false">$AO39*IF(J$3&gt;=$AP39+$AQ39*Scenario_Control!$M$19,$AS39*(1+Assumptions!$D$9)/12*(1+Assumptions!$D$8)^(J$5-1)*IF($AQ39=1,Scenario_Control!$M$20,1),0)</f>
        <v>0</v>
      </c>
      <c r="K39" s="11" t="n">
        <f aca="false">$AO39*IF(K$3&gt;=$AP39+$AQ39*Scenario_Control!$M$19,$AS39*(1+Assumptions!$D$9)/12*(1+Assumptions!$D$8)^(K$5-1)*IF($AQ39=1,Scenario_Control!$M$20,1),0)</f>
        <v>0</v>
      </c>
      <c r="L39" s="11" t="n">
        <f aca="false">$AO39*IF(L$3&gt;=$AP39+$AQ39*Scenario_Control!$M$19,$AS39*(1+Assumptions!$D$9)/12*(1+Assumptions!$D$8)^(L$5-1)*IF($AQ39=1,Scenario_Control!$M$20,1),0)</f>
        <v>0</v>
      </c>
      <c r="M39" s="11" t="n">
        <f aca="false">$AO39*IF(M$3&gt;=$AP39+$AQ39*Scenario_Control!$M$19,$AS39*(1+Assumptions!$D$9)/12*(1+Assumptions!$D$8)^(M$5-1)*IF($AQ39=1,Scenario_Control!$M$20,1),0)</f>
        <v>0</v>
      </c>
      <c r="N39" s="11" t="n">
        <f aca="false">$AO39*IF(N$3&gt;=$AP39+$AQ39*Scenario_Control!$M$19,$AS39*(1+Assumptions!$D$9)/12*(1+Assumptions!$D$8)^(N$5-1)*IF($AQ39=1,Scenario_Control!$M$20,1),0)</f>
        <v>0</v>
      </c>
      <c r="O39" s="11" t="n">
        <f aca="false">$AO39*IF(O$3&gt;=$AP39+$AQ39*Scenario_Control!$M$19,$AS39*(1+Assumptions!$D$9)/12*(1+Assumptions!$D$8)^(O$5-1)*IF($AQ39=1,Scenario_Control!$M$20,1),0)</f>
        <v>0</v>
      </c>
      <c r="P39" s="11" t="n">
        <f aca="false">$AO39*IF(P$3&gt;=$AP39+$AQ39*Scenario_Control!$M$19,$AS39*(1+Assumptions!$D$9)/12*(1+Assumptions!$D$8)^(P$5-1)*IF($AQ39=1,Scenario_Control!$M$20,1),0)</f>
        <v>0</v>
      </c>
      <c r="Q39" s="11" t="n">
        <f aca="false">$AO39*IF(Q$3&gt;=$AP39+$AQ39*Scenario_Control!$M$19,$AS39*(1+Assumptions!$D$9)/12*(1+Assumptions!$D$8)^(Q$5-1)*IF($AQ39=1,Scenario_Control!$M$20,1),0)</f>
        <v>0</v>
      </c>
      <c r="R39" s="11" t="n">
        <f aca="false">$AO39*IF(R$3&gt;=$AP39+$AQ39*Scenario_Control!$M$19,$AS39*(1+Assumptions!$D$9)/12*(1+Assumptions!$D$8)^(R$5-1)*IF($AQ39=1,Scenario_Control!$M$20,1),0)</f>
        <v>0</v>
      </c>
      <c r="S39" s="11" t="n">
        <f aca="false">$AO39*IF(S$3&gt;=$AP39+$AQ39*Scenario_Control!$M$19,$AS39*(1+Assumptions!$D$9)/12*(1+Assumptions!$D$8)^(S$5-1)*IF($AQ39=1,Scenario_Control!$M$20,1),0)</f>
        <v>0</v>
      </c>
      <c r="T39" s="11" t="n">
        <f aca="false">$AO39*IF(T$3&gt;=$AP39+$AQ39*Scenario_Control!$M$19,$AS39*(1+Assumptions!$D$9)/12*(1+Assumptions!$D$8)^(T$5-1)*IF($AQ39=1,Scenario_Control!$M$20,1),0)</f>
        <v>0</v>
      </c>
      <c r="U39" s="11" t="n">
        <f aca="false">$AO39*IF(U$3&gt;=$AP39+$AQ39*Scenario_Control!$M$19,$AS39*(1+Assumptions!$D$9)/12*(1+Assumptions!$D$8)^(U$5-1)*IF($AQ39=1,Scenario_Control!$M$20,1),0)</f>
        <v>18025</v>
      </c>
      <c r="V39" s="11" t="n">
        <f aca="false">$AO39*IF(V$3&gt;=$AP39+$AQ39*Scenario_Control!$M$19,$AS39*(1+Assumptions!$D$9)/12*(1+Assumptions!$D$8)^(V$5-1)*IF($AQ39=1,Scenario_Control!$M$20,1),0)</f>
        <v>18025</v>
      </c>
      <c r="W39" s="11" t="n">
        <f aca="false">$AO39*IF(W$3&gt;=$AP39+$AQ39*Scenario_Control!$M$19,$AS39*(1+Assumptions!$D$9)/12*(1+Assumptions!$D$8)^(W$5-1)*IF($AQ39=1,Scenario_Control!$M$20,1),0)</f>
        <v>18025</v>
      </c>
      <c r="X39" s="11" t="n">
        <f aca="false">$AO39*IF(X$3&gt;=$AP39+$AQ39*Scenario_Control!$M$19,$AS39*(1+Assumptions!$D$9)/12*(1+Assumptions!$D$8)^(X$5-1)*IF($AQ39=1,Scenario_Control!$M$20,1),0)</f>
        <v>18025</v>
      </c>
      <c r="Y39" s="11" t="n">
        <f aca="false">$AO39*IF(Y$3&gt;=$AP39+$AQ39*Scenario_Control!$M$19,$AS39*(1+Assumptions!$D$9)/12*(1+Assumptions!$D$8)^(Y$5-1)*IF($AQ39=1,Scenario_Control!$M$20,1),0)</f>
        <v>18025</v>
      </c>
      <c r="Z39" s="11" t="n">
        <f aca="false">$AO39*IF(Z$3&gt;=$AP39+$AQ39*Scenario_Control!$M$19,$AS39*(1+Assumptions!$D$9)/12*(1+Assumptions!$D$8)^(Z$5-1)*IF($AQ39=1,Scenario_Control!$M$20,1),0)</f>
        <v>18025</v>
      </c>
      <c r="AA39" s="11" t="n">
        <f aca="false">$AO39*IF(AA$3&gt;=$AP39+$AQ39*Scenario_Control!$M$19,$AS39*(1+Assumptions!$D$9)/12*(1+Assumptions!$D$8)^(AA$5-1)*IF($AQ39=1,Scenario_Control!$M$20,1),0)</f>
        <v>18025</v>
      </c>
      <c r="AB39" s="11" t="n">
        <f aca="false">$AO39*IF(AB$3&gt;=$AP39+$AQ39*Scenario_Control!$M$19,$AS39*(1+Assumptions!$D$9)/12*(1+Assumptions!$D$8)^(AB$5-1)*IF($AQ39=1,Scenario_Control!$M$20,1),0)</f>
        <v>18565.75</v>
      </c>
      <c r="AC39" s="11" t="n">
        <f aca="false">$AO39*IF(AC$3&gt;=$AP39+$AQ39*Scenario_Control!$M$19,$AS39*(1+Assumptions!$D$9)/12*(1+Assumptions!$D$8)^(AC$5-1)*IF($AQ39=1,Scenario_Control!$M$20,1),0)</f>
        <v>18565.75</v>
      </c>
      <c r="AD39" s="11" t="n">
        <f aca="false">$AO39*IF(AD$3&gt;=$AP39+$AQ39*Scenario_Control!$M$19,$AS39*(1+Assumptions!$D$9)/12*(1+Assumptions!$D$8)^(AD$5-1)*IF($AQ39=1,Scenario_Control!$M$20,1),0)</f>
        <v>18565.75</v>
      </c>
      <c r="AE39" s="11" t="n">
        <f aca="false">$AO39*IF(AE$3&gt;=$AP39+$AQ39*Scenario_Control!$M$19,$AS39*(1+Assumptions!$D$9)/12*(1+Assumptions!$D$8)^(AE$5-1)*IF($AQ39=1,Scenario_Control!$M$20,1),0)</f>
        <v>18565.75</v>
      </c>
      <c r="AF39" s="11" t="n">
        <f aca="false">$AO39*IF(AF$3&gt;=$AP39+$AQ39*Scenario_Control!$M$19,$AS39*(1+Assumptions!$D$9)/12*(1+Assumptions!$D$8)^(AF$5-1)*IF($AQ39=1,Scenario_Control!$M$20,1),0)</f>
        <v>18565.75</v>
      </c>
      <c r="AG39" s="11" t="n">
        <f aca="false">$AO39*IF(AG$3&gt;=$AP39+$AQ39*Scenario_Control!$M$19,$AS39*(1+Assumptions!$D$9)/12*(1+Assumptions!$D$8)^(AG$5-1)*IF($AQ39=1,Scenario_Control!$M$20,1),0)</f>
        <v>18565.75</v>
      </c>
      <c r="AH39" s="11" t="n">
        <f aca="false">$AO39*IF(AH$3&gt;=$AP39+$AQ39*Scenario_Control!$M$19,$AS39*(1+Assumptions!$D$9)/12*(1+Assumptions!$D$8)^(AH$5-1)*IF($AQ39=1,Scenario_Control!$M$20,1),0)</f>
        <v>18565.75</v>
      </c>
      <c r="AI39" s="11" t="n">
        <f aca="false">$AO39*IF(AI$3&gt;=$AP39+$AQ39*Scenario_Control!$M$19,$AS39*(1+Assumptions!$D$9)/12*(1+Assumptions!$D$8)^(AI$5-1)*IF($AQ39=1,Scenario_Control!$M$20,1),0)</f>
        <v>18565.75</v>
      </c>
      <c r="AJ39" s="11" t="n">
        <f aca="false">$AO39*IF(AJ$3&gt;=$AP39+$AQ39*Scenario_Control!$M$19,$AS39*(1+Assumptions!$D$9)/12*(1+Assumptions!$D$8)^(AJ$5-1)*IF($AQ39=1,Scenario_Control!$M$20,1),0)</f>
        <v>18565.75</v>
      </c>
      <c r="AK39" s="11" t="n">
        <f aca="false">$AO39*IF(AK$3&gt;=$AP39+$AQ39*Scenario_Control!$M$19,$AS39*(1+Assumptions!$D$9)/12*(1+Assumptions!$D$8)^(AK$5-1)*IF($AQ39=1,Scenario_Control!$M$20,1),0)</f>
        <v>18565.75</v>
      </c>
      <c r="AL39" s="11" t="n">
        <f aca="false">$AO39*IF(AL$3&gt;=$AP39+$AQ39*Scenario_Control!$M$19,$AS39*(1+Assumptions!$D$9)/12*(1+Assumptions!$D$8)^(AL$5-1)*IF($AQ39=1,Scenario_Control!$M$20,1),0)</f>
        <v>18565.75</v>
      </c>
      <c r="AM39" s="11" t="n">
        <f aca="false">$AO39*IF(AM$3&gt;=$AP39+$AQ39*Scenario_Control!$M$19,$AS39*(1+Assumptions!$D$9)/12*(1+Assumptions!$D$8)^(AM$5-1)*IF($AQ39=1,Scenario_Control!$M$20,1),0)</f>
        <v>18565.75</v>
      </c>
      <c r="AO39" s="58" t="n">
        <v>1</v>
      </c>
      <c r="AP39" s="58" t="n">
        <v>18</v>
      </c>
      <c r="AQ39" s="58" t="n">
        <v>1</v>
      </c>
      <c r="AR39" s="58" t="n">
        <v>1</v>
      </c>
      <c r="AS39" s="30" t="n">
        <v>175000</v>
      </c>
      <c r="AT39" s="58" t="s">
        <v>80</v>
      </c>
      <c r="AU39" s="58" t="s">
        <v>956</v>
      </c>
      <c r="AV39" s="58" t="s">
        <v>987</v>
      </c>
      <c r="AW39" s="58" t="n">
        <f aca="false">AP39+AQ39*Scenario_Control!$M$19</f>
        <v>18</v>
      </c>
    </row>
    <row r="40" customFormat="false" ht="15" hidden="false" customHeight="true" outlineLevel="0" collapsed="false">
      <c r="A40" s="5" t="s">
        <v>1000</v>
      </c>
      <c r="B40" s="10" t="s">
        <v>976</v>
      </c>
      <c r="C40" s="12" t="n">
        <f aca="false">SUM(D40:AM40)</f>
        <v>217474.2</v>
      </c>
      <c r="D40" s="11" t="n">
        <f aca="false">$AO40*IF(D$3&gt;=$AP40+$AQ40*Scenario_Control!$M$19,$AS40*(1+Assumptions!$D$9)/12*(1+Assumptions!$D$8)^(D$5-1)*IF($AQ40=1,Scenario_Control!$M$20,1),0)</f>
        <v>0</v>
      </c>
      <c r="E40" s="11" t="n">
        <f aca="false">$AO40*IF(E$3&gt;=$AP40+$AQ40*Scenario_Control!$M$19,$AS40*(1+Assumptions!$D$9)/12*(1+Assumptions!$D$8)^(E$5-1)*IF($AQ40=1,Scenario_Control!$M$20,1),0)</f>
        <v>0</v>
      </c>
      <c r="F40" s="11" t="n">
        <f aca="false">$AO40*IF(F$3&gt;=$AP40+$AQ40*Scenario_Control!$M$19,$AS40*(1+Assumptions!$D$9)/12*(1+Assumptions!$D$8)^(F$5-1)*IF($AQ40=1,Scenario_Control!$M$20,1),0)</f>
        <v>0</v>
      </c>
      <c r="G40" s="11" t="n">
        <f aca="false">$AO40*IF(G$3&gt;=$AP40+$AQ40*Scenario_Control!$M$19,$AS40*(1+Assumptions!$D$9)/12*(1+Assumptions!$D$8)^(G$5-1)*IF($AQ40=1,Scenario_Control!$M$20,1),0)</f>
        <v>0</v>
      </c>
      <c r="H40" s="11" t="n">
        <f aca="false">$AO40*IF(H$3&gt;=$AP40+$AQ40*Scenario_Control!$M$19,$AS40*(1+Assumptions!$D$9)/12*(1+Assumptions!$D$8)^(H$5-1)*IF($AQ40=1,Scenario_Control!$M$20,1),0)</f>
        <v>0</v>
      </c>
      <c r="I40" s="11" t="n">
        <f aca="false">$AO40*IF(I$3&gt;=$AP40+$AQ40*Scenario_Control!$M$19,$AS40*(1+Assumptions!$D$9)/12*(1+Assumptions!$D$8)^(I$5-1)*IF($AQ40=1,Scenario_Control!$M$20,1),0)</f>
        <v>0</v>
      </c>
      <c r="J40" s="11" t="n">
        <f aca="false">$AO40*IF(J$3&gt;=$AP40+$AQ40*Scenario_Control!$M$19,$AS40*(1+Assumptions!$D$9)/12*(1+Assumptions!$D$8)^(J$5-1)*IF($AQ40=1,Scenario_Control!$M$20,1),0)</f>
        <v>0</v>
      </c>
      <c r="K40" s="11" t="n">
        <f aca="false">$AO40*IF(K$3&gt;=$AP40+$AQ40*Scenario_Control!$M$19,$AS40*(1+Assumptions!$D$9)/12*(1+Assumptions!$D$8)^(K$5-1)*IF($AQ40=1,Scenario_Control!$M$20,1),0)</f>
        <v>0</v>
      </c>
      <c r="L40" s="11" t="n">
        <f aca="false">$AO40*IF(L$3&gt;=$AP40+$AQ40*Scenario_Control!$M$19,$AS40*(1+Assumptions!$D$9)/12*(1+Assumptions!$D$8)^(L$5-1)*IF($AQ40=1,Scenario_Control!$M$20,1),0)</f>
        <v>0</v>
      </c>
      <c r="M40" s="11" t="n">
        <f aca="false">$AO40*IF(M$3&gt;=$AP40+$AQ40*Scenario_Control!$M$19,$AS40*(1+Assumptions!$D$9)/12*(1+Assumptions!$D$8)^(M$5-1)*IF($AQ40=1,Scenario_Control!$M$20,1),0)</f>
        <v>0</v>
      </c>
      <c r="N40" s="11" t="n">
        <f aca="false">$AO40*IF(N$3&gt;=$AP40+$AQ40*Scenario_Control!$M$19,$AS40*(1+Assumptions!$D$9)/12*(1+Assumptions!$D$8)^(N$5-1)*IF($AQ40=1,Scenario_Control!$M$20,1),0)</f>
        <v>0</v>
      </c>
      <c r="O40" s="11" t="n">
        <f aca="false">$AO40*IF(O$3&gt;=$AP40+$AQ40*Scenario_Control!$M$19,$AS40*(1+Assumptions!$D$9)/12*(1+Assumptions!$D$8)^(O$5-1)*IF($AQ40=1,Scenario_Control!$M$20,1),0)</f>
        <v>0</v>
      </c>
      <c r="P40" s="11" t="n">
        <f aca="false">$AO40*IF(P$3&gt;=$AP40+$AQ40*Scenario_Control!$M$19,$AS40*(1+Assumptions!$D$9)/12*(1+Assumptions!$D$8)^(P$5-1)*IF($AQ40=1,Scenario_Control!$M$20,1),0)</f>
        <v>0</v>
      </c>
      <c r="Q40" s="11" t="n">
        <f aca="false">$AO40*IF(Q$3&gt;=$AP40+$AQ40*Scenario_Control!$M$19,$AS40*(1+Assumptions!$D$9)/12*(1+Assumptions!$D$8)^(Q$5-1)*IF($AQ40=1,Scenario_Control!$M$20,1),0)</f>
        <v>0</v>
      </c>
      <c r="R40" s="11" t="n">
        <f aca="false">$AO40*IF(R$3&gt;=$AP40+$AQ40*Scenario_Control!$M$19,$AS40*(1+Assumptions!$D$9)/12*(1+Assumptions!$D$8)^(R$5-1)*IF($AQ40=1,Scenario_Control!$M$20,1),0)</f>
        <v>0</v>
      </c>
      <c r="S40" s="11" t="n">
        <f aca="false">$AO40*IF(S$3&gt;=$AP40+$AQ40*Scenario_Control!$M$19,$AS40*(1+Assumptions!$D$9)/12*(1+Assumptions!$D$8)^(S$5-1)*IF($AQ40=1,Scenario_Control!$M$20,1),0)</f>
        <v>0</v>
      </c>
      <c r="T40" s="11" t="n">
        <f aca="false">$AO40*IF(T$3&gt;=$AP40+$AQ40*Scenario_Control!$M$19,$AS40*(1+Assumptions!$D$9)/12*(1+Assumptions!$D$8)^(T$5-1)*IF($AQ40=1,Scenario_Control!$M$20,1),0)</f>
        <v>0</v>
      </c>
      <c r="U40" s="11" t="n">
        <f aca="false">$AO40*IF(U$3&gt;=$AP40+$AQ40*Scenario_Control!$M$19,$AS40*(1+Assumptions!$D$9)/12*(1+Assumptions!$D$8)^(U$5-1)*IF($AQ40=1,Scenario_Control!$M$20,1),0)</f>
        <v>0</v>
      </c>
      <c r="V40" s="11" t="n">
        <f aca="false">$AO40*IF(V$3&gt;=$AP40+$AQ40*Scenario_Control!$M$19,$AS40*(1+Assumptions!$D$9)/12*(1+Assumptions!$D$8)^(V$5-1)*IF($AQ40=1,Scenario_Control!$M$20,1),0)</f>
        <v>11845</v>
      </c>
      <c r="W40" s="11" t="n">
        <f aca="false">$AO40*IF(W$3&gt;=$AP40+$AQ40*Scenario_Control!$M$19,$AS40*(1+Assumptions!$D$9)/12*(1+Assumptions!$D$8)^(W$5-1)*IF($AQ40=1,Scenario_Control!$M$20,1),0)</f>
        <v>11845</v>
      </c>
      <c r="X40" s="11" t="n">
        <f aca="false">$AO40*IF(X$3&gt;=$AP40+$AQ40*Scenario_Control!$M$19,$AS40*(1+Assumptions!$D$9)/12*(1+Assumptions!$D$8)^(X$5-1)*IF($AQ40=1,Scenario_Control!$M$20,1),0)</f>
        <v>11845</v>
      </c>
      <c r="Y40" s="11" t="n">
        <f aca="false">$AO40*IF(Y$3&gt;=$AP40+$AQ40*Scenario_Control!$M$19,$AS40*(1+Assumptions!$D$9)/12*(1+Assumptions!$D$8)^(Y$5-1)*IF($AQ40=1,Scenario_Control!$M$20,1),0)</f>
        <v>11845</v>
      </c>
      <c r="Z40" s="11" t="n">
        <f aca="false">$AO40*IF(Z$3&gt;=$AP40+$AQ40*Scenario_Control!$M$19,$AS40*(1+Assumptions!$D$9)/12*(1+Assumptions!$D$8)^(Z$5-1)*IF($AQ40=1,Scenario_Control!$M$20,1),0)</f>
        <v>11845</v>
      </c>
      <c r="AA40" s="11" t="n">
        <f aca="false">$AO40*IF(AA$3&gt;=$AP40+$AQ40*Scenario_Control!$M$19,$AS40*(1+Assumptions!$D$9)/12*(1+Assumptions!$D$8)^(AA$5-1)*IF($AQ40=1,Scenario_Control!$M$20,1),0)</f>
        <v>11845</v>
      </c>
      <c r="AB40" s="11" t="n">
        <f aca="false">$AO40*IF(AB$3&gt;=$AP40+$AQ40*Scenario_Control!$M$19,$AS40*(1+Assumptions!$D$9)/12*(1+Assumptions!$D$8)^(AB$5-1)*IF($AQ40=1,Scenario_Control!$M$20,1),0)</f>
        <v>12200.35</v>
      </c>
      <c r="AC40" s="11" t="n">
        <f aca="false">$AO40*IF(AC$3&gt;=$AP40+$AQ40*Scenario_Control!$M$19,$AS40*(1+Assumptions!$D$9)/12*(1+Assumptions!$D$8)^(AC$5-1)*IF($AQ40=1,Scenario_Control!$M$20,1),0)</f>
        <v>12200.35</v>
      </c>
      <c r="AD40" s="11" t="n">
        <f aca="false">$AO40*IF(AD$3&gt;=$AP40+$AQ40*Scenario_Control!$M$19,$AS40*(1+Assumptions!$D$9)/12*(1+Assumptions!$D$8)^(AD$5-1)*IF($AQ40=1,Scenario_Control!$M$20,1),0)</f>
        <v>12200.35</v>
      </c>
      <c r="AE40" s="11" t="n">
        <f aca="false">$AO40*IF(AE$3&gt;=$AP40+$AQ40*Scenario_Control!$M$19,$AS40*(1+Assumptions!$D$9)/12*(1+Assumptions!$D$8)^(AE$5-1)*IF($AQ40=1,Scenario_Control!$M$20,1),0)</f>
        <v>12200.35</v>
      </c>
      <c r="AF40" s="11" t="n">
        <f aca="false">$AO40*IF(AF$3&gt;=$AP40+$AQ40*Scenario_Control!$M$19,$AS40*(1+Assumptions!$D$9)/12*(1+Assumptions!$D$8)^(AF$5-1)*IF($AQ40=1,Scenario_Control!$M$20,1),0)</f>
        <v>12200.35</v>
      </c>
      <c r="AG40" s="11" t="n">
        <f aca="false">$AO40*IF(AG$3&gt;=$AP40+$AQ40*Scenario_Control!$M$19,$AS40*(1+Assumptions!$D$9)/12*(1+Assumptions!$D$8)^(AG$5-1)*IF($AQ40=1,Scenario_Control!$M$20,1),0)</f>
        <v>12200.35</v>
      </c>
      <c r="AH40" s="11" t="n">
        <f aca="false">$AO40*IF(AH$3&gt;=$AP40+$AQ40*Scenario_Control!$M$19,$AS40*(1+Assumptions!$D$9)/12*(1+Assumptions!$D$8)^(AH$5-1)*IF($AQ40=1,Scenario_Control!$M$20,1),0)</f>
        <v>12200.35</v>
      </c>
      <c r="AI40" s="11" t="n">
        <f aca="false">$AO40*IF(AI$3&gt;=$AP40+$AQ40*Scenario_Control!$M$19,$AS40*(1+Assumptions!$D$9)/12*(1+Assumptions!$D$8)^(AI$5-1)*IF($AQ40=1,Scenario_Control!$M$20,1),0)</f>
        <v>12200.35</v>
      </c>
      <c r="AJ40" s="11" t="n">
        <f aca="false">$AO40*IF(AJ$3&gt;=$AP40+$AQ40*Scenario_Control!$M$19,$AS40*(1+Assumptions!$D$9)/12*(1+Assumptions!$D$8)^(AJ$5-1)*IF($AQ40=1,Scenario_Control!$M$20,1),0)</f>
        <v>12200.35</v>
      </c>
      <c r="AK40" s="11" t="n">
        <f aca="false">$AO40*IF(AK$3&gt;=$AP40+$AQ40*Scenario_Control!$M$19,$AS40*(1+Assumptions!$D$9)/12*(1+Assumptions!$D$8)^(AK$5-1)*IF($AQ40=1,Scenario_Control!$M$20,1),0)</f>
        <v>12200.35</v>
      </c>
      <c r="AL40" s="11" t="n">
        <f aca="false">$AO40*IF(AL$3&gt;=$AP40+$AQ40*Scenario_Control!$M$19,$AS40*(1+Assumptions!$D$9)/12*(1+Assumptions!$D$8)^(AL$5-1)*IF($AQ40=1,Scenario_Control!$M$20,1),0)</f>
        <v>12200.35</v>
      </c>
      <c r="AM40" s="11" t="n">
        <f aca="false">$AO40*IF(AM$3&gt;=$AP40+$AQ40*Scenario_Control!$M$19,$AS40*(1+Assumptions!$D$9)/12*(1+Assumptions!$D$8)^(AM$5-1)*IF($AQ40=1,Scenario_Control!$M$20,1),0)</f>
        <v>12200.35</v>
      </c>
      <c r="AO40" s="58" t="n">
        <v>1</v>
      </c>
      <c r="AP40" s="58" t="n">
        <v>19</v>
      </c>
      <c r="AQ40" s="58" t="n">
        <v>1</v>
      </c>
      <c r="AR40" s="58" t="n">
        <v>1</v>
      </c>
      <c r="AS40" s="30" t="n">
        <v>115000</v>
      </c>
      <c r="AT40" s="58" t="s">
        <v>976</v>
      </c>
      <c r="AU40" s="58" t="s">
        <v>956</v>
      </c>
      <c r="AV40" s="58" t="s">
        <v>1001</v>
      </c>
      <c r="AW40" s="58" t="n">
        <f aca="false">AP40+AQ40*Scenario_Control!$M$19</f>
        <v>19</v>
      </c>
    </row>
    <row r="41" customFormat="false" ht="15" hidden="false" customHeight="true" outlineLevel="0" collapsed="false">
      <c r="A41" s="5" t="s">
        <v>1002</v>
      </c>
      <c r="B41" s="10" t="s">
        <v>80</v>
      </c>
      <c r="C41" s="12" t="n">
        <f aca="false">SUM(D41:AM41)</f>
        <v>339735.2</v>
      </c>
      <c r="D41" s="11" t="n">
        <f aca="false">$AO41*IF(D$3&gt;=$AP41+$AQ41*Scenario_Control!$M$19,$AS41*(1+Assumptions!$D$9)/12*(1+Assumptions!$D$8)^(D$5-1)*IF($AQ41=1,Scenario_Control!$M$20,1),0)</f>
        <v>0</v>
      </c>
      <c r="E41" s="11" t="n">
        <f aca="false">$AO41*IF(E$3&gt;=$AP41+$AQ41*Scenario_Control!$M$19,$AS41*(1+Assumptions!$D$9)/12*(1+Assumptions!$D$8)^(E$5-1)*IF($AQ41=1,Scenario_Control!$M$20,1),0)</f>
        <v>0</v>
      </c>
      <c r="F41" s="11" t="n">
        <f aca="false">$AO41*IF(F$3&gt;=$AP41+$AQ41*Scenario_Control!$M$19,$AS41*(1+Assumptions!$D$9)/12*(1+Assumptions!$D$8)^(F$5-1)*IF($AQ41=1,Scenario_Control!$M$20,1),0)</f>
        <v>0</v>
      </c>
      <c r="G41" s="11" t="n">
        <f aca="false">$AO41*IF(G$3&gt;=$AP41+$AQ41*Scenario_Control!$M$19,$AS41*(1+Assumptions!$D$9)/12*(1+Assumptions!$D$8)^(G$5-1)*IF($AQ41=1,Scenario_Control!$M$20,1),0)</f>
        <v>0</v>
      </c>
      <c r="H41" s="11" t="n">
        <f aca="false">$AO41*IF(H$3&gt;=$AP41+$AQ41*Scenario_Control!$M$19,$AS41*(1+Assumptions!$D$9)/12*(1+Assumptions!$D$8)^(H$5-1)*IF($AQ41=1,Scenario_Control!$M$20,1),0)</f>
        <v>0</v>
      </c>
      <c r="I41" s="11" t="n">
        <f aca="false">$AO41*IF(I$3&gt;=$AP41+$AQ41*Scenario_Control!$M$19,$AS41*(1+Assumptions!$D$9)/12*(1+Assumptions!$D$8)^(I$5-1)*IF($AQ41=1,Scenario_Control!$M$20,1),0)</f>
        <v>0</v>
      </c>
      <c r="J41" s="11" t="n">
        <f aca="false">$AO41*IF(J$3&gt;=$AP41+$AQ41*Scenario_Control!$M$19,$AS41*(1+Assumptions!$D$9)/12*(1+Assumptions!$D$8)^(J$5-1)*IF($AQ41=1,Scenario_Control!$M$20,1),0)</f>
        <v>0</v>
      </c>
      <c r="K41" s="11" t="n">
        <f aca="false">$AO41*IF(K$3&gt;=$AP41+$AQ41*Scenario_Control!$M$19,$AS41*(1+Assumptions!$D$9)/12*(1+Assumptions!$D$8)^(K$5-1)*IF($AQ41=1,Scenario_Control!$M$20,1),0)</f>
        <v>0</v>
      </c>
      <c r="L41" s="11" t="n">
        <f aca="false">$AO41*IF(L$3&gt;=$AP41+$AQ41*Scenario_Control!$M$19,$AS41*(1+Assumptions!$D$9)/12*(1+Assumptions!$D$8)^(L$5-1)*IF($AQ41=1,Scenario_Control!$M$20,1),0)</f>
        <v>0</v>
      </c>
      <c r="M41" s="11" t="n">
        <f aca="false">$AO41*IF(M$3&gt;=$AP41+$AQ41*Scenario_Control!$M$19,$AS41*(1+Assumptions!$D$9)/12*(1+Assumptions!$D$8)^(M$5-1)*IF($AQ41=1,Scenario_Control!$M$20,1),0)</f>
        <v>0</v>
      </c>
      <c r="N41" s="11" t="n">
        <f aca="false">$AO41*IF(N$3&gt;=$AP41+$AQ41*Scenario_Control!$M$19,$AS41*(1+Assumptions!$D$9)/12*(1+Assumptions!$D$8)^(N$5-1)*IF($AQ41=1,Scenario_Control!$M$20,1),0)</f>
        <v>0</v>
      </c>
      <c r="O41" s="11" t="n">
        <f aca="false">$AO41*IF(O$3&gt;=$AP41+$AQ41*Scenario_Control!$M$19,$AS41*(1+Assumptions!$D$9)/12*(1+Assumptions!$D$8)^(O$5-1)*IF($AQ41=1,Scenario_Control!$M$20,1),0)</f>
        <v>0</v>
      </c>
      <c r="P41" s="11" t="n">
        <f aca="false">$AO41*IF(P$3&gt;=$AP41+$AQ41*Scenario_Control!$M$19,$AS41*(1+Assumptions!$D$9)/12*(1+Assumptions!$D$8)^(P$5-1)*IF($AQ41=1,Scenario_Control!$M$20,1),0)</f>
        <v>0</v>
      </c>
      <c r="Q41" s="11" t="n">
        <f aca="false">$AO41*IF(Q$3&gt;=$AP41+$AQ41*Scenario_Control!$M$19,$AS41*(1+Assumptions!$D$9)/12*(1+Assumptions!$D$8)^(Q$5-1)*IF($AQ41=1,Scenario_Control!$M$20,1),0)</f>
        <v>0</v>
      </c>
      <c r="R41" s="11" t="n">
        <f aca="false">$AO41*IF(R$3&gt;=$AP41+$AQ41*Scenario_Control!$M$19,$AS41*(1+Assumptions!$D$9)/12*(1+Assumptions!$D$8)^(R$5-1)*IF($AQ41=1,Scenario_Control!$M$20,1),0)</f>
        <v>0</v>
      </c>
      <c r="S41" s="11" t="n">
        <f aca="false">$AO41*IF(S$3&gt;=$AP41+$AQ41*Scenario_Control!$M$19,$AS41*(1+Assumptions!$D$9)/12*(1+Assumptions!$D$8)^(S$5-1)*IF($AQ41=1,Scenario_Control!$M$20,1),0)</f>
        <v>0</v>
      </c>
      <c r="T41" s="11" t="n">
        <f aca="false">$AO41*IF(T$3&gt;=$AP41+$AQ41*Scenario_Control!$M$19,$AS41*(1+Assumptions!$D$9)/12*(1+Assumptions!$D$8)^(T$5-1)*IF($AQ41=1,Scenario_Control!$M$20,1),0)</f>
        <v>0</v>
      </c>
      <c r="U41" s="11" t="n">
        <f aca="false">$AO41*IF(U$3&gt;=$AP41+$AQ41*Scenario_Control!$M$19,$AS41*(1+Assumptions!$D$9)/12*(1+Assumptions!$D$8)^(U$5-1)*IF($AQ41=1,Scenario_Control!$M$20,1),0)</f>
        <v>0</v>
      </c>
      <c r="V41" s="11" t="n">
        <f aca="false">$AO41*IF(V$3&gt;=$AP41+$AQ41*Scenario_Control!$M$19,$AS41*(1+Assumptions!$D$9)/12*(1+Assumptions!$D$8)^(V$5-1)*IF($AQ41=1,Scenario_Control!$M$20,1),0)</f>
        <v>0</v>
      </c>
      <c r="W41" s="11" t="n">
        <f aca="false">$AO41*IF(W$3&gt;=$AP41+$AQ41*Scenario_Control!$M$19,$AS41*(1+Assumptions!$D$9)/12*(1+Assumptions!$D$8)^(W$5-1)*IF($AQ41=1,Scenario_Control!$M$20,1),0)</f>
        <v>19570</v>
      </c>
      <c r="X41" s="11" t="n">
        <f aca="false">$AO41*IF(X$3&gt;=$AP41+$AQ41*Scenario_Control!$M$19,$AS41*(1+Assumptions!$D$9)/12*(1+Assumptions!$D$8)^(X$5-1)*IF($AQ41=1,Scenario_Control!$M$20,1),0)</f>
        <v>19570</v>
      </c>
      <c r="Y41" s="11" t="n">
        <f aca="false">$AO41*IF(Y$3&gt;=$AP41+$AQ41*Scenario_Control!$M$19,$AS41*(1+Assumptions!$D$9)/12*(1+Assumptions!$D$8)^(Y$5-1)*IF($AQ41=1,Scenario_Control!$M$20,1),0)</f>
        <v>19570</v>
      </c>
      <c r="Z41" s="11" t="n">
        <f aca="false">$AO41*IF(Z$3&gt;=$AP41+$AQ41*Scenario_Control!$M$19,$AS41*(1+Assumptions!$D$9)/12*(1+Assumptions!$D$8)^(Z$5-1)*IF($AQ41=1,Scenario_Control!$M$20,1),0)</f>
        <v>19570</v>
      </c>
      <c r="AA41" s="11" t="n">
        <f aca="false">$AO41*IF(AA$3&gt;=$AP41+$AQ41*Scenario_Control!$M$19,$AS41*(1+Assumptions!$D$9)/12*(1+Assumptions!$D$8)^(AA$5-1)*IF($AQ41=1,Scenario_Control!$M$20,1),0)</f>
        <v>19570</v>
      </c>
      <c r="AB41" s="11" t="n">
        <f aca="false">$AO41*IF(AB$3&gt;=$AP41+$AQ41*Scenario_Control!$M$19,$AS41*(1+Assumptions!$D$9)/12*(1+Assumptions!$D$8)^(AB$5-1)*IF($AQ41=1,Scenario_Control!$M$20,1),0)</f>
        <v>20157.1</v>
      </c>
      <c r="AC41" s="11" t="n">
        <f aca="false">$AO41*IF(AC$3&gt;=$AP41+$AQ41*Scenario_Control!$M$19,$AS41*(1+Assumptions!$D$9)/12*(1+Assumptions!$D$8)^(AC$5-1)*IF($AQ41=1,Scenario_Control!$M$20,1),0)</f>
        <v>20157.1</v>
      </c>
      <c r="AD41" s="11" t="n">
        <f aca="false">$AO41*IF(AD$3&gt;=$AP41+$AQ41*Scenario_Control!$M$19,$AS41*(1+Assumptions!$D$9)/12*(1+Assumptions!$D$8)^(AD$5-1)*IF($AQ41=1,Scenario_Control!$M$20,1),0)</f>
        <v>20157.1</v>
      </c>
      <c r="AE41" s="11" t="n">
        <f aca="false">$AO41*IF(AE$3&gt;=$AP41+$AQ41*Scenario_Control!$M$19,$AS41*(1+Assumptions!$D$9)/12*(1+Assumptions!$D$8)^(AE$5-1)*IF($AQ41=1,Scenario_Control!$M$20,1),0)</f>
        <v>20157.1</v>
      </c>
      <c r="AF41" s="11" t="n">
        <f aca="false">$AO41*IF(AF$3&gt;=$AP41+$AQ41*Scenario_Control!$M$19,$AS41*(1+Assumptions!$D$9)/12*(1+Assumptions!$D$8)^(AF$5-1)*IF($AQ41=1,Scenario_Control!$M$20,1),0)</f>
        <v>20157.1</v>
      </c>
      <c r="AG41" s="11" t="n">
        <f aca="false">$AO41*IF(AG$3&gt;=$AP41+$AQ41*Scenario_Control!$M$19,$AS41*(1+Assumptions!$D$9)/12*(1+Assumptions!$D$8)^(AG$5-1)*IF($AQ41=1,Scenario_Control!$M$20,1),0)</f>
        <v>20157.1</v>
      </c>
      <c r="AH41" s="11" t="n">
        <f aca="false">$AO41*IF(AH$3&gt;=$AP41+$AQ41*Scenario_Control!$M$19,$AS41*(1+Assumptions!$D$9)/12*(1+Assumptions!$D$8)^(AH$5-1)*IF($AQ41=1,Scenario_Control!$M$20,1),0)</f>
        <v>20157.1</v>
      </c>
      <c r="AI41" s="11" t="n">
        <f aca="false">$AO41*IF(AI$3&gt;=$AP41+$AQ41*Scenario_Control!$M$19,$AS41*(1+Assumptions!$D$9)/12*(1+Assumptions!$D$8)^(AI$5-1)*IF($AQ41=1,Scenario_Control!$M$20,1),0)</f>
        <v>20157.1</v>
      </c>
      <c r="AJ41" s="11" t="n">
        <f aca="false">$AO41*IF(AJ$3&gt;=$AP41+$AQ41*Scenario_Control!$M$19,$AS41*(1+Assumptions!$D$9)/12*(1+Assumptions!$D$8)^(AJ$5-1)*IF($AQ41=1,Scenario_Control!$M$20,1),0)</f>
        <v>20157.1</v>
      </c>
      <c r="AK41" s="11" t="n">
        <f aca="false">$AO41*IF(AK$3&gt;=$AP41+$AQ41*Scenario_Control!$M$19,$AS41*(1+Assumptions!$D$9)/12*(1+Assumptions!$D$8)^(AK$5-1)*IF($AQ41=1,Scenario_Control!$M$20,1),0)</f>
        <v>20157.1</v>
      </c>
      <c r="AL41" s="11" t="n">
        <f aca="false">$AO41*IF(AL$3&gt;=$AP41+$AQ41*Scenario_Control!$M$19,$AS41*(1+Assumptions!$D$9)/12*(1+Assumptions!$D$8)^(AL$5-1)*IF($AQ41=1,Scenario_Control!$M$20,1),0)</f>
        <v>20157.1</v>
      </c>
      <c r="AM41" s="11" t="n">
        <f aca="false">$AO41*IF(AM$3&gt;=$AP41+$AQ41*Scenario_Control!$M$19,$AS41*(1+Assumptions!$D$9)/12*(1+Assumptions!$D$8)^(AM$5-1)*IF($AQ41=1,Scenario_Control!$M$20,1),0)</f>
        <v>20157.1</v>
      </c>
      <c r="AO41" s="58" t="n">
        <v>1</v>
      </c>
      <c r="AP41" s="58" t="n">
        <v>20</v>
      </c>
      <c r="AQ41" s="58" t="n">
        <v>1</v>
      </c>
      <c r="AR41" s="58" t="n">
        <v>1</v>
      </c>
      <c r="AS41" s="30" t="n">
        <v>190000</v>
      </c>
      <c r="AT41" s="58" t="s">
        <v>80</v>
      </c>
      <c r="AU41" s="58" t="s">
        <v>956</v>
      </c>
      <c r="AV41" s="58" t="s">
        <v>994</v>
      </c>
      <c r="AW41" s="58" t="n">
        <f aca="false">AP41+AQ41*Scenario_Control!$M$19</f>
        <v>20</v>
      </c>
    </row>
    <row r="42" customFormat="false" ht="15" hidden="false" customHeight="true" outlineLevel="0" collapsed="false">
      <c r="A42" s="5" t="s">
        <v>1003</v>
      </c>
      <c r="B42" s="10" t="s">
        <v>964</v>
      </c>
      <c r="C42" s="12" t="n">
        <f aca="false">SUM(D42:AM42)</f>
        <v>205629.2</v>
      </c>
      <c r="D42" s="11" t="n">
        <f aca="false">$AO42*IF(D$3&gt;=$AP42+$AQ42*Scenario_Control!$M$19,$AS42*(1+Assumptions!$D$9)/12*(1+Assumptions!$D$8)^(D$5-1)*IF($AQ42=1,Scenario_Control!$M$20,1),0)</f>
        <v>0</v>
      </c>
      <c r="E42" s="11" t="n">
        <f aca="false">$AO42*IF(E$3&gt;=$AP42+$AQ42*Scenario_Control!$M$19,$AS42*(1+Assumptions!$D$9)/12*(1+Assumptions!$D$8)^(E$5-1)*IF($AQ42=1,Scenario_Control!$M$20,1),0)</f>
        <v>0</v>
      </c>
      <c r="F42" s="11" t="n">
        <f aca="false">$AO42*IF(F$3&gt;=$AP42+$AQ42*Scenario_Control!$M$19,$AS42*(1+Assumptions!$D$9)/12*(1+Assumptions!$D$8)^(F$5-1)*IF($AQ42=1,Scenario_Control!$M$20,1),0)</f>
        <v>0</v>
      </c>
      <c r="G42" s="11" t="n">
        <f aca="false">$AO42*IF(G$3&gt;=$AP42+$AQ42*Scenario_Control!$M$19,$AS42*(1+Assumptions!$D$9)/12*(1+Assumptions!$D$8)^(G$5-1)*IF($AQ42=1,Scenario_Control!$M$20,1),0)</f>
        <v>0</v>
      </c>
      <c r="H42" s="11" t="n">
        <f aca="false">$AO42*IF(H$3&gt;=$AP42+$AQ42*Scenario_Control!$M$19,$AS42*(1+Assumptions!$D$9)/12*(1+Assumptions!$D$8)^(H$5-1)*IF($AQ42=1,Scenario_Control!$M$20,1),0)</f>
        <v>0</v>
      </c>
      <c r="I42" s="11" t="n">
        <f aca="false">$AO42*IF(I$3&gt;=$AP42+$AQ42*Scenario_Control!$M$19,$AS42*(1+Assumptions!$D$9)/12*(1+Assumptions!$D$8)^(I$5-1)*IF($AQ42=1,Scenario_Control!$M$20,1),0)</f>
        <v>0</v>
      </c>
      <c r="J42" s="11" t="n">
        <f aca="false">$AO42*IF(J$3&gt;=$AP42+$AQ42*Scenario_Control!$M$19,$AS42*(1+Assumptions!$D$9)/12*(1+Assumptions!$D$8)^(J$5-1)*IF($AQ42=1,Scenario_Control!$M$20,1),0)</f>
        <v>0</v>
      </c>
      <c r="K42" s="11" t="n">
        <f aca="false">$AO42*IF(K$3&gt;=$AP42+$AQ42*Scenario_Control!$M$19,$AS42*(1+Assumptions!$D$9)/12*(1+Assumptions!$D$8)^(K$5-1)*IF($AQ42=1,Scenario_Control!$M$20,1),0)</f>
        <v>0</v>
      </c>
      <c r="L42" s="11" t="n">
        <f aca="false">$AO42*IF(L$3&gt;=$AP42+$AQ42*Scenario_Control!$M$19,$AS42*(1+Assumptions!$D$9)/12*(1+Assumptions!$D$8)^(L$5-1)*IF($AQ42=1,Scenario_Control!$M$20,1),0)</f>
        <v>0</v>
      </c>
      <c r="M42" s="11" t="n">
        <f aca="false">$AO42*IF(M$3&gt;=$AP42+$AQ42*Scenario_Control!$M$19,$AS42*(1+Assumptions!$D$9)/12*(1+Assumptions!$D$8)^(M$5-1)*IF($AQ42=1,Scenario_Control!$M$20,1),0)</f>
        <v>0</v>
      </c>
      <c r="N42" s="11" t="n">
        <f aca="false">$AO42*IF(N$3&gt;=$AP42+$AQ42*Scenario_Control!$M$19,$AS42*(1+Assumptions!$D$9)/12*(1+Assumptions!$D$8)^(N$5-1)*IF($AQ42=1,Scenario_Control!$M$20,1),0)</f>
        <v>0</v>
      </c>
      <c r="O42" s="11" t="n">
        <f aca="false">$AO42*IF(O$3&gt;=$AP42+$AQ42*Scenario_Control!$M$19,$AS42*(1+Assumptions!$D$9)/12*(1+Assumptions!$D$8)^(O$5-1)*IF($AQ42=1,Scenario_Control!$M$20,1),0)</f>
        <v>0</v>
      </c>
      <c r="P42" s="11" t="n">
        <f aca="false">$AO42*IF(P$3&gt;=$AP42+$AQ42*Scenario_Control!$M$19,$AS42*(1+Assumptions!$D$9)/12*(1+Assumptions!$D$8)^(P$5-1)*IF($AQ42=1,Scenario_Control!$M$20,1),0)</f>
        <v>0</v>
      </c>
      <c r="Q42" s="11" t="n">
        <f aca="false">$AO42*IF(Q$3&gt;=$AP42+$AQ42*Scenario_Control!$M$19,$AS42*(1+Assumptions!$D$9)/12*(1+Assumptions!$D$8)^(Q$5-1)*IF($AQ42=1,Scenario_Control!$M$20,1),0)</f>
        <v>0</v>
      </c>
      <c r="R42" s="11" t="n">
        <f aca="false">$AO42*IF(R$3&gt;=$AP42+$AQ42*Scenario_Control!$M$19,$AS42*(1+Assumptions!$D$9)/12*(1+Assumptions!$D$8)^(R$5-1)*IF($AQ42=1,Scenario_Control!$M$20,1),0)</f>
        <v>0</v>
      </c>
      <c r="S42" s="11" t="n">
        <f aca="false">$AO42*IF(S$3&gt;=$AP42+$AQ42*Scenario_Control!$M$19,$AS42*(1+Assumptions!$D$9)/12*(1+Assumptions!$D$8)^(S$5-1)*IF($AQ42=1,Scenario_Control!$M$20,1),0)</f>
        <v>0</v>
      </c>
      <c r="T42" s="11" t="n">
        <f aca="false">$AO42*IF(T$3&gt;=$AP42+$AQ42*Scenario_Control!$M$19,$AS42*(1+Assumptions!$D$9)/12*(1+Assumptions!$D$8)^(T$5-1)*IF($AQ42=1,Scenario_Control!$M$20,1),0)</f>
        <v>0</v>
      </c>
      <c r="U42" s="11" t="n">
        <f aca="false">$AO42*IF(U$3&gt;=$AP42+$AQ42*Scenario_Control!$M$19,$AS42*(1+Assumptions!$D$9)/12*(1+Assumptions!$D$8)^(U$5-1)*IF($AQ42=1,Scenario_Control!$M$20,1),0)</f>
        <v>0</v>
      </c>
      <c r="V42" s="11" t="n">
        <f aca="false">$AO42*IF(V$3&gt;=$AP42+$AQ42*Scenario_Control!$M$19,$AS42*(1+Assumptions!$D$9)/12*(1+Assumptions!$D$8)^(V$5-1)*IF($AQ42=1,Scenario_Control!$M$20,1),0)</f>
        <v>0</v>
      </c>
      <c r="W42" s="11" t="n">
        <f aca="false">$AO42*IF(W$3&gt;=$AP42+$AQ42*Scenario_Control!$M$19,$AS42*(1+Assumptions!$D$9)/12*(1+Assumptions!$D$8)^(W$5-1)*IF($AQ42=1,Scenario_Control!$M$20,1),0)</f>
        <v>11845</v>
      </c>
      <c r="X42" s="11" t="n">
        <f aca="false">$AO42*IF(X$3&gt;=$AP42+$AQ42*Scenario_Control!$M$19,$AS42*(1+Assumptions!$D$9)/12*(1+Assumptions!$D$8)^(X$5-1)*IF($AQ42=1,Scenario_Control!$M$20,1),0)</f>
        <v>11845</v>
      </c>
      <c r="Y42" s="11" t="n">
        <f aca="false">$AO42*IF(Y$3&gt;=$AP42+$AQ42*Scenario_Control!$M$19,$AS42*(1+Assumptions!$D$9)/12*(1+Assumptions!$D$8)^(Y$5-1)*IF($AQ42=1,Scenario_Control!$M$20,1),0)</f>
        <v>11845</v>
      </c>
      <c r="Z42" s="11" t="n">
        <f aca="false">$AO42*IF(Z$3&gt;=$AP42+$AQ42*Scenario_Control!$M$19,$AS42*(1+Assumptions!$D$9)/12*(1+Assumptions!$D$8)^(Z$5-1)*IF($AQ42=1,Scenario_Control!$M$20,1),0)</f>
        <v>11845</v>
      </c>
      <c r="AA42" s="11" t="n">
        <f aca="false">$AO42*IF(AA$3&gt;=$AP42+$AQ42*Scenario_Control!$M$19,$AS42*(1+Assumptions!$D$9)/12*(1+Assumptions!$D$8)^(AA$5-1)*IF($AQ42=1,Scenario_Control!$M$20,1),0)</f>
        <v>11845</v>
      </c>
      <c r="AB42" s="11" t="n">
        <f aca="false">$AO42*IF(AB$3&gt;=$AP42+$AQ42*Scenario_Control!$M$19,$AS42*(1+Assumptions!$D$9)/12*(1+Assumptions!$D$8)^(AB$5-1)*IF($AQ42=1,Scenario_Control!$M$20,1),0)</f>
        <v>12200.35</v>
      </c>
      <c r="AC42" s="11" t="n">
        <f aca="false">$AO42*IF(AC$3&gt;=$AP42+$AQ42*Scenario_Control!$M$19,$AS42*(1+Assumptions!$D$9)/12*(1+Assumptions!$D$8)^(AC$5-1)*IF($AQ42=1,Scenario_Control!$M$20,1),0)</f>
        <v>12200.35</v>
      </c>
      <c r="AD42" s="11" t="n">
        <f aca="false">$AO42*IF(AD$3&gt;=$AP42+$AQ42*Scenario_Control!$M$19,$AS42*(1+Assumptions!$D$9)/12*(1+Assumptions!$D$8)^(AD$5-1)*IF($AQ42=1,Scenario_Control!$M$20,1),0)</f>
        <v>12200.35</v>
      </c>
      <c r="AE42" s="11" t="n">
        <f aca="false">$AO42*IF(AE$3&gt;=$AP42+$AQ42*Scenario_Control!$M$19,$AS42*(1+Assumptions!$D$9)/12*(1+Assumptions!$D$8)^(AE$5-1)*IF($AQ42=1,Scenario_Control!$M$20,1),0)</f>
        <v>12200.35</v>
      </c>
      <c r="AF42" s="11" t="n">
        <f aca="false">$AO42*IF(AF$3&gt;=$AP42+$AQ42*Scenario_Control!$M$19,$AS42*(1+Assumptions!$D$9)/12*(1+Assumptions!$D$8)^(AF$5-1)*IF($AQ42=1,Scenario_Control!$M$20,1),0)</f>
        <v>12200.35</v>
      </c>
      <c r="AG42" s="11" t="n">
        <f aca="false">$AO42*IF(AG$3&gt;=$AP42+$AQ42*Scenario_Control!$M$19,$AS42*(1+Assumptions!$D$9)/12*(1+Assumptions!$D$8)^(AG$5-1)*IF($AQ42=1,Scenario_Control!$M$20,1),0)</f>
        <v>12200.35</v>
      </c>
      <c r="AH42" s="11" t="n">
        <f aca="false">$AO42*IF(AH$3&gt;=$AP42+$AQ42*Scenario_Control!$M$19,$AS42*(1+Assumptions!$D$9)/12*(1+Assumptions!$D$8)^(AH$5-1)*IF($AQ42=1,Scenario_Control!$M$20,1),0)</f>
        <v>12200.35</v>
      </c>
      <c r="AI42" s="11" t="n">
        <f aca="false">$AO42*IF(AI$3&gt;=$AP42+$AQ42*Scenario_Control!$M$19,$AS42*(1+Assumptions!$D$9)/12*(1+Assumptions!$D$8)^(AI$5-1)*IF($AQ42=1,Scenario_Control!$M$20,1),0)</f>
        <v>12200.35</v>
      </c>
      <c r="AJ42" s="11" t="n">
        <f aca="false">$AO42*IF(AJ$3&gt;=$AP42+$AQ42*Scenario_Control!$M$19,$AS42*(1+Assumptions!$D$9)/12*(1+Assumptions!$D$8)^(AJ$5-1)*IF($AQ42=1,Scenario_Control!$M$20,1),0)</f>
        <v>12200.35</v>
      </c>
      <c r="AK42" s="11" t="n">
        <f aca="false">$AO42*IF(AK$3&gt;=$AP42+$AQ42*Scenario_Control!$M$19,$AS42*(1+Assumptions!$D$9)/12*(1+Assumptions!$D$8)^(AK$5-1)*IF($AQ42=1,Scenario_Control!$M$20,1),0)</f>
        <v>12200.35</v>
      </c>
      <c r="AL42" s="11" t="n">
        <f aca="false">$AO42*IF(AL$3&gt;=$AP42+$AQ42*Scenario_Control!$M$19,$AS42*(1+Assumptions!$D$9)/12*(1+Assumptions!$D$8)^(AL$5-1)*IF($AQ42=1,Scenario_Control!$M$20,1),0)</f>
        <v>12200.35</v>
      </c>
      <c r="AM42" s="11" t="n">
        <f aca="false">$AO42*IF(AM$3&gt;=$AP42+$AQ42*Scenario_Control!$M$19,$AS42*(1+Assumptions!$D$9)/12*(1+Assumptions!$D$8)^(AM$5-1)*IF($AQ42=1,Scenario_Control!$M$20,1),0)</f>
        <v>12200.35</v>
      </c>
      <c r="AO42" s="58" t="n">
        <v>1</v>
      </c>
      <c r="AP42" s="58" t="n">
        <v>20</v>
      </c>
      <c r="AQ42" s="58" t="n">
        <v>1</v>
      </c>
      <c r="AR42" s="58" t="n">
        <v>1</v>
      </c>
      <c r="AS42" s="30" t="n">
        <v>115000</v>
      </c>
      <c r="AT42" s="58" t="s">
        <v>964</v>
      </c>
      <c r="AU42" s="58" t="s">
        <v>992</v>
      </c>
      <c r="AV42" s="58" t="s">
        <v>985</v>
      </c>
      <c r="AW42" s="58" t="n">
        <f aca="false">AP42+AQ42*Scenario_Control!$M$19</f>
        <v>20</v>
      </c>
    </row>
    <row r="43" customFormat="false" ht="15" hidden="false" customHeight="true" outlineLevel="0" collapsed="false">
      <c r="A43" s="5" t="s">
        <v>1004</v>
      </c>
      <c r="B43" s="10" t="s">
        <v>964</v>
      </c>
      <c r="C43" s="12" t="n">
        <f aca="false">SUM(D43:AM43)</f>
        <v>185358.8</v>
      </c>
      <c r="D43" s="11" t="n">
        <f aca="false">$AO43*IF(D$3&gt;=$AP43+$AQ43*Scenario_Control!$M$19,$AS43*(1+Assumptions!$D$9)/12*(1+Assumptions!$D$8)^(D$5-1)*IF($AQ43=1,Scenario_Control!$M$20,1),0)</f>
        <v>0</v>
      </c>
      <c r="E43" s="11" t="n">
        <f aca="false">$AO43*IF(E$3&gt;=$AP43+$AQ43*Scenario_Control!$M$19,$AS43*(1+Assumptions!$D$9)/12*(1+Assumptions!$D$8)^(E$5-1)*IF($AQ43=1,Scenario_Control!$M$20,1),0)</f>
        <v>0</v>
      </c>
      <c r="F43" s="11" t="n">
        <f aca="false">$AO43*IF(F$3&gt;=$AP43+$AQ43*Scenario_Control!$M$19,$AS43*(1+Assumptions!$D$9)/12*(1+Assumptions!$D$8)^(F$5-1)*IF($AQ43=1,Scenario_Control!$M$20,1),0)</f>
        <v>0</v>
      </c>
      <c r="G43" s="11" t="n">
        <f aca="false">$AO43*IF(G$3&gt;=$AP43+$AQ43*Scenario_Control!$M$19,$AS43*(1+Assumptions!$D$9)/12*(1+Assumptions!$D$8)^(G$5-1)*IF($AQ43=1,Scenario_Control!$M$20,1),0)</f>
        <v>0</v>
      </c>
      <c r="H43" s="11" t="n">
        <f aca="false">$AO43*IF(H$3&gt;=$AP43+$AQ43*Scenario_Control!$M$19,$AS43*(1+Assumptions!$D$9)/12*(1+Assumptions!$D$8)^(H$5-1)*IF($AQ43=1,Scenario_Control!$M$20,1),0)</f>
        <v>0</v>
      </c>
      <c r="I43" s="11" t="n">
        <f aca="false">$AO43*IF(I$3&gt;=$AP43+$AQ43*Scenario_Control!$M$19,$AS43*(1+Assumptions!$D$9)/12*(1+Assumptions!$D$8)^(I$5-1)*IF($AQ43=1,Scenario_Control!$M$20,1),0)</f>
        <v>0</v>
      </c>
      <c r="J43" s="11" t="n">
        <f aca="false">$AO43*IF(J$3&gt;=$AP43+$AQ43*Scenario_Control!$M$19,$AS43*(1+Assumptions!$D$9)/12*(1+Assumptions!$D$8)^(J$5-1)*IF($AQ43=1,Scenario_Control!$M$20,1),0)</f>
        <v>0</v>
      </c>
      <c r="K43" s="11" t="n">
        <f aca="false">$AO43*IF(K$3&gt;=$AP43+$AQ43*Scenario_Control!$M$19,$AS43*(1+Assumptions!$D$9)/12*(1+Assumptions!$D$8)^(K$5-1)*IF($AQ43=1,Scenario_Control!$M$20,1),0)</f>
        <v>0</v>
      </c>
      <c r="L43" s="11" t="n">
        <f aca="false">$AO43*IF(L$3&gt;=$AP43+$AQ43*Scenario_Control!$M$19,$AS43*(1+Assumptions!$D$9)/12*(1+Assumptions!$D$8)^(L$5-1)*IF($AQ43=1,Scenario_Control!$M$20,1),0)</f>
        <v>0</v>
      </c>
      <c r="M43" s="11" t="n">
        <f aca="false">$AO43*IF(M$3&gt;=$AP43+$AQ43*Scenario_Control!$M$19,$AS43*(1+Assumptions!$D$9)/12*(1+Assumptions!$D$8)^(M$5-1)*IF($AQ43=1,Scenario_Control!$M$20,1),0)</f>
        <v>0</v>
      </c>
      <c r="N43" s="11" t="n">
        <f aca="false">$AO43*IF(N$3&gt;=$AP43+$AQ43*Scenario_Control!$M$19,$AS43*(1+Assumptions!$D$9)/12*(1+Assumptions!$D$8)^(N$5-1)*IF($AQ43=1,Scenario_Control!$M$20,1),0)</f>
        <v>0</v>
      </c>
      <c r="O43" s="11" t="n">
        <f aca="false">$AO43*IF(O$3&gt;=$AP43+$AQ43*Scenario_Control!$M$19,$AS43*(1+Assumptions!$D$9)/12*(1+Assumptions!$D$8)^(O$5-1)*IF($AQ43=1,Scenario_Control!$M$20,1),0)</f>
        <v>0</v>
      </c>
      <c r="P43" s="11" t="n">
        <f aca="false">$AO43*IF(P$3&gt;=$AP43+$AQ43*Scenario_Control!$M$19,$AS43*(1+Assumptions!$D$9)/12*(1+Assumptions!$D$8)^(P$5-1)*IF($AQ43=1,Scenario_Control!$M$20,1),0)</f>
        <v>0</v>
      </c>
      <c r="Q43" s="11" t="n">
        <f aca="false">$AO43*IF(Q$3&gt;=$AP43+$AQ43*Scenario_Control!$M$19,$AS43*(1+Assumptions!$D$9)/12*(1+Assumptions!$D$8)^(Q$5-1)*IF($AQ43=1,Scenario_Control!$M$20,1),0)</f>
        <v>0</v>
      </c>
      <c r="R43" s="11" t="n">
        <f aca="false">$AO43*IF(R$3&gt;=$AP43+$AQ43*Scenario_Control!$M$19,$AS43*(1+Assumptions!$D$9)/12*(1+Assumptions!$D$8)^(R$5-1)*IF($AQ43=1,Scenario_Control!$M$20,1),0)</f>
        <v>0</v>
      </c>
      <c r="S43" s="11" t="n">
        <f aca="false">$AO43*IF(S$3&gt;=$AP43+$AQ43*Scenario_Control!$M$19,$AS43*(1+Assumptions!$D$9)/12*(1+Assumptions!$D$8)^(S$5-1)*IF($AQ43=1,Scenario_Control!$M$20,1),0)</f>
        <v>0</v>
      </c>
      <c r="T43" s="11" t="n">
        <f aca="false">$AO43*IF(T$3&gt;=$AP43+$AQ43*Scenario_Control!$M$19,$AS43*(1+Assumptions!$D$9)/12*(1+Assumptions!$D$8)^(T$5-1)*IF($AQ43=1,Scenario_Control!$M$20,1),0)</f>
        <v>0</v>
      </c>
      <c r="U43" s="11" t="n">
        <f aca="false">$AO43*IF(U$3&gt;=$AP43+$AQ43*Scenario_Control!$M$19,$AS43*(1+Assumptions!$D$9)/12*(1+Assumptions!$D$8)^(U$5-1)*IF($AQ43=1,Scenario_Control!$M$20,1),0)</f>
        <v>0</v>
      </c>
      <c r="V43" s="11" t="n">
        <f aca="false">$AO43*IF(V$3&gt;=$AP43+$AQ43*Scenario_Control!$M$19,$AS43*(1+Assumptions!$D$9)/12*(1+Assumptions!$D$8)^(V$5-1)*IF($AQ43=1,Scenario_Control!$M$20,1),0)</f>
        <v>0</v>
      </c>
      <c r="W43" s="11" t="n">
        <f aca="false">$AO43*IF(W$3&gt;=$AP43+$AQ43*Scenario_Control!$M$19,$AS43*(1+Assumptions!$D$9)/12*(1+Assumptions!$D$8)^(W$5-1)*IF($AQ43=1,Scenario_Control!$M$20,1),0)</f>
        <v>0</v>
      </c>
      <c r="X43" s="11" t="n">
        <f aca="false">$AO43*IF(X$3&gt;=$AP43+$AQ43*Scenario_Control!$M$19,$AS43*(1+Assumptions!$D$9)/12*(1+Assumptions!$D$8)^(X$5-1)*IF($AQ43=1,Scenario_Control!$M$20,1),0)</f>
        <v>11330</v>
      </c>
      <c r="Y43" s="11" t="n">
        <f aca="false">$AO43*IF(Y$3&gt;=$AP43+$AQ43*Scenario_Control!$M$19,$AS43*(1+Assumptions!$D$9)/12*(1+Assumptions!$D$8)^(Y$5-1)*IF($AQ43=1,Scenario_Control!$M$20,1),0)</f>
        <v>11330</v>
      </c>
      <c r="Z43" s="11" t="n">
        <f aca="false">$AO43*IF(Z$3&gt;=$AP43+$AQ43*Scenario_Control!$M$19,$AS43*(1+Assumptions!$D$9)/12*(1+Assumptions!$D$8)^(Z$5-1)*IF($AQ43=1,Scenario_Control!$M$20,1),0)</f>
        <v>11330</v>
      </c>
      <c r="AA43" s="11" t="n">
        <f aca="false">$AO43*IF(AA$3&gt;=$AP43+$AQ43*Scenario_Control!$M$19,$AS43*(1+Assumptions!$D$9)/12*(1+Assumptions!$D$8)^(AA$5-1)*IF($AQ43=1,Scenario_Control!$M$20,1),0)</f>
        <v>11330</v>
      </c>
      <c r="AB43" s="11" t="n">
        <f aca="false">$AO43*IF(AB$3&gt;=$AP43+$AQ43*Scenario_Control!$M$19,$AS43*(1+Assumptions!$D$9)/12*(1+Assumptions!$D$8)^(AB$5-1)*IF($AQ43=1,Scenario_Control!$M$20,1),0)</f>
        <v>11669.9</v>
      </c>
      <c r="AC43" s="11" t="n">
        <f aca="false">$AO43*IF(AC$3&gt;=$AP43+$AQ43*Scenario_Control!$M$19,$AS43*(1+Assumptions!$D$9)/12*(1+Assumptions!$D$8)^(AC$5-1)*IF($AQ43=1,Scenario_Control!$M$20,1),0)</f>
        <v>11669.9</v>
      </c>
      <c r="AD43" s="11" t="n">
        <f aca="false">$AO43*IF(AD$3&gt;=$AP43+$AQ43*Scenario_Control!$M$19,$AS43*(1+Assumptions!$D$9)/12*(1+Assumptions!$D$8)^(AD$5-1)*IF($AQ43=1,Scenario_Control!$M$20,1),0)</f>
        <v>11669.9</v>
      </c>
      <c r="AE43" s="11" t="n">
        <f aca="false">$AO43*IF(AE$3&gt;=$AP43+$AQ43*Scenario_Control!$M$19,$AS43*(1+Assumptions!$D$9)/12*(1+Assumptions!$D$8)^(AE$5-1)*IF($AQ43=1,Scenario_Control!$M$20,1),0)</f>
        <v>11669.9</v>
      </c>
      <c r="AF43" s="11" t="n">
        <f aca="false">$AO43*IF(AF$3&gt;=$AP43+$AQ43*Scenario_Control!$M$19,$AS43*(1+Assumptions!$D$9)/12*(1+Assumptions!$D$8)^(AF$5-1)*IF($AQ43=1,Scenario_Control!$M$20,1),0)</f>
        <v>11669.9</v>
      </c>
      <c r="AG43" s="11" t="n">
        <f aca="false">$AO43*IF(AG$3&gt;=$AP43+$AQ43*Scenario_Control!$M$19,$AS43*(1+Assumptions!$D$9)/12*(1+Assumptions!$D$8)^(AG$5-1)*IF($AQ43=1,Scenario_Control!$M$20,1),0)</f>
        <v>11669.9</v>
      </c>
      <c r="AH43" s="11" t="n">
        <f aca="false">$AO43*IF(AH$3&gt;=$AP43+$AQ43*Scenario_Control!$M$19,$AS43*(1+Assumptions!$D$9)/12*(1+Assumptions!$D$8)^(AH$5-1)*IF($AQ43=1,Scenario_Control!$M$20,1),0)</f>
        <v>11669.9</v>
      </c>
      <c r="AI43" s="11" t="n">
        <f aca="false">$AO43*IF(AI$3&gt;=$AP43+$AQ43*Scenario_Control!$M$19,$AS43*(1+Assumptions!$D$9)/12*(1+Assumptions!$D$8)^(AI$5-1)*IF($AQ43=1,Scenario_Control!$M$20,1),0)</f>
        <v>11669.9</v>
      </c>
      <c r="AJ43" s="11" t="n">
        <f aca="false">$AO43*IF(AJ$3&gt;=$AP43+$AQ43*Scenario_Control!$M$19,$AS43*(1+Assumptions!$D$9)/12*(1+Assumptions!$D$8)^(AJ$5-1)*IF($AQ43=1,Scenario_Control!$M$20,1),0)</f>
        <v>11669.9</v>
      </c>
      <c r="AK43" s="11" t="n">
        <f aca="false">$AO43*IF(AK$3&gt;=$AP43+$AQ43*Scenario_Control!$M$19,$AS43*(1+Assumptions!$D$9)/12*(1+Assumptions!$D$8)^(AK$5-1)*IF($AQ43=1,Scenario_Control!$M$20,1),0)</f>
        <v>11669.9</v>
      </c>
      <c r="AL43" s="11" t="n">
        <f aca="false">$AO43*IF(AL$3&gt;=$AP43+$AQ43*Scenario_Control!$M$19,$AS43*(1+Assumptions!$D$9)/12*(1+Assumptions!$D$8)^(AL$5-1)*IF($AQ43=1,Scenario_Control!$M$20,1),0)</f>
        <v>11669.9</v>
      </c>
      <c r="AM43" s="11" t="n">
        <f aca="false">$AO43*IF(AM$3&gt;=$AP43+$AQ43*Scenario_Control!$M$19,$AS43*(1+Assumptions!$D$9)/12*(1+Assumptions!$D$8)^(AM$5-1)*IF($AQ43=1,Scenario_Control!$M$20,1),0)</f>
        <v>11669.9</v>
      </c>
      <c r="AO43" s="58" t="n">
        <v>1</v>
      </c>
      <c r="AP43" s="58" t="n">
        <v>21</v>
      </c>
      <c r="AQ43" s="58" t="n">
        <v>1</v>
      </c>
      <c r="AR43" s="58" t="n">
        <v>1</v>
      </c>
      <c r="AS43" s="30" t="n">
        <v>110000</v>
      </c>
      <c r="AT43" s="58" t="s">
        <v>964</v>
      </c>
      <c r="AU43" s="58" t="s">
        <v>968</v>
      </c>
      <c r="AV43" s="58" t="s">
        <v>990</v>
      </c>
      <c r="AW43" s="58" t="n">
        <f aca="false">AP43+AQ43*Scenario_Control!$M$19</f>
        <v>21</v>
      </c>
    </row>
    <row r="44" customFormat="false" ht="15" hidden="false" customHeight="true" outlineLevel="0" collapsed="false">
      <c r="A44" s="5" t="s">
        <v>1005</v>
      </c>
      <c r="B44" s="10" t="s">
        <v>82</v>
      </c>
      <c r="C44" s="12" t="n">
        <f aca="false">SUM(D44:AM44)</f>
        <v>181939.2</v>
      </c>
      <c r="D44" s="11" t="n">
        <f aca="false">$AO44*IF(D$3&gt;=$AP44+$AQ44*Scenario_Control!$M$19,$AS44*(1+Assumptions!$D$9)/12*(1+Assumptions!$D$8)^(D$5-1)*IF($AQ44=1,Scenario_Control!$M$20,1),0)</f>
        <v>0</v>
      </c>
      <c r="E44" s="11" t="n">
        <f aca="false">$AO44*IF(E$3&gt;=$AP44+$AQ44*Scenario_Control!$M$19,$AS44*(1+Assumptions!$D$9)/12*(1+Assumptions!$D$8)^(E$5-1)*IF($AQ44=1,Scenario_Control!$M$20,1),0)</f>
        <v>0</v>
      </c>
      <c r="F44" s="11" t="n">
        <f aca="false">$AO44*IF(F$3&gt;=$AP44+$AQ44*Scenario_Control!$M$19,$AS44*(1+Assumptions!$D$9)/12*(1+Assumptions!$D$8)^(F$5-1)*IF($AQ44=1,Scenario_Control!$M$20,1),0)</f>
        <v>0</v>
      </c>
      <c r="G44" s="11" t="n">
        <f aca="false">$AO44*IF(G$3&gt;=$AP44+$AQ44*Scenario_Control!$M$19,$AS44*(1+Assumptions!$D$9)/12*(1+Assumptions!$D$8)^(G$5-1)*IF($AQ44=1,Scenario_Control!$M$20,1),0)</f>
        <v>0</v>
      </c>
      <c r="H44" s="11" t="n">
        <f aca="false">$AO44*IF(H$3&gt;=$AP44+$AQ44*Scenario_Control!$M$19,$AS44*(1+Assumptions!$D$9)/12*(1+Assumptions!$D$8)^(H$5-1)*IF($AQ44=1,Scenario_Control!$M$20,1),0)</f>
        <v>0</v>
      </c>
      <c r="I44" s="11" t="n">
        <f aca="false">$AO44*IF(I$3&gt;=$AP44+$AQ44*Scenario_Control!$M$19,$AS44*(1+Assumptions!$D$9)/12*(1+Assumptions!$D$8)^(I$5-1)*IF($AQ44=1,Scenario_Control!$M$20,1),0)</f>
        <v>0</v>
      </c>
      <c r="J44" s="11" t="n">
        <f aca="false">$AO44*IF(J$3&gt;=$AP44+$AQ44*Scenario_Control!$M$19,$AS44*(1+Assumptions!$D$9)/12*(1+Assumptions!$D$8)^(J$5-1)*IF($AQ44=1,Scenario_Control!$M$20,1),0)</f>
        <v>0</v>
      </c>
      <c r="K44" s="11" t="n">
        <f aca="false">$AO44*IF(K$3&gt;=$AP44+$AQ44*Scenario_Control!$M$19,$AS44*(1+Assumptions!$D$9)/12*(1+Assumptions!$D$8)^(K$5-1)*IF($AQ44=1,Scenario_Control!$M$20,1),0)</f>
        <v>0</v>
      </c>
      <c r="L44" s="11" t="n">
        <f aca="false">$AO44*IF(L$3&gt;=$AP44+$AQ44*Scenario_Control!$M$19,$AS44*(1+Assumptions!$D$9)/12*(1+Assumptions!$D$8)^(L$5-1)*IF($AQ44=1,Scenario_Control!$M$20,1),0)</f>
        <v>0</v>
      </c>
      <c r="M44" s="11" t="n">
        <f aca="false">$AO44*IF(M$3&gt;=$AP44+$AQ44*Scenario_Control!$M$19,$AS44*(1+Assumptions!$D$9)/12*(1+Assumptions!$D$8)^(M$5-1)*IF($AQ44=1,Scenario_Control!$M$20,1),0)</f>
        <v>0</v>
      </c>
      <c r="N44" s="11" t="n">
        <f aca="false">$AO44*IF(N$3&gt;=$AP44+$AQ44*Scenario_Control!$M$19,$AS44*(1+Assumptions!$D$9)/12*(1+Assumptions!$D$8)^(N$5-1)*IF($AQ44=1,Scenario_Control!$M$20,1),0)</f>
        <v>0</v>
      </c>
      <c r="O44" s="11" t="n">
        <f aca="false">$AO44*IF(O$3&gt;=$AP44+$AQ44*Scenario_Control!$M$19,$AS44*(1+Assumptions!$D$9)/12*(1+Assumptions!$D$8)^(O$5-1)*IF($AQ44=1,Scenario_Control!$M$20,1),0)</f>
        <v>0</v>
      </c>
      <c r="P44" s="11" t="n">
        <f aca="false">$AO44*IF(P$3&gt;=$AP44+$AQ44*Scenario_Control!$M$19,$AS44*(1+Assumptions!$D$9)/12*(1+Assumptions!$D$8)^(P$5-1)*IF($AQ44=1,Scenario_Control!$M$20,1),0)</f>
        <v>0</v>
      </c>
      <c r="Q44" s="11" t="n">
        <f aca="false">$AO44*IF(Q$3&gt;=$AP44+$AQ44*Scenario_Control!$M$19,$AS44*(1+Assumptions!$D$9)/12*(1+Assumptions!$D$8)^(Q$5-1)*IF($AQ44=1,Scenario_Control!$M$20,1),0)</f>
        <v>0</v>
      </c>
      <c r="R44" s="11" t="n">
        <f aca="false">$AO44*IF(R$3&gt;=$AP44+$AQ44*Scenario_Control!$M$19,$AS44*(1+Assumptions!$D$9)/12*(1+Assumptions!$D$8)^(R$5-1)*IF($AQ44=1,Scenario_Control!$M$20,1),0)</f>
        <v>0</v>
      </c>
      <c r="S44" s="11" t="n">
        <f aca="false">$AO44*IF(S$3&gt;=$AP44+$AQ44*Scenario_Control!$M$19,$AS44*(1+Assumptions!$D$9)/12*(1+Assumptions!$D$8)^(S$5-1)*IF($AQ44=1,Scenario_Control!$M$20,1),0)</f>
        <v>0</v>
      </c>
      <c r="T44" s="11" t="n">
        <f aca="false">$AO44*IF(T$3&gt;=$AP44+$AQ44*Scenario_Control!$M$19,$AS44*(1+Assumptions!$D$9)/12*(1+Assumptions!$D$8)^(T$5-1)*IF($AQ44=1,Scenario_Control!$M$20,1),0)</f>
        <v>0</v>
      </c>
      <c r="U44" s="11" t="n">
        <f aca="false">$AO44*IF(U$3&gt;=$AP44+$AQ44*Scenario_Control!$M$19,$AS44*(1+Assumptions!$D$9)/12*(1+Assumptions!$D$8)^(U$5-1)*IF($AQ44=1,Scenario_Control!$M$20,1),0)</f>
        <v>0</v>
      </c>
      <c r="V44" s="11" t="n">
        <f aca="false">$AO44*IF(V$3&gt;=$AP44+$AQ44*Scenario_Control!$M$19,$AS44*(1+Assumptions!$D$9)/12*(1+Assumptions!$D$8)^(V$5-1)*IF($AQ44=1,Scenario_Control!$M$20,1),0)</f>
        <v>0</v>
      </c>
      <c r="W44" s="11" t="n">
        <f aca="false">$AO44*IF(W$3&gt;=$AP44+$AQ44*Scenario_Control!$M$19,$AS44*(1+Assumptions!$D$9)/12*(1+Assumptions!$D$8)^(W$5-1)*IF($AQ44=1,Scenario_Control!$M$20,1),0)</f>
        <v>0</v>
      </c>
      <c r="X44" s="11" t="n">
        <f aca="false">$AO44*IF(X$3&gt;=$AP44+$AQ44*Scenario_Control!$M$19,$AS44*(1+Assumptions!$D$9)/12*(1+Assumptions!$D$8)^(X$5-1)*IF($AQ44=1,Scenario_Control!$M$20,1),0)</f>
        <v>0</v>
      </c>
      <c r="Y44" s="11" t="n">
        <f aca="false">$AO44*IF(Y$3&gt;=$AP44+$AQ44*Scenario_Control!$M$19,$AS44*(1+Assumptions!$D$9)/12*(1+Assumptions!$D$8)^(Y$5-1)*IF($AQ44=1,Scenario_Control!$M$20,1),0)</f>
        <v>11845</v>
      </c>
      <c r="Z44" s="11" t="n">
        <f aca="false">$AO44*IF(Z$3&gt;=$AP44+$AQ44*Scenario_Control!$M$19,$AS44*(1+Assumptions!$D$9)/12*(1+Assumptions!$D$8)^(Z$5-1)*IF($AQ44=1,Scenario_Control!$M$20,1),0)</f>
        <v>11845</v>
      </c>
      <c r="AA44" s="11" t="n">
        <f aca="false">$AO44*IF(AA$3&gt;=$AP44+$AQ44*Scenario_Control!$M$19,$AS44*(1+Assumptions!$D$9)/12*(1+Assumptions!$D$8)^(AA$5-1)*IF($AQ44=1,Scenario_Control!$M$20,1),0)</f>
        <v>11845</v>
      </c>
      <c r="AB44" s="11" t="n">
        <f aca="false">$AO44*IF(AB$3&gt;=$AP44+$AQ44*Scenario_Control!$M$19,$AS44*(1+Assumptions!$D$9)/12*(1+Assumptions!$D$8)^(AB$5-1)*IF($AQ44=1,Scenario_Control!$M$20,1),0)</f>
        <v>12200.35</v>
      </c>
      <c r="AC44" s="11" t="n">
        <f aca="false">$AO44*IF(AC$3&gt;=$AP44+$AQ44*Scenario_Control!$M$19,$AS44*(1+Assumptions!$D$9)/12*(1+Assumptions!$D$8)^(AC$5-1)*IF($AQ44=1,Scenario_Control!$M$20,1),0)</f>
        <v>12200.35</v>
      </c>
      <c r="AD44" s="11" t="n">
        <f aca="false">$AO44*IF(AD$3&gt;=$AP44+$AQ44*Scenario_Control!$M$19,$AS44*(1+Assumptions!$D$9)/12*(1+Assumptions!$D$8)^(AD$5-1)*IF($AQ44=1,Scenario_Control!$M$20,1),0)</f>
        <v>12200.35</v>
      </c>
      <c r="AE44" s="11" t="n">
        <f aca="false">$AO44*IF(AE$3&gt;=$AP44+$AQ44*Scenario_Control!$M$19,$AS44*(1+Assumptions!$D$9)/12*(1+Assumptions!$D$8)^(AE$5-1)*IF($AQ44=1,Scenario_Control!$M$20,1),0)</f>
        <v>12200.35</v>
      </c>
      <c r="AF44" s="11" t="n">
        <f aca="false">$AO44*IF(AF$3&gt;=$AP44+$AQ44*Scenario_Control!$M$19,$AS44*(1+Assumptions!$D$9)/12*(1+Assumptions!$D$8)^(AF$5-1)*IF($AQ44=1,Scenario_Control!$M$20,1),0)</f>
        <v>12200.35</v>
      </c>
      <c r="AG44" s="11" t="n">
        <f aca="false">$AO44*IF(AG$3&gt;=$AP44+$AQ44*Scenario_Control!$M$19,$AS44*(1+Assumptions!$D$9)/12*(1+Assumptions!$D$8)^(AG$5-1)*IF($AQ44=1,Scenario_Control!$M$20,1),0)</f>
        <v>12200.35</v>
      </c>
      <c r="AH44" s="11" t="n">
        <f aca="false">$AO44*IF(AH$3&gt;=$AP44+$AQ44*Scenario_Control!$M$19,$AS44*(1+Assumptions!$D$9)/12*(1+Assumptions!$D$8)^(AH$5-1)*IF($AQ44=1,Scenario_Control!$M$20,1),0)</f>
        <v>12200.35</v>
      </c>
      <c r="AI44" s="11" t="n">
        <f aca="false">$AO44*IF(AI$3&gt;=$AP44+$AQ44*Scenario_Control!$M$19,$AS44*(1+Assumptions!$D$9)/12*(1+Assumptions!$D$8)^(AI$5-1)*IF($AQ44=1,Scenario_Control!$M$20,1),0)</f>
        <v>12200.35</v>
      </c>
      <c r="AJ44" s="11" t="n">
        <f aca="false">$AO44*IF(AJ$3&gt;=$AP44+$AQ44*Scenario_Control!$M$19,$AS44*(1+Assumptions!$D$9)/12*(1+Assumptions!$D$8)^(AJ$5-1)*IF($AQ44=1,Scenario_Control!$M$20,1),0)</f>
        <v>12200.35</v>
      </c>
      <c r="AK44" s="11" t="n">
        <f aca="false">$AO44*IF(AK$3&gt;=$AP44+$AQ44*Scenario_Control!$M$19,$AS44*(1+Assumptions!$D$9)/12*(1+Assumptions!$D$8)^(AK$5-1)*IF($AQ44=1,Scenario_Control!$M$20,1),0)</f>
        <v>12200.35</v>
      </c>
      <c r="AL44" s="11" t="n">
        <f aca="false">$AO44*IF(AL$3&gt;=$AP44+$AQ44*Scenario_Control!$M$19,$AS44*(1+Assumptions!$D$9)/12*(1+Assumptions!$D$8)^(AL$5-1)*IF($AQ44=1,Scenario_Control!$M$20,1),0)</f>
        <v>12200.35</v>
      </c>
      <c r="AM44" s="11" t="n">
        <f aca="false">$AO44*IF(AM$3&gt;=$AP44+$AQ44*Scenario_Control!$M$19,$AS44*(1+Assumptions!$D$9)/12*(1+Assumptions!$D$8)^(AM$5-1)*IF($AQ44=1,Scenario_Control!$M$20,1),0)</f>
        <v>12200.35</v>
      </c>
      <c r="AO44" s="58" t="n">
        <v>1</v>
      </c>
      <c r="AP44" s="58" t="n">
        <v>22</v>
      </c>
      <c r="AQ44" s="58" t="n">
        <v>1</v>
      </c>
      <c r="AR44" s="58" t="n">
        <v>1</v>
      </c>
      <c r="AS44" s="30" t="n">
        <v>115000</v>
      </c>
      <c r="AT44" s="58" t="s">
        <v>82</v>
      </c>
      <c r="AU44" s="58" t="s">
        <v>956</v>
      </c>
      <c r="AV44" s="58" t="s">
        <v>1006</v>
      </c>
      <c r="AW44" s="58" t="n">
        <f aca="false">AP44+AQ44*Scenario_Control!$M$19</f>
        <v>22</v>
      </c>
    </row>
    <row r="45" customFormat="false" ht="15" hidden="false" customHeight="true" outlineLevel="0" collapsed="false">
      <c r="A45" s="5" t="s">
        <v>1007</v>
      </c>
      <c r="B45" s="10" t="s">
        <v>964</v>
      </c>
      <c r="C45" s="12" t="n">
        <f aca="false">SUM(D45:AM45)</f>
        <v>221491.2</v>
      </c>
      <c r="D45" s="11" t="n">
        <f aca="false">$AO45*IF(D$3&gt;=$AP45+$AQ45*Scenario_Control!$M$19,$AS45*(1+Assumptions!$D$9)/12*(1+Assumptions!$D$8)^(D$5-1)*IF($AQ45=1,Scenario_Control!$M$20,1),0)</f>
        <v>0</v>
      </c>
      <c r="E45" s="11" t="n">
        <f aca="false">$AO45*IF(E$3&gt;=$AP45+$AQ45*Scenario_Control!$M$19,$AS45*(1+Assumptions!$D$9)/12*(1+Assumptions!$D$8)^(E$5-1)*IF($AQ45=1,Scenario_Control!$M$20,1),0)</f>
        <v>0</v>
      </c>
      <c r="F45" s="11" t="n">
        <f aca="false">$AO45*IF(F$3&gt;=$AP45+$AQ45*Scenario_Control!$M$19,$AS45*(1+Assumptions!$D$9)/12*(1+Assumptions!$D$8)^(F$5-1)*IF($AQ45=1,Scenario_Control!$M$20,1),0)</f>
        <v>0</v>
      </c>
      <c r="G45" s="11" t="n">
        <f aca="false">$AO45*IF(G$3&gt;=$AP45+$AQ45*Scenario_Control!$M$19,$AS45*(1+Assumptions!$D$9)/12*(1+Assumptions!$D$8)^(G$5-1)*IF($AQ45=1,Scenario_Control!$M$20,1),0)</f>
        <v>0</v>
      </c>
      <c r="H45" s="11" t="n">
        <f aca="false">$AO45*IF(H$3&gt;=$AP45+$AQ45*Scenario_Control!$M$19,$AS45*(1+Assumptions!$D$9)/12*(1+Assumptions!$D$8)^(H$5-1)*IF($AQ45=1,Scenario_Control!$M$20,1),0)</f>
        <v>0</v>
      </c>
      <c r="I45" s="11" t="n">
        <f aca="false">$AO45*IF(I$3&gt;=$AP45+$AQ45*Scenario_Control!$M$19,$AS45*(1+Assumptions!$D$9)/12*(1+Assumptions!$D$8)^(I$5-1)*IF($AQ45=1,Scenario_Control!$M$20,1),0)</f>
        <v>0</v>
      </c>
      <c r="J45" s="11" t="n">
        <f aca="false">$AO45*IF(J$3&gt;=$AP45+$AQ45*Scenario_Control!$M$19,$AS45*(1+Assumptions!$D$9)/12*(1+Assumptions!$D$8)^(J$5-1)*IF($AQ45=1,Scenario_Control!$M$20,1),0)</f>
        <v>0</v>
      </c>
      <c r="K45" s="11" t="n">
        <f aca="false">$AO45*IF(K$3&gt;=$AP45+$AQ45*Scenario_Control!$M$19,$AS45*(1+Assumptions!$D$9)/12*(1+Assumptions!$D$8)^(K$5-1)*IF($AQ45=1,Scenario_Control!$M$20,1),0)</f>
        <v>0</v>
      </c>
      <c r="L45" s="11" t="n">
        <f aca="false">$AO45*IF(L$3&gt;=$AP45+$AQ45*Scenario_Control!$M$19,$AS45*(1+Assumptions!$D$9)/12*(1+Assumptions!$D$8)^(L$5-1)*IF($AQ45=1,Scenario_Control!$M$20,1),0)</f>
        <v>0</v>
      </c>
      <c r="M45" s="11" t="n">
        <f aca="false">$AO45*IF(M$3&gt;=$AP45+$AQ45*Scenario_Control!$M$19,$AS45*(1+Assumptions!$D$9)/12*(1+Assumptions!$D$8)^(M$5-1)*IF($AQ45=1,Scenario_Control!$M$20,1),0)</f>
        <v>0</v>
      </c>
      <c r="N45" s="11" t="n">
        <f aca="false">$AO45*IF(N$3&gt;=$AP45+$AQ45*Scenario_Control!$M$19,$AS45*(1+Assumptions!$D$9)/12*(1+Assumptions!$D$8)^(N$5-1)*IF($AQ45=1,Scenario_Control!$M$20,1),0)</f>
        <v>0</v>
      </c>
      <c r="O45" s="11" t="n">
        <f aca="false">$AO45*IF(O$3&gt;=$AP45+$AQ45*Scenario_Control!$M$19,$AS45*(1+Assumptions!$D$9)/12*(1+Assumptions!$D$8)^(O$5-1)*IF($AQ45=1,Scenario_Control!$M$20,1),0)</f>
        <v>0</v>
      </c>
      <c r="P45" s="11" t="n">
        <f aca="false">$AO45*IF(P$3&gt;=$AP45+$AQ45*Scenario_Control!$M$19,$AS45*(1+Assumptions!$D$9)/12*(1+Assumptions!$D$8)^(P$5-1)*IF($AQ45=1,Scenario_Control!$M$20,1),0)</f>
        <v>0</v>
      </c>
      <c r="Q45" s="11" t="n">
        <f aca="false">$AO45*IF(Q$3&gt;=$AP45+$AQ45*Scenario_Control!$M$19,$AS45*(1+Assumptions!$D$9)/12*(1+Assumptions!$D$8)^(Q$5-1)*IF($AQ45=1,Scenario_Control!$M$20,1),0)</f>
        <v>0</v>
      </c>
      <c r="R45" s="11" t="n">
        <f aca="false">$AO45*IF(R$3&gt;=$AP45+$AQ45*Scenario_Control!$M$19,$AS45*(1+Assumptions!$D$9)/12*(1+Assumptions!$D$8)^(R$5-1)*IF($AQ45=1,Scenario_Control!$M$20,1),0)</f>
        <v>0</v>
      </c>
      <c r="S45" s="11" t="n">
        <f aca="false">$AO45*IF(S$3&gt;=$AP45+$AQ45*Scenario_Control!$M$19,$AS45*(1+Assumptions!$D$9)/12*(1+Assumptions!$D$8)^(S$5-1)*IF($AQ45=1,Scenario_Control!$M$20,1),0)</f>
        <v>0</v>
      </c>
      <c r="T45" s="11" t="n">
        <f aca="false">$AO45*IF(T$3&gt;=$AP45+$AQ45*Scenario_Control!$M$19,$AS45*(1+Assumptions!$D$9)/12*(1+Assumptions!$D$8)^(T$5-1)*IF($AQ45=1,Scenario_Control!$M$20,1),0)</f>
        <v>0</v>
      </c>
      <c r="U45" s="11" t="n">
        <f aca="false">$AO45*IF(U$3&gt;=$AP45+$AQ45*Scenario_Control!$M$19,$AS45*(1+Assumptions!$D$9)/12*(1+Assumptions!$D$8)^(U$5-1)*IF($AQ45=1,Scenario_Control!$M$20,1),0)</f>
        <v>0</v>
      </c>
      <c r="V45" s="11" t="n">
        <f aca="false">$AO45*IF(V$3&gt;=$AP45+$AQ45*Scenario_Control!$M$19,$AS45*(1+Assumptions!$D$9)/12*(1+Assumptions!$D$8)^(V$5-1)*IF($AQ45=1,Scenario_Control!$M$20,1),0)</f>
        <v>0</v>
      </c>
      <c r="W45" s="11" t="n">
        <f aca="false">$AO45*IF(W$3&gt;=$AP45+$AQ45*Scenario_Control!$M$19,$AS45*(1+Assumptions!$D$9)/12*(1+Assumptions!$D$8)^(W$5-1)*IF($AQ45=1,Scenario_Control!$M$20,1),0)</f>
        <v>0</v>
      </c>
      <c r="X45" s="11" t="n">
        <f aca="false">$AO45*IF(X$3&gt;=$AP45+$AQ45*Scenario_Control!$M$19,$AS45*(1+Assumptions!$D$9)/12*(1+Assumptions!$D$8)^(X$5-1)*IF($AQ45=1,Scenario_Control!$M$20,1),0)</f>
        <v>0</v>
      </c>
      <c r="Y45" s="11" t="n">
        <f aca="false">$AO45*IF(Y$3&gt;=$AP45+$AQ45*Scenario_Control!$M$19,$AS45*(1+Assumptions!$D$9)/12*(1+Assumptions!$D$8)^(Y$5-1)*IF($AQ45=1,Scenario_Control!$M$20,1),0)</f>
        <v>14420</v>
      </c>
      <c r="Z45" s="11" t="n">
        <f aca="false">$AO45*IF(Z$3&gt;=$AP45+$AQ45*Scenario_Control!$M$19,$AS45*(1+Assumptions!$D$9)/12*(1+Assumptions!$D$8)^(Z$5-1)*IF($AQ45=1,Scenario_Control!$M$20,1),0)</f>
        <v>14420</v>
      </c>
      <c r="AA45" s="11" t="n">
        <f aca="false">$AO45*IF(AA$3&gt;=$AP45+$AQ45*Scenario_Control!$M$19,$AS45*(1+Assumptions!$D$9)/12*(1+Assumptions!$D$8)^(AA$5-1)*IF($AQ45=1,Scenario_Control!$M$20,1),0)</f>
        <v>14420</v>
      </c>
      <c r="AB45" s="11" t="n">
        <f aca="false">$AO45*IF(AB$3&gt;=$AP45+$AQ45*Scenario_Control!$M$19,$AS45*(1+Assumptions!$D$9)/12*(1+Assumptions!$D$8)^(AB$5-1)*IF($AQ45=1,Scenario_Control!$M$20,1),0)</f>
        <v>14852.6</v>
      </c>
      <c r="AC45" s="11" t="n">
        <f aca="false">$AO45*IF(AC$3&gt;=$AP45+$AQ45*Scenario_Control!$M$19,$AS45*(1+Assumptions!$D$9)/12*(1+Assumptions!$D$8)^(AC$5-1)*IF($AQ45=1,Scenario_Control!$M$20,1),0)</f>
        <v>14852.6</v>
      </c>
      <c r="AD45" s="11" t="n">
        <f aca="false">$AO45*IF(AD$3&gt;=$AP45+$AQ45*Scenario_Control!$M$19,$AS45*(1+Assumptions!$D$9)/12*(1+Assumptions!$D$8)^(AD$5-1)*IF($AQ45=1,Scenario_Control!$M$20,1),0)</f>
        <v>14852.6</v>
      </c>
      <c r="AE45" s="11" t="n">
        <f aca="false">$AO45*IF(AE$3&gt;=$AP45+$AQ45*Scenario_Control!$M$19,$AS45*(1+Assumptions!$D$9)/12*(1+Assumptions!$D$8)^(AE$5-1)*IF($AQ45=1,Scenario_Control!$M$20,1),0)</f>
        <v>14852.6</v>
      </c>
      <c r="AF45" s="11" t="n">
        <f aca="false">$AO45*IF(AF$3&gt;=$AP45+$AQ45*Scenario_Control!$M$19,$AS45*(1+Assumptions!$D$9)/12*(1+Assumptions!$D$8)^(AF$5-1)*IF($AQ45=1,Scenario_Control!$M$20,1),0)</f>
        <v>14852.6</v>
      </c>
      <c r="AG45" s="11" t="n">
        <f aca="false">$AO45*IF(AG$3&gt;=$AP45+$AQ45*Scenario_Control!$M$19,$AS45*(1+Assumptions!$D$9)/12*(1+Assumptions!$D$8)^(AG$5-1)*IF($AQ45=1,Scenario_Control!$M$20,1),0)</f>
        <v>14852.6</v>
      </c>
      <c r="AH45" s="11" t="n">
        <f aca="false">$AO45*IF(AH$3&gt;=$AP45+$AQ45*Scenario_Control!$M$19,$AS45*(1+Assumptions!$D$9)/12*(1+Assumptions!$D$8)^(AH$5-1)*IF($AQ45=1,Scenario_Control!$M$20,1),0)</f>
        <v>14852.6</v>
      </c>
      <c r="AI45" s="11" t="n">
        <f aca="false">$AO45*IF(AI$3&gt;=$AP45+$AQ45*Scenario_Control!$M$19,$AS45*(1+Assumptions!$D$9)/12*(1+Assumptions!$D$8)^(AI$5-1)*IF($AQ45=1,Scenario_Control!$M$20,1),0)</f>
        <v>14852.6</v>
      </c>
      <c r="AJ45" s="11" t="n">
        <f aca="false">$AO45*IF(AJ$3&gt;=$AP45+$AQ45*Scenario_Control!$M$19,$AS45*(1+Assumptions!$D$9)/12*(1+Assumptions!$D$8)^(AJ$5-1)*IF($AQ45=1,Scenario_Control!$M$20,1),0)</f>
        <v>14852.6</v>
      </c>
      <c r="AK45" s="11" t="n">
        <f aca="false">$AO45*IF(AK$3&gt;=$AP45+$AQ45*Scenario_Control!$M$19,$AS45*(1+Assumptions!$D$9)/12*(1+Assumptions!$D$8)^(AK$5-1)*IF($AQ45=1,Scenario_Control!$M$20,1),0)</f>
        <v>14852.6</v>
      </c>
      <c r="AL45" s="11" t="n">
        <f aca="false">$AO45*IF(AL$3&gt;=$AP45+$AQ45*Scenario_Control!$M$19,$AS45*(1+Assumptions!$D$9)/12*(1+Assumptions!$D$8)^(AL$5-1)*IF($AQ45=1,Scenario_Control!$M$20,1),0)</f>
        <v>14852.6</v>
      </c>
      <c r="AM45" s="11" t="n">
        <f aca="false">$AO45*IF(AM$3&gt;=$AP45+$AQ45*Scenario_Control!$M$19,$AS45*(1+Assumptions!$D$9)/12*(1+Assumptions!$D$8)^(AM$5-1)*IF($AQ45=1,Scenario_Control!$M$20,1),0)</f>
        <v>14852.6</v>
      </c>
      <c r="AO45" s="58" t="n">
        <v>1</v>
      </c>
      <c r="AP45" s="58" t="n">
        <v>22</v>
      </c>
      <c r="AQ45" s="58" t="n">
        <v>1</v>
      </c>
      <c r="AR45" s="58" t="n">
        <v>1</v>
      </c>
      <c r="AS45" s="30" t="n">
        <v>140000</v>
      </c>
      <c r="AT45" s="58" t="s">
        <v>964</v>
      </c>
      <c r="AU45" s="58" t="s">
        <v>968</v>
      </c>
      <c r="AV45" s="58" t="s">
        <v>990</v>
      </c>
      <c r="AW45" s="58" t="n">
        <f aca="false">AP45+AQ45*Scenario_Control!$M$19</f>
        <v>22</v>
      </c>
    </row>
    <row r="46" customFormat="false" ht="15" hidden="false" customHeight="true" outlineLevel="0" collapsed="false">
      <c r="A46" s="5" t="s">
        <v>1008</v>
      </c>
      <c r="B46" s="10" t="s">
        <v>80</v>
      </c>
      <c r="C46" s="12" t="n">
        <f aca="false">SUM(D46:AM46)</f>
        <v>227053.2</v>
      </c>
      <c r="D46" s="11" t="n">
        <f aca="false">$AO46*IF(D$3&gt;=$AP46+$AQ46*Scenario_Control!$M$19,$AS46*(1+Assumptions!$D$9)/12*(1+Assumptions!$D$8)^(D$5-1)*IF($AQ46=1,Scenario_Control!$M$20,1),0)</f>
        <v>0</v>
      </c>
      <c r="E46" s="11" t="n">
        <f aca="false">$AO46*IF(E$3&gt;=$AP46+$AQ46*Scenario_Control!$M$19,$AS46*(1+Assumptions!$D$9)/12*(1+Assumptions!$D$8)^(E$5-1)*IF($AQ46=1,Scenario_Control!$M$20,1),0)</f>
        <v>0</v>
      </c>
      <c r="F46" s="11" t="n">
        <f aca="false">$AO46*IF(F$3&gt;=$AP46+$AQ46*Scenario_Control!$M$19,$AS46*(1+Assumptions!$D$9)/12*(1+Assumptions!$D$8)^(F$5-1)*IF($AQ46=1,Scenario_Control!$M$20,1),0)</f>
        <v>0</v>
      </c>
      <c r="G46" s="11" t="n">
        <f aca="false">$AO46*IF(G$3&gt;=$AP46+$AQ46*Scenario_Control!$M$19,$AS46*(1+Assumptions!$D$9)/12*(1+Assumptions!$D$8)^(G$5-1)*IF($AQ46=1,Scenario_Control!$M$20,1),0)</f>
        <v>0</v>
      </c>
      <c r="H46" s="11" t="n">
        <f aca="false">$AO46*IF(H$3&gt;=$AP46+$AQ46*Scenario_Control!$M$19,$AS46*(1+Assumptions!$D$9)/12*(1+Assumptions!$D$8)^(H$5-1)*IF($AQ46=1,Scenario_Control!$M$20,1),0)</f>
        <v>0</v>
      </c>
      <c r="I46" s="11" t="n">
        <f aca="false">$AO46*IF(I$3&gt;=$AP46+$AQ46*Scenario_Control!$M$19,$AS46*(1+Assumptions!$D$9)/12*(1+Assumptions!$D$8)^(I$5-1)*IF($AQ46=1,Scenario_Control!$M$20,1),0)</f>
        <v>0</v>
      </c>
      <c r="J46" s="11" t="n">
        <f aca="false">$AO46*IF(J$3&gt;=$AP46+$AQ46*Scenario_Control!$M$19,$AS46*(1+Assumptions!$D$9)/12*(1+Assumptions!$D$8)^(J$5-1)*IF($AQ46=1,Scenario_Control!$M$20,1),0)</f>
        <v>0</v>
      </c>
      <c r="K46" s="11" t="n">
        <f aca="false">$AO46*IF(K$3&gt;=$AP46+$AQ46*Scenario_Control!$M$19,$AS46*(1+Assumptions!$D$9)/12*(1+Assumptions!$D$8)^(K$5-1)*IF($AQ46=1,Scenario_Control!$M$20,1),0)</f>
        <v>0</v>
      </c>
      <c r="L46" s="11" t="n">
        <f aca="false">$AO46*IF(L$3&gt;=$AP46+$AQ46*Scenario_Control!$M$19,$AS46*(1+Assumptions!$D$9)/12*(1+Assumptions!$D$8)^(L$5-1)*IF($AQ46=1,Scenario_Control!$M$20,1),0)</f>
        <v>0</v>
      </c>
      <c r="M46" s="11" t="n">
        <f aca="false">$AO46*IF(M$3&gt;=$AP46+$AQ46*Scenario_Control!$M$19,$AS46*(1+Assumptions!$D$9)/12*(1+Assumptions!$D$8)^(M$5-1)*IF($AQ46=1,Scenario_Control!$M$20,1),0)</f>
        <v>0</v>
      </c>
      <c r="N46" s="11" t="n">
        <f aca="false">$AO46*IF(N$3&gt;=$AP46+$AQ46*Scenario_Control!$M$19,$AS46*(1+Assumptions!$D$9)/12*(1+Assumptions!$D$8)^(N$5-1)*IF($AQ46=1,Scenario_Control!$M$20,1),0)</f>
        <v>0</v>
      </c>
      <c r="O46" s="11" t="n">
        <f aca="false">$AO46*IF(O$3&gt;=$AP46+$AQ46*Scenario_Control!$M$19,$AS46*(1+Assumptions!$D$9)/12*(1+Assumptions!$D$8)^(O$5-1)*IF($AQ46=1,Scenario_Control!$M$20,1),0)</f>
        <v>0</v>
      </c>
      <c r="P46" s="11" t="n">
        <f aca="false">$AO46*IF(P$3&gt;=$AP46+$AQ46*Scenario_Control!$M$19,$AS46*(1+Assumptions!$D$9)/12*(1+Assumptions!$D$8)^(P$5-1)*IF($AQ46=1,Scenario_Control!$M$20,1),0)</f>
        <v>0</v>
      </c>
      <c r="Q46" s="11" t="n">
        <f aca="false">$AO46*IF(Q$3&gt;=$AP46+$AQ46*Scenario_Control!$M$19,$AS46*(1+Assumptions!$D$9)/12*(1+Assumptions!$D$8)^(Q$5-1)*IF($AQ46=1,Scenario_Control!$M$20,1),0)</f>
        <v>0</v>
      </c>
      <c r="R46" s="11" t="n">
        <f aca="false">$AO46*IF(R$3&gt;=$AP46+$AQ46*Scenario_Control!$M$19,$AS46*(1+Assumptions!$D$9)/12*(1+Assumptions!$D$8)^(R$5-1)*IF($AQ46=1,Scenario_Control!$M$20,1),0)</f>
        <v>0</v>
      </c>
      <c r="S46" s="11" t="n">
        <f aca="false">$AO46*IF(S$3&gt;=$AP46+$AQ46*Scenario_Control!$M$19,$AS46*(1+Assumptions!$D$9)/12*(1+Assumptions!$D$8)^(S$5-1)*IF($AQ46=1,Scenario_Control!$M$20,1),0)</f>
        <v>0</v>
      </c>
      <c r="T46" s="11" t="n">
        <f aca="false">$AO46*IF(T$3&gt;=$AP46+$AQ46*Scenario_Control!$M$19,$AS46*(1+Assumptions!$D$9)/12*(1+Assumptions!$D$8)^(T$5-1)*IF($AQ46=1,Scenario_Control!$M$20,1),0)</f>
        <v>0</v>
      </c>
      <c r="U46" s="11" t="n">
        <f aca="false">$AO46*IF(U$3&gt;=$AP46+$AQ46*Scenario_Control!$M$19,$AS46*(1+Assumptions!$D$9)/12*(1+Assumptions!$D$8)^(U$5-1)*IF($AQ46=1,Scenario_Control!$M$20,1),0)</f>
        <v>0</v>
      </c>
      <c r="V46" s="11" t="n">
        <f aca="false">$AO46*IF(V$3&gt;=$AP46+$AQ46*Scenario_Control!$M$19,$AS46*(1+Assumptions!$D$9)/12*(1+Assumptions!$D$8)^(V$5-1)*IF($AQ46=1,Scenario_Control!$M$20,1),0)</f>
        <v>0</v>
      </c>
      <c r="W46" s="11" t="n">
        <f aca="false">$AO46*IF(W$3&gt;=$AP46+$AQ46*Scenario_Control!$M$19,$AS46*(1+Assumptions!$D$9)/12*(1+Assumptions!$D$8)^(W$5-1)*IF($AQ46=1,Scenario_Control!$M$20,1),0)</f>
        <v>0</v>
      </c>
      <c r="X46" s="11" t="n">
        <f aca="false">$AO46*IF(X$3&gt;=$AP46+$AQ46*Scenario_Control!$M$19,$AS46*(1+Assumptions!$D$9)/12*(1+Assumptions!$D$8)^(X$5-1)*IF($AQ46=1,Scenario_Control!$M$20,1),0)</f>
        <v>0</v>
      </c>
      <c r="Y46" s="11" t="n">
        <f aca="false">$AO46*IF(Y$3&gt;=$AP46+$AQ46*Scenario_Control!$M$19,$AS46*(1+Assumptions!$D$9)/12*(1+Assumptions!$D$8)^(Y$5-1)*IF($AQ46=1,Scenario_Control!$M$20,1),0)</f>
        <v>0</v>
      </c>
      <c r="Z46" s="11" t="n">
        <f aca="false">$AO46*IF(Z$3&gt;=$AP46+$AQ46*Scenario_Control!$M$19,$AS46*(1+Assumptions!$D$9)/12*(1+Assumptions!$D$8)^(Z$5-1)*IF($AQ46=1,Scenario_Control!$M$20,1),0)</f>
        <v>0</v>
      </c>
      <c r="AA46" s="11" t="n">
        <f aca="false">$AO46*IF(AA$3&gt;=$AP46+$AQ46*Scenario_Control!$M$19,$AS46*(1+Assumptions!$D$9)/12*(1+Assumptions!$D$8)^(AA$5-1)*IF($AQ46=1,Scenario_Control!$M$20,1),0)</f>
        <v>16995</v>
      </c>
      <c r="AB46" s="11" t="n">
        <f aca="false">$AO46*IF(AB$3&gt;=$AP46+$AQ46*Scenario_Control!$M$19,$AS46*(1+Assumptions!$D$9)/12*(1+Assumptions!$D$8)^(AB$5-1)*IF($AQ46=1,Scenario_Control!$M$20,1),0)</f>
        <v>17504.85</v>
      </c>
      <c r="AC46" s="11" t="n">
        <f aca="false">$AO46*IF(AC$3&gt;=$AP46+$AQ46*Scenario_Control!$M$19,$AS46*(1+Assumptions!$D$9)/12*(1+Assumptions!$D$8)^(AC$5-1)*IF($AQ46=1,Scenario_Control!$M$20,1),0)</f>
        <v>17504.85</v>
      </c>
      <c r="AD46" s="11" t="n">
        <f aca="false">$AO46*IF(AD$3&gt;=$AP46+$AQ46*Scenario_Control!$M$19,$AS46*(1+Assumptions!$D$9)/12*(1+Assumptions!$D$8)^(AD$5-1)*IF($AQ46=1,Scenario_Control!$M$20,1),0)</f>
        <v>17504.85</v>
      </c>
      <c r="AE46" s="11" t="n">
        <f aca="false">$AO46*IF(AE$3&gt;=$AP46+$AQ46*Scenario_Control!$M$19,$AS46*(1+Assumptions!$D$9)/12*(1+Assumptions!$D$8)^(AE$5-1)*IF($AQ46=1,Scenario_Control!$M$20,1),0)</f>
        <v>17504.85</v>
      </c>
      <c r="AF46" s="11" t="n">
        <f aca="false">$AO46*IF(AF$3&gt;=$AP46+$AQ46*Scenario_Control!$M$19,$AS46*(1+Assumptions!$D$9)/12*(1+Assumptions!$D$8)^(AF$5-1)*IF($AQ46=1,Scenario_Control!$M$20,1),0)</f>
        <v>17504.85</v>
      </c>
      <c r="AG46" s="11" t="n">
        <f aca="false">$AO46*IF(AG$3&gt;=$AP46+$AQ46*Scenario_Control!$M$19,$AS46*(1+Assumptions!$D$9)/12*(1+Assumptions!$D$8)^(AG$5-1)*IF($AQ46=1,Scenario_Control!$M$20,1),0)</f>
        <v>17504.85</v>
      </c>
      <c r="AH46" s="11" t="n">
        <f aca="false">$AO46*IF(AH$3&gt;=$AP46+$AQ46*Scenario_Control!$M$19,$AS46*(1+Assumptions!$D$9)/12*(1+Assumptions!$D$8)^(AH$5-1)*IF($AQ46=1,Scenario_Control!$M$20,1),0)</f>
        <v>17504.85</v>
      </c>
      <c r="AI46" s="11" t="n">
        <f aca="false">$AO46*IF(AI$3&gt;=$AP46+$AQ46*Scenario_Control!$M$19,$AS46*(1+Assumptions!$D$9)/12*(1+Assumptions!$D$8)^(AI$5-1)*IF($AQ46=1,Scenario_Control!$M$20,1),0)</f>
        <v>17504.85</v>
      </c>
      <c r="AJ46" s="11" t="n">
        <f aca="false">$AO46*IF(AJ$3&gt;=$AP46+$AQ46*Scenario_Control!$M$19,$AS46*(1+Assumptions!$D$9)/12*(1+Assumptions!$D$8)^(AJ$5-1)*IF($AQ46=1,Scenario_Control!$M$20,1),0)</f>
        <v>17504.85</v>
      </c>
      <c r="AK46" s="11" t="n">
        <f aca="false">$AO46*IF(AK$3&gt;=$AP46+$AQ46*Scenario_Control!$M$19,$AS46*(1+Assumptions!$D$9)/12*(1+Assumptions!$D$8)^(AK$5-1)*IF($AQ46=1,Scenario_Control!$M$20,1),0)</f>
        <v>17504.85</v>
      </c>
      <c r="AL46" s="11" t="n">
        <f aca="false">$AO46*IF(AL$3&gt;=$AP46+$AQ46*Scenario_Control!$M$19,$AS46*(1+Assumptions!$D$9)/12*(1+Assumptions!$D$8)^(AL$5-1)*IF($AQ46=1,Scenario_Control!$M$20,1),0)</f>
        <v>17504.85</v>
      </c>
      <c r="AM46" s="11" t="n">
        <f aca="false">$AO46*IF(AM$3&gt;=$AP46+$AQ46*Scenario_Control!$M$19,$AS46*(1+Assumptions!$D$9)/12*(1+Assumptions!$D$8)^(AM$5-1)*IF($AQ46=1,Scenario_Control!$M$20,1),0)</f>
        <v>17504.85</v>
      </c>
      <c r="AO46" s="58" t="n">
        <v>1</v>
      </c>
      <c r="AP46" s="58" t="n">
        <v>24</v>
      </c>
      <c r="AQ46" s="58" t="n">
        <v>1</v>
      </c>
      <c r="AR46" s="58" t="n">
        <v>1</v>
      </c>
      <c r="AS46" s="30" t="n">
        <v>165000</v>
      </c>
      <c r="AT46" s="58" t="s">
        <v>80</v>
      </c>
      <c r="AU46" s="58" t="s">
        <v>956</v>
      </c>
      <c r="AV46" s="58" t="s">
        <v>994</v>
      </c>
      <c r="AW46" s="58" t="n">
        <f aca="false">AP46+AQ46*Scenario_Control!$M$19</f>
        <v>24</v>
      </c>
    </row>
    <row r="47" customFormat="false" ht="15" hidden="false" customHeight="true" outlineLevel="0" collapsed="false">
      <c r="A47" s="5" t="s">
        <v>1009</v>
      </c>
      <c r="B47" s="10" t="s">
        <v>82</v>
      </c>
      <c r="C47" s="12" t="n">
        <f aca="false">SUM(D47:AM47)</f>
        <v>206412</v>
      </c>
      <c r="D47" s="11" t="n">
        <f aca="false">$AO47*IF(D$3&gt;=$AP47+$AQ47*Scenario_Control!$M$19,$AS47*(1+Assumptions!$D$9)/12*(1+Assumptions!$D$8)^(D$5-1)*IF($AQ47=1,Scenario_Control!$M$20,1),0)</f>
        <v>0</v>
      </c>
      <c r="E47" s="11" t="n">
        <f aca="false">$AO47*IF(E$3&gt;=$AP47+$AQ47*Scenario_Control!$M$19,$AS47*(1+Assumptions!$D$9)/12*(1+Assumptions!$D$8)^(E$5-1)*IF($AQ47=1,Scenario_Control!$M$20,1),0)</f>
        <v>0</v>
      </c>
      <c r="F47" s="11" t="n">
        <f aca="false">$AO47*IF(F$3&gt;=$AP47+$AQ47*Scenario_Control!$M$19,$AS47*(1+Assumptions!$D$9)/12*(1+Assumptions!$D$8)^(F$5-1)*IF($AQ47=1,Scenario_Control!$M$20,1),0)</f>
        <v>0</v>
      </c>
      <c r="G47" s="11" t="n">
        <f aca="false">$AO47*IF(G$3&gt;=$AP47+$AQ47*Scenario_Control!$M$19,$AS47*(1+Assumptions!$D$9)/12*(1+Assumptions!$D$8)^(G$5-1)*IF($AQ47=1,Scenario_Control!$M$20,1),0)</f>
        <v>0</v>
      </c>
      <c r="H47" s="11" t="n">
        <f aca="false">$AO47*IF(H$3&gt;=$AP47+$AQ47*Scenario_Control!$M$19,$AS47*(1+Assumptions!$D$9)/12*(1+Assumptions!$D$8)^(H$5-1)*IF($AQ47=1,Scenario_Control!$M$20,1),0)</f>
        <v>0</v>
      </c>
      <c r="I47" s="11" t="n">
        <f aca="false">$AO47*IF(I$3&gt;=$AP47+$AQ47*Scenario_Control!$M$19,$AS47*(1+Assumptions!$D$9)/12*(1+Assumptions!$D$8)^(I$5-1)*IF($AQ47=1,Scenario_Control!$M$20,1),0)</f>
        <v>0</v>
      </c>
      <c r="J47" s="11" t="n">
        <f aca="false">$AO47*IF(J$3&gt;=$AP47+$AQ47*Scenario_Control!$M$19,$AS47*(1+Assumptions!$D$9)/12*(1+Assumptions!$D$8)^(J$5-1)*IF($AQ47=1,Scenario_Control!$M$20,1),0)</f>
        <v>0</v>
      </c>
      <c r="K47" s="11" t="n">
        <f aca="false">$AO47*IF(K$3&gt;=$AP47+$AQ47*Scenario_Control!$M$19,$AS47*(1+Assumptions!$D$9)/12*(1+Assumptions!$D$8)^(K$5-1)*IF($AQ47=1,Scenario_Control!$M$20,1),0)</f>
        <v>0</v>
      </c>
      <c r="L47" s="11" t="n">
        <f aca="false">$AO47*IF(L$3&gt;=$AP47+$AQ47*Scenario_Control!$M$19,$AS47*(1+Assumptions!$D$9)/12*(1+Assumptions!$D$8)^(L$5-1)*IF($AQ47=1,Scenario_Control!$M$20,1),0)</f>
        <v>0</v>
      </c>
      <c r="M47" s="11" t="n">
        <f aca="false">$AO47*IF(M$3&gt;=$AP47+$AQ47*Scenario_Control!$M$19,$AS47*(1+Assumptions!$D$9)/12*(1+Assumptions!$D$8)^(M$5-1)*IF($AQ47=1,Scenario_Control!$M$20,1),0)</f>
        <v>0</v>
      </c>
      <c r="N47" s="11" t="n">
        <f aca="false">$AO47*IF(N$3&gt;=$AP47+$AQ47*Scenario_Control!$M$19,$AS47*(1+Assumptions!$D$9)/12*(1+Assumptions!$D$8)^(N$5-1)*IF($AQ47=1,Scenario_Control!$M$20,1),0)</f>
        <v>0</v>
      </c>
      <c r="O47" s="11" t="n">
        <f aca="false">$AO47*IF(O$3&gt;=$AP47+$AQ47*Scenario_Control!$M$19,$AS47*(1+Assumptions!$D$9)/12*(1+Assumptions!$D$8)^(O$5-1)*IF($AQ47=1,Scenario_Control!$M$20,1),0)</f>
        <v>0</v>
      </c>
      <c r="P47" s="11" t="n">
        <f aca="false">$AO47*IF(P$3&gt;=$AP47+$AQ47*Scenario_Control!$M$19,$AS47*(1+Assumptions!$D$9)/12*(1+Assumptions!$D$8)^(P$5-1)*IF($AQ47=1,Scenario_Control!$M$20,1),0)</f>
        <v>0</v>
      </c>
      <c r="Q47" s="11" t="n">
        <f aca="false">$AO47*IF(Q$3&gt;=$AP47+$AQ47*Scenario_Control!$M$19,$AS47*(1+Assumptions!$D$9)/12*(1+Assumptions!$D$8)^(Q$5-1)*IF($AQ47=1,Scenario_Control!$M$20,1),0)</f>
        <v>0</v>
      </c>
      <c r="R47" s="11" t="n">
        <f aca="false">$AO47*IF(R$3&gt;=$AP47+$AQ47*Scenario_Control!$M$19,$AS47*(1+Assumptions!$D$9)/12*(1+Assumptions!$D$8)^(R$5-1)*IF($AQ47=1,Scenario_Control!$M$20,1),0)</f>
        <v>0</v>
      </c>
      <c r="S47" s="11" t="n">
        <f aca="false">$AO47*IF(S$3&gt;=$AP47+$AQ47*Scenario_Control!$M$19,$AS47*(1+Assumptions!$D$9)/12*(1+Assumptions!$D$8)^(S$5-1)*IF($AQ47=1,Scenario_Control!$M$20,1),0)</f>
        <v>0</v>
      </c>
      <c r="T47" s="11" t="n">
        <f aca="false">$AO47*IF(T$3&gt;=$AP47+$AQ47*Scenario_Control!$M$19,$AS47*(1+Assumptions!$D$9)/12*(1+Assumptions!$D$8)^(T$5-1)*IF($AQ47=1,Scenario_Control!$M$20,1),0)</f>
        <v>0</v>
      </c>
      <c r="U47" s="11" t="n">
        <f aca="false">$AO47*IF(U$3&gt;=$AP47+$AQ47*Scenario_Control!$M$19,$AS47*(1+Assumptions!$D$9)/12*(1+Assumptions!$D$8)^(U$5-1)*IF($AQ47=1,Scenario_Control!$M$20,1),0)</f>
        <v>0</v>
      </c>
      <c r="V47" s="11" t="n">
        <f aca="false">$AO47*IF(V$3&gt;=$AP47+$AQ47*Scenario_Control!$M$19,$AS47*(1+Assumptions!$D$9)/12*(1+Assumptions!$D$8)^(V$5-1)*IF($AQ47=1,Scenario_Control!$M$20,1),0)</f>
        <v>0</v>
      </c>
      <c r="W47" s="11" t="n">
        <f aca="false">$AO47*IF(W$3&gt;=$AP47+$AQ47*Scenario_Control!$M$19,$AS47*(1+Assumptions!$D$9)/12*(1+Assumptions!$D$8)^(W$5-1)*IF($AQ47=1,Scenario_Control!$M$20,1),0)</f>
        <v>0</v>
      </c>
      <c r="X47" s="11" t="n">
        <f aca="false">$AO47*IF(X$3&gt;=$AP47+$AQ47*Scenario_Control!$M$19,$AS47*(1+Assumptions!$D$9)/12*(1+Assumptions!$D$8)^(X$5-1)*IF($AQ47=1,Scenario_Control!$M$20,1),0)</f>
        <v>0</v>
      </c>
      <c r="Y47" s="11" t="n">
        <f aca="false">$AO47*IF(Y$3&gt;=$AP47+$AQ47*Scenario_Control!$M$19,$AS47*(1+Assumptions!$D$9)/12*(1+Assumptions!$D$8)^(Y$5-1)*IF($AQ47=1,Scenario_Control!$M$20,1),0)</f>
        <v>0</v>
      </c>
      <c r="Z47" s="11" t="n">
        <f aca="false">$AO47*IF(Z$3&gt;=$AP47+$AQ47*Scenario_Control!$M$19,$AS47*(1+Assumptions!$D$9)/12*(1+Assumptions!$D$8)^(Z$5-1)*IF($AQ47=1,Scenario_Control!$M$20,1),0)</f>
        <v>0</v>
      </c>
      <c r="AA47" s="11" t="n">
        <f aca="false">$AO47*IF(AA$3&gt;=$AP47+$AQ47*Scenario_Control!$M$19,$AS47*(1+Assumptions!$D$9)/12*(1+Assumptions!$D$8)^(AA$5-1)*IF($AQ47=1,Scenario_Control!$M$20,1),0)</f>
        <v>15450</v>
      </c>
      <c r="AB47" s="11" t="n">
        <f aca="false">$AO47*IF(AB$3&gt;=$AP47+$AQ47*Scenario_Control!$M$19,$AS47*(1+Assumptions!$D$9)/12*(1+Assumptions!$D$8)^(AB$5-1)*IF($AQ47=1,Scenario_Control!$M$20,1),0)</f>
        <v>15913.5</v>
      </c>
      <c r="AC47" s="11" t="n">
        <f aca="false">$AO47*IF(AC$3&gt;=$AP47+$AQ47*Scenario_Control!$M$19,$AS47*(1+Assumptions!$D$9)/12*(1+Assumptions!$D$8)^(AC$5-1)*IF($AQ47=1,Scenario_Control!$M$20,1),0)</f>
        <v>15913.5</v>
      </c>
      <c r="AD47" s="11" t="n">
        <f aca="false">$AO47*IF(AD$3&gt;=$AP47+$AQ47*Scenario_Control!$M$19,$AS47*(1+Assumptions!$D$9)/12*(1+Assumptions!$D$8)^(AD$5-1)*IF($AQ47=1,Scenario_Control!$M$20,1),0)</f>
        <v>15913.5</v>
      </c>
      <c r="AE47" s="11" t="n">
        <f aca="false">$AO47*IF(AE$3&gt;=$AP47+$AQ47*Scenario_Control!$M$19,$AS47*(1+Assumptions!$D$9)/12*(1+Assumptions!$D$8)^(AE$5-1)*IF($AQ47=1,Scenario_Control!$M$20,1),0)</f>
        <v>15913.5</v>
      </c>
      <c r="AF47" s="11" t="n">
        <f aca="false">$AO47*IF(AF$3&gt;=$AP47+$AQ47*Scenario_Control!$M$19,$AS47*(1+Assumptions!$D$9)/12*(1+Assumptions!$D$8)^(AF$5-1)*IF($AQ47=1,Scenario_Control!$M$20,1),0)</f>
        <v>15913.5</v>
      </c>
      <c r="AG47" s="11" t="n">
        <f aca="false">$AO47*IF(AG$3&gt;=$AP47+$AQ47*Scenario_Control!$M$19,$AS47*(1+Assumptions!$D$9)/12*(1+Assumptions!$D$8)^(AG$5-1)*IF($AQ47=1,Scenario_Control!$M$20,1),0)</f>
        <v>15913.5</v>
      </c>
      <c r="AH47" s="11" t="n">
        <f aca="false">$AO47*IF(AH$3&gt;=$AP47+$AQ47*Scenario_Control!$M$19,$AS47*(1+Assumptions!$D$9)/12*(1+Assumptions!$D$8)^(AH$5-1)*IF($AQ47=1,Scenario_Control!$M$20,1),0)</f>
        <v>15913.5</v>
      </c>
      <c r="AI47" s="11" t="n">
        <f aca="false">$AO47*IF(AI$3&gt;=$AP47+$AQ47*Scenario_Control!$M$19,$AS47*(1+Assumptions!$D$9)/12*(1+Assumptions!$D$8)^(AI$5-1)*IF($AQ47=1,Scenario_Control!$M$20,1),0)</f>
        <v>15913.5</v>
      </c>
      <c r="AJ47" s="11" t="n">
        <f aca="false">$AO47*IF(AJ$3&gt;=$AP47+$AQ47*Scenario_Control!$M$19,$AS47*(1+Assumptions!$D$9)/12*(1+Assumptions!$D$8)^(AJ$5-1)*IF($AQ47=1,Scenario_Control!$M$20,1),0)</f>
        <v>15913.5</v>
      </c>
      <c r="AK47" s="11" t="n">
        <f aca="false">$AO47*IF(AK$3&gt;=$AP47+$AQ47*Scenario_Control!$M$19,$AS47*(1+Assumptions!$D$9)/12*(1+Assumptions!$D$8)^(AK$5-1)*IF($AQ47=1,Scenario_Control!$M$20,1),0)</f>
        <v>15913.5</v>
      </c>
      <c r="AL47" s="11" t="n">
        <f aca="false">$AO47*IF(AL$3&gt;=$AP47+$AQ47*Scenario_Control!$M$19,$AS47*(1+Assumptions!$D$9)/12*(1+Assumptions!$D$8)^(AL$5-1)*IF($AQ47=1,Scenario_Control!$M$20,1),0)</f>
        <v>15913.5</v>
      </c>
      <c r="AM47" s="11" t="n">
        <f aca="false">$AO47*IF(AM$3&gt;=$AP47+$AQ47*Scenario_Control!$M$19,$AS47*(1+Assumptions!$D$9)/12*(1+Assumptions!$D$8)^(AM$5-1)*IF($AQ47=1,Scenario_Control!$M$20,1),0)</f>
        <v>15913.5</v>
      </c>
      <c r="AO47" s="58" t="n">
        <v>1</v>
      </c>
      <c r="AP47" s="58" t="n">
        <v>24</v>
      </c>
      <c r="AQ47" s="58" t="n">
        <v>1</v>
      </c>
      <c r="AR47" s="58" t="n">
        <v>1</v>
      </c>
      <c r="AS47" s="30" t="n">
        <v>150000</v>
      </c>
      <c r="AT47" s="58" t="s">
        <v>82</v>
      </c>
      <c r="AU47" s="58" t="s">
        <v>956</v>
      </c>
      <c r="AV47" s="58" t="s">
        <v>1006</v>
      </c>
      <c r="AW47" s="58" t="n">
        <f aca="false">AP47+AQ47*Scenario_Control!$M$19</f>
        <v>24</v>
      </c>
    </row>
    <row r="48" customFormat="false" ht="15" hidden="false" customHeight="true" outlineLevel="0" collapsed="false">
      <c r="A48" s="5" t="s">
        <v>1010</v>
      </c>
      <c r="B48" s="10" t="s">
        <v>80</v>
      </c>
      <c r="C48" s="12" t="n">
        <f aca="false">SUM(D48:AM48)</f>
        <v>254616</v>
      </c>
      <c r="D48" s="11" t="n">
        <f aca="false">$AO48*IF(D$3&gt;=$AP48+$AQ48*Scenario_Control!$M$19,$AS48*(1+Assumptions!$D$9)/12*(1+Assumptions!$D$8)^(D$5-1)*IF($AQ48=1,Scenario_Control!$M$20,1),0)</f>
        <v>0</v>
      </c>
      <c r="E48" s="11" t="n">
        <f aca="false">$AO48*IF(E$3&gt;=$AP48+$AQ48*Scenario_Control!$M$19,$AS48*(1+Assumptions!$D$9)/12*(1+Assumptions!$D$8)^(E$5-1)*IF($AQ48=1,Scenario_Control!$M$20,1),0)</f>
        <v>0</v>
      </c>
      <c r="F48" s="11" t="n">
        <f aca="false">$AO48*IF(F$3&gt;=$AP48+$AQ48*Scenario_Control!$M$19,$AS48*(1+Assumptions!$D$9)/12*(1+Assumptions!$D$8)^(F$5-1)*IF($AQ48=1,Scenario_Control!$M$20,1),0)</f>
        <v>0</v>
      </c>
      <c r="G48" s="11" t="n">
        <f aca="false">$AO48*IF(G$3&gt;=$AP48+$AQ48*Scenario_Control!$M$19,$AS48*(1+Assumptions!$D$9)/12*(1+Assumptions!$D$8)^(G$5-1)*IF($AQ48=1,Scenario_Control!$M$20,1),0)</f>
        <v>0</v>
      </c>
      <c r="H48" s="11" t="n">
        <f aca="false">$AO48*IF(H$3&gt;=$AP48+$AQ48*Scenario_Control!$M$19,$AS48*(1+Assumptions!$D$9)/12*(1+Assumptions!$D$8)^(H$5-1)*IF($AQ48=1,Scenario_Control!$M$20,1),0)</f>
        <v>0</v>
      </c>
      <c r="I48" s="11" t="n">
        <f aca="false">$AO48*IF(I$3&gt;=$AP48+$AQ48*Scenario_Control!$M$19,$AS48*(1+Assumptions!$D$9)/12*(1+Assumptions!$D$8)^(I$5-1)*IF($AQ48=1,Scenario_Control!$M$20,1),0)</f>
        <v>0</v>
      </c>
      <c r="J48" s="11" t="n">
        <f aca="false">$AO48*IF(J$3&gt;=$AP48+$AQ48*Scenario_Control!$M$19,$AS48*(1+Assumptions!$D$9)/12*(1+Assumptions!$D$8)^(J$5-1)*IF($AQ48=1,Scenario_Control!$M$20,1),0)</f>
        <v>0</v>
      </c>
      <c r="K48" s="11" t="n">
        <f aca="false">$AO48*IF(K$3&gt;=$AP48+$AQ48*Scenario_Control!$M$19,$AS48*(1+Assumptions!$D$9)/12*(1+Assumptions!$D$8)^(K$5-1)*IF($AQ48=1,Scenario_Control!$M$20,1),0)</f>
        <v>0</v>
      </c>
      <c r="L48" s="11" t="n">
        <f aca="false">$AO48*IF(L$3&gt;=$AP48+$AQ48*Scenario_Control!$M$19,$AS48*(1+Assumptions!$D$9)/12*(1+Assumptions!$D$8)^(L$5-1)*IF($AQ48=1,Scenario_Control!$M$20,1),0)</f>
        <v>0</v>
      </c>
      <c r="M48" s="11" t="n">
        <f aca="false">$AO48*IF(M$3&gt;=$AP48+$AQ48*Scenario_Control!$M$19,$AS48*(1+Assumptions!$D$9)/12*(1+Assumptions!$D$8)^(M$5-1)*IF($AQ48=1,Scenario_Control!$M$20,1),0)</f>
        <v>0</v>
      </c>
      <c r="N48" s="11" t="n">
        <f aca="false">$AO48*IF(N$3&gt;=$AP48+$AQ48*Scenario_Control!$M$19,$AS48*(1+Assumptions!$D$9)/12*(1+Assumptions!$D$8)^(N$5-1)*IF($AQ48=1,Scenario_Control!$M$20,1),0)</f>
        <v>0</v>
      </c>
      <c r="O48" s="11" t="n">
        <f aca="false">$AO48*IF(O$3&gt;=$AP48+$AQ48*Scenario_Control!$M$19,$AS48*(1+Assumptions!$D$9)/12*(1+Assumptions!$D$8)^(O$5-1)*IF($AQ48=1,Scenario_Control!$M$20,1),0)</f>
        <v>0</v>
      </c>
      <c r="P48" s="11" t="n">
        <f aca="false">$AO48*IF(P$3&gt;=$AP48+$AQ48*Scenario_Control!$M$19,$AS48*(1+Assumptions!$D$9)/12*(1+Assumptions!$D$8)^(P$5-1)*IF($AQ48=1,Scenario_Control!$M$20,1),0)</f>
        <v>0</v>
      </c>
      <c r="Q48" s="11" t="n">
        <f aca="false">$AO48*IF(Q$3&gt;=$AP48+$AQ48*Scenario_Control!$M$19,$AS48*(1+Assumptions!$D$9)/12*(1+Assumptions!$D$8)^(Q$5-1)*IF($AQ48=1,Scenario_Control!$M$20,1),0)</f>
        <v>0</v>
      </c>
      <c r="R48" s="11" t="n">
        <f aca="false">$AO48*IF(R$3&gt;=$AP48+$AQ48*Scenario_Control!$M$19,$AS48*(1+Assumptions!$D$9)/12*(1+Assumptions!$D$8)^(R$5-1)*IF($AQ48=1,Scenario_Control!$M$20,1),0)</f>
        <v>0</v>
      </c>
      <c r="S48" s="11" t="n">
        <f aca="false">$AO48*IF(S$3&gt;=$AP48+$AQ48*Scenario_Control!$M$19,$AS48*(1+Assumptions!$D$9)/12*(1+Assumptions!$D$8)^(S$5-1)*IF($AQ48=1,Scenario_Control!$M$20,1),0)</f>
        <v>0</v>
      </c>
      <c r="T48" s="11" t="n">
        <f aca="false">$AO48*IF(T$3&gt;=$AP48+$AQ48*Scenario_Control!$M$19,$AS48*(1+Assumptions!$D$9)/12*(1+Assumptions!$D$8)^(T$5-1)*IF($AQ48=1,Scenario_Control!$M$20,1),0)</f>
        <v>0</v>
      </c>
      <c r="U48" s="11" t="n">
        <f aca="false">$AO48*IF(U$3&gt;=$AP48+$AQ48*Scenario_Control!$M$19,$AS48*(1+Assumptions!$D$9)/12*(1+Assumptions!$D$8)^(U$5-1)*IF($AQ48=1,Scenario_Control!$M$20,1),0)</f>
        <v>0</v>
      </c>
      <c r="V48" s="11" t="n">
        <f aca="false">$AO48*IF(V$3&gt;=$AP48+$AQ48*Scenario_Control!$M$19,$AS48*(1+Assumptions!$D$9)/12*(1+Assumptions!$D$8)^(V$5-1)*IF($AQ48=1,Scenario_Control!$M$20,1),0)</f>
        <v>0</v>
      </c>
      <c r="W48" s="11" t="n">
        <f aca="false">$AO48*IF(W$3&gt;=$AP48+$AQ48*Scenario_Control!$M$19,$AS48*(1+Assumptions!$D$9)/12*(1+Assumptions!$D$8)^(W$5-1)*IF($AQ48=1,Scenario_Control!$M$20,1),0)</f>
        <v>0</v>
      </c>
      <c r="X48" s="11" t="n">
        <f aca="false">$AO48*IF(X$3&gt;=$AP48+$AQ48*Scenario_Control!$M$19,$AS48*(1+Assumptions!$D$9)/12*(1+Assumptions!$D$8)^(X$5-1)*IF($AQ48=1,Scenario_Control!$M$20,1),0)</f>
        <v>0</v>
      </c>
      <c r="Y48" s="11" t="n">
        <f aca="false">$AO48*IF(Y$3&gt;=$AP48+$AQ48*Scenario_Control!$M$19,$AS48*(1+Assumptions!$D$9)/12*(1+Assumptions!$D$8)^(Y$5-1)*IF($AQ48=1,Scenario_Control!$M$20,1),0)</f>
        <v>0</v>
      </c>
      <c r="Z48" s="11" t="n">
        <f aca="false">$AO48*IF(Z$3&gt;=$AP48+$AQ48*Scenario_Control!$M$19,$AS48*(1+Assumptions!$D$9)/12*(1+Assumptions!$D$8)^(Z$5-1)*IF($AQ48=1,Scenario_Control!$M$20,1),0)</f>
        <v>0</v>
      </c>
      <c r="AA48" s="11" t="n">
        <f aca="false">$AO48*IF(AA$3&gt;=$AP48+$AQ48*Scenario_Control!$M$19,$AS48*(1+Assumptions!$D$9)/12*(1+Assumptions!$D$8)^(AA$5-1)*IF($AQ48=1,Scenario_Control!$M$20,1),0)</f>
        <v>0</v>
      </c>
      <c r="AB48" s="11" t="n">
        <f aca="false">$AO48*IF(AB$3&gt;=$AP48+$AQ48*Scenario_Control!$M$19,$AS48*(1+Assumptions!$D$9)/12*(1+Assumptions!$D$8)^(AB$5-1)*IF($AQ48=1,Scenario_Control!$M$20,1),0)</f>
        <v>21218</v>
      </c>
      <c r="AC48" s="11" t="n">
        <f aca="false">$AO48*IF(AC$3&gt;=$AP48+$AQ48*Scenario_Control!$M$19,$AS48*(1+Assumptions!$D$9)/12*(1+Assumptions!$D$8)^(AC$5-1)*IF($AQ48=1,Scenario_Control!$M$20,1),0)</f>
        <v>21218</v>
      </c>
      <c r="AD48" s="11" t="n">
        <f aca="false">$AO48*IF(AD$3&gt;=$AP48+$AQ48*Scenario_Control!$M$19,$AS48*(1+Assumptions!$D$9)/12*(1+Assumptions!$D$8)^(AD$5-1)*IF($AQ48=1,Scenario_Control!$M$20,1),0)</f>
        <v>21218</v>
      </c>
      <c r="AE48" s="11" t="n">
        <f aca="false">$AO48*IF(AE$3&gt;=$AP48+$AQ48*Scenario_Control!$M$19,$AS48*(1+Assumptions!$D$9)/12*(1+Assumptions!$D$8)^(AE$5-1)*IF($AQ48=1,Scenario_Control!$M$20,1),0)</f>
        <v>21218</v>
      </c>
      <c r="AF48" s="11" t="n">
        <f aca="false">$AO48*IF(AF$3&gt;=$AP48+$AQ48*Scenario_Control!$M$19,$AS48*(1+Assumptions!$D$9)/12*(1+Assumptions!$D$8)^(AF$5-1)*IF($AQ48=1,Scenario_Control!$M$20,1),0)</f>
        <v>21218</v>
      </c>
      <c r="AG48" s="11" t="n">
        <f aca="false">$AO48*IF(AG$3&gt;=$AP48+$AQ48*Scenario_Control!$M$19,$AS48*(1+Assumptions!$D$9)/12*(1+Assumptions!$D$8)^(AG$5-1)*IF($AQ48=1,Scenario_Control!$M$20,1),0)</f>
        <v>21218</v>
      </c>
      <c r="AH48" s="11" t="n">
        <f aca="false">$AO48*IF(AH$3&gt;=$AP48+$AQ48*Scenario_Control!$M$19,$AS48*(1+Assumptions!$D$9)/12*(1+Assumptions!$D$8)^(AH$5-1)*IF($AQ48=1,Scenario_Control!$M$20,1),0)</f>
        <v>21218</v>
      </c>
      <c r="AI48" s="11" t="n">
        <f aca="false">$AO48*IF(AI$3&gt;=$AP48+$AQ48*Scenario_Control!$M$19,$AS48*(1+Assumptions!$D$9)/12*(1+Assumptions!$D$8)^(AI$5-1)*IF($AQ48=1,Scenario_Control!$M$20,1),0)</f>
        <v>21218</v>
      </c>
      <c r="AJ48" s="11" t="n">
        <f aca="false">$AO48*IF(AJ$3&gt;=$AP48+$AQ48*Scenario_Control!$M$19,$AS48*(1+Assumptions!$D$9)/12*(1+Assumptions!$D$8)^(AJ$5-1)*IF($AQ48=1,Scenario_Control!$M$20,1),0)</f>
        <v>21218</v>
      </c>
      <c r="AK48" s="11" t="n">
        <f aca="false">$AO48*IF(AK$3&gt;=$AP48+$AQ48*Scenario_Control!$M$19,$AS48*(1+Assumptions!$D$9)/12*(1+Assumptions!$D$8)^(AK$5-1)*IF($AQ48=1,Scenario_Control!$M$20,1),0)</f>
        <v>21218</v>
      </c>
      <c r="AL48" s="11" t="n">
        <f aca="false">$AO48*IF(AL$3&gt;=$AP48+$AQ48*Scenario_Control!$M$19,$AS48*(1+Assumptions!$D$9)/12*(1+Assumptions!$D$8)^(AL$5-1)*IF($AQ48=1,Scenario_Control!$M$20,1),0)</f>
        <v>21218</v>
      </c>
      <c r="AM48" s="11" t="n">
        <f aca="false">$AO48*IF(AM$3&gt;=$AP48+$AQ48*Scenario_Control!$M$19,$AS48*(1+Assumptions!$D$9)/12*(1+Assumptions!$D$8)^(AM$5-1)*IF($AQ48=1,Scenario_Control!$M$20,1),0)</f>
        <v>21218</v>
      </c>
      <c r="AO48" s="58" t="n">
        <v>1</v>
      </c>
      <c r="AP48" s="58" t="n">
        <v>25</v>
      </c>
      <c r="AQ48" s="58" t="n">
        <v>1</v>
      </c>
      <c r="AR48" s="58" t="n">
        <v>1</v>
      </c>
      <c r="AS48" s="30" t="n">
        <v>200000</v>
      </c>
      <c r="AT48" s="58" t="s">
        <v>80</v>
      </c>
      <c r="AU48" s="58" t="s">
        <v>956</v>
      </c>
      <c r="AV48" s="58" t="s">
        <v>1006</v>
      </c>
      <c r="AW48" s="58" t="n">
        <f aca="false">AP48+AQ48*Scenario_Control!$M$19</f>
        <v>25</v>
      </c>
    </row>
    <row r="49" customFormat="false" ht="15" hidden="false" customHeight="true" outlineLevel="0" collapsed="false">
      <c r="A49" s="5" t="s">
        <v>1011</v>
      </c>
      <c r="B49" s="10" t="s">
        <v>80</v>
      </c>
      <c r="C49" s="12" t="n">
        <f aca="false">SUM(D49:AM49)</f>
        <v>371315</v>
      </c>
      <c r="D49" s="11" t="n">
        <f aca="false">$AO49*IF(D$3&gt;=$AP49+$AQ49*Scenario_Control!$M$19,$AS49*(1+Assumptions!$D$9)/12*(1+Assumptions!$D$8)^(D$5-1)*IF($AQ49=1,Scenario_Control!$M$20,1),0)</f>
        <v>0</v>
      </c>
      <c r="E49" s="11" t="n">
        <f aca="false">$AO49*IF(E$3&gt;=$AP49+$AQ49*Scenario_Control!$M$19,$AS49*(1+Assumptions!$D$9)/12*(1+Assumptions!$D$8)^(E$5-1)*IF($AQ49=1,Scenario_Control!$M$20,1),0)</f>
        <v>0</v>
      </c>
      <c r="F49" s="11" t="n">
        <f aca="false">$AO49*IF(F$3&gt;=$AP49+$AQ49*Scenario_Control!$M$19,$AS49*(1+Assumptions!$D$9)/12*(1+Assumptions!$D$8)^(F$5-1)*IF($AQ49=1,Scenario_Control!$M$20,1),0)</f>
        <v>0</v>
      </c>
      <c r="G49" s="11" t="n">
        <f aca="false">$AO49*IF(G$3&gt;=$AP49+$AQ49*Scenario_Control!$M$19,$AS49*(1+Assumptions!$D$9)/12*(1+Assumptions!$D$8)^(G$5-1)*IF($AQ49=1,Scenario_Control!$M$20,1),0)</f>
        <v>0</v>
      </c>
      <c r="H49" s="11" t="n">
        <f aca="false">$AO49*IF(H$3&gt;=$AP49+$AQ49*Scenario_Control!$M$19,$AS49*(1+Assumptions!$D$9)/12*(1+Assumptions!$D$8)^(H$5-1)*IF($AQ49=1,Scenario_Control!$M$20,1),0)</f>
        <v>0</v>
      </c>
      <c r="I49" s="11" t="n">
        <f aca="false">$AO49*IF(I$3&gt;=$AP49+$AQ49*Scenario_Control!$M$19,$AS49*(1+Assumptions!$D$9)/12*(1+Assumptions!$D$8)^(I$5-1)*IF($AQ49=1,Scenario_Control!$M$20,1),0)</f>
        <v>0</v>
      </c>
      <c r="J49" s="11" t="n">
        <f aca="false">$AO49*IF(J$3&gt;=$AP49+$AQ49*Scenario_Control!$M$19,$AS49*(1+Assumptions!$D$9)/12*(1+Assumptions!$D$8)^(J$5-1)*IF($AQ49=1,Scenario_Control!$M$20,1),0)</f>
        <v>0</v>
      </c>
      <c r="K49" s="11" t="n">
        <f aca="false">$AO49*IF(K$3&gt;=$AP49+$AQ49*Scenario_Control!$M$19,$AS49*(1+Assumptions!$D$9)/12*(1+Assumptions!$D$8)^(K$5-1)*IF($AQ49=1,Scenario_Control!$M$20,1),0)</f>
        <v>0</v>
      </c>
      <c r="L49" s="11" t="n">
        <f aca="false">$AO49*IF(L$3&gt;=$AP49+$AQ49*Scenario_Control!$M$19,$AS49*(1+Assumptions!$D$9)/12*(1+Assumptions!$D$8)^(L$5-1)*IF($AQ49=1,Scenario_Control!$M$20,1),0)</f>
        <v>0</v>
      </c>
      <c r="M49" s="11" t="n">
        <f aca="false">$AO49*IF(M$3&gt;=$AP49+$AQ49*Scenario_Control!$M$19,$AS49*(1+Assumptions!$D$9)/12*(1+Assumptions!$D$8)^(M$5-1)*IF($AQ49=1,Scenario_Control!$M$20,1),0)</f>
        <v>0</v>
      </c>
      <c r="N49" s="11" t="n">
        <f aca="false">$AO49*IF(N$3&gt;=$AP49+$AQ49*Scenario_Control!$M$19,$AS49*(1+Assumptions!$D$9)/12*(1+Assumptions!$D$8)^(N$5-1)*IF($AQ49=1,Scenario_Control!$M$20,1),0)</f>
        <v>0</v>
      </c>
      <c r="O49" s="11" t="n">
        <f aca="false">$AO49*IF(O$3&gt;=$AP49+$AQ49*Scenario_Control!$M$19,$AS49*(1+Assumptions!$D$9)/12*(1+Assumptions!$D$8)^(O$5-1)*IF($AQ49=1,Scenario_Control!$M$20,1),0)</f>
        <v>0</v>
      </c>
      <c r="P49" s="11" t="n">
        <f aca="false">$AO49*IF(P$3&gt;=$AP49+$AQ49*Scenario_Control!$M$19,$AS49*(1+Assumptions!$D$9)/12*(1+Assumptions!$D$8)^(P$5-1)*IF($AQ49=1,Scenario_Control!$M$20,1),0)</f>
        <v>0</v>
      </c>
      <c r="Q49" s="11" t="n">
        <f aca="false">$AO49*IF(Q$3&gt;=$AP49+$AQ49*Scenario_Control!$M$19,$AS49*(1+Assumptions!$D$9)/12*(1+Assumptions!$D$8)^(Q$5-1)*IF($AQ49=1,Scenario_Control!$M$20,1),0)</f>
        <v>0</v>
      </c>
      <c r="R49" s="11" t="n">
        <f aca="false">$AO49*IF(R$3&gt;=$AP49+$AQ49*Scenario_Control!$M$19,$AS49*(1+Assumptions!$D$9)/12*(1+Assumptions!$D$8)^(R$5-1)*IF($AQ49=1,Scenario_Control!$M$20,1),0)</f>
        <v>0</v>
      </c>
      <c r="S49" s="11" t="n">
        <f aca="false">$AO49*IF(S$3&gt;=$AP49+$AQ49*Scenario_Control!$M$19,$AS49*(1+Assumptions!$D$9)/12*(1+Assumptions!$D$8)^(S$5-1)*IF($AQ49=1,Scenario_Control!$M$20,1),0)</f>
        <v>0</v>
      </c>
      <c r="T49" s="11" t="n">
        <f aca="false">$AO49*IF(T$3&gt;=$AP49+$AQ49*Scenario_Control!$M$19,$AS49*(1+Assumptions!$D$9)/12*(1+Assumptions!$D$8)^(T$5-1)*IF($AQ49=1,Scenario_Control!$M$20,1),0)</f>
        <v>0</v>
      </c>
      <c r="U49" s="11" t="n">
        <f aca="false">$AO49*IF(U$3&gt;=$AP49+$AQ49*Scenario_Control!$M$19,$AS49*(1+Assumptions!$D$9)/12*(1+Assumptions!$D$8)^(U$5-1)*IF($AQ49=1,Scenario_Control!$M$20,1),0)</f>
        <v>0</v>
      </c>
      <c r="V49" s="11" t="n">
        <f aca="false">$AO49*IF(V$3&gt;=$AP49+$AQ49*Scenario_Control!$M$19,$AS49*(1+Assumptions!$D$9)/12*(1+Assumptions!$D$8)^(V$5-1)*IF($AQ49=1,Scenario_Control!$M$20,1),0)</f>
        <v>0</v>
      </c>
      <c r="W49" s="11" t="n">
        <f aca="false">$AO49*IF(W$3&gt;=$AP49+$AQ49*Scenario_Control!$M$19,$AS49*(1+Assumptions!$D$9)/12*(1+Assumptions!$D$8)^(W$5-1)*IF($AQ49=1,Scenario_Control!$M$20,1),0)</f>
        <v>0</v>
      </c>
      <c r="X49" s="11" t="n">
        <f aca="false">$AO49*IF(X$3&gt;=$AP49+$AQ49*Scenario_Control!$M$19,$AS49*(1+Assumptions!$D$9)/12*(1+Assumptions!$D$8)^(X$5-1)*IF($AQ49=1,Scenario_Control!$M$20,1),0)</f>
        <v>0</v>
      </c>
      <c r="Y49" s="11" t="n">
        <f aca="false">$AO49*IF(Y$3&gt;=$AP49+$AQ49*Scenario_Control!$M$19,$AS49*(1+Assumptions!$D$9)/12*(1+Assumptions!$D$8)^(Y$5-1)*IF($AQ49=1,Scenario_Control!$M$20,1),0)</f>
        <v>0</v>
      </c>
      <c r="Z49" s="11" t="n">
        <f aca="false">$AO49*IF(Z$3&gt;=$AP49+$AQ49*Scenario_Control!$M$19,$AS49*(1+Assumptions!$D$9)/12*(1+Assumptions!$D$8)^(Z$5-1)*IF($AQ49=1,Scenario_Control!$M$20,1),0)</f>
        <v>0</v>
      </c>
      <c r="AA49" s="11" t="n">
        <f aca="false">$AO49*IF(AA$3&gt;=$AP49+$AQ49*Scenario_Control!$M$19,$AS49*(1+Assumptions!$D$9)/12*(1+Assumptions!$D$8)^(AA$5-1)*IF($AQ49=1,Scenario_Control!$M$20,1),0)</f>
        <v>0</v>
      </c>
      <c r="AB49" s="11" t="n">
        <f aca="false">$AO49*IF(AB$3&gt;=$AP49+$AQ49*Scenario_Control!$M$19,$AS49*(1+Assumptions!$D$9)/12*(1+Assumptions!$D$8)^(AB$5-1)*IF($AQ49=1,Scenario_Control!$M$20,1),0)</f>
        <v>0</v>
      </c>
      <c r="AC49" s="11" t="n">
        <f aca="false">$AO49*IF(AC$3&gt;=$AP49+$AQ49*Scenario_Control!$M$19,$AS49*(1+Assumptions!$D$9)/12*(1+Assumptions!$D$8)^(AC$5-1)*IF($AQ49=1,Scenario_Control!$M$20,1),0)</f>
        <v>0</v>
      </c>
      <c r="AD49" s="11" t="n">
        <f aca="false">$AO49*IF(AD$3&gt;=$AP49+$AQ49*Scenario_Control!$M$19,$AS49*(1+Assumptions!$D$9)/12*(1+Assumptions!$D$8)^(AD$5-1)*IF($AQ49=1,Scenario_Control!$M$20,1),0)</f>
        <v>37131.5</v>
      </c>
      <c r="AE49" s="11" t="n">
        <f aca="false">$AO49*IF(AE$3&gt;=$AP49+$AQ49*Scenario_Control!$M$19,$AS49*(1+Assumptions!$D$9)/12*(1+Assumptions!$D$8)^(AE$5-1)*IF($AQ49=1,Scenario_Control!$M$20,1),0)</f>
        <v>37131.5</v>
      </c>
      <c r="AF49" s="11" t="n">
        <f aca="false">$AO49*IF(AF$3&gt;=$AP49+$AQ49*Scenario_Control!$M$19,$AS49*(1+Assumptions!$D$9)/12*(1+Assumptions!$D$8)^(AF$5-1)*IF($AQ49=1,Scenario_Control!$M$20,1),0)</f>
        <v>37131.5</v>
      </c>
      <c r="AG49" s="11" t="n">
        <f aca="false">$AO49*IF(AG$3&gt;=$AP49+$AQ49*Scenario_Control!$M$19,$AS49*(1+Assumptions!$D$9)/12*(1+Assumptions!$D$8)^(AG$5-1)*IF($AQ49=1,Scenario_Control!$M$20,1),0)</f>
        <v>37131.5</v>
      </c>
      <c r="AH49" s="11" t="n">
        <f aca="false">$AO49*IF(AH$3&gt;=$AP49+$AQ49*Scenario_Control!$M$19,$AS49*(1+Assumptions!$D$9)/12*(1+Assumptions!$D$8)^(AH$5-1)*IF($AQ49=1,Scenario_Control!$M$20,1),0)</f>
        <v>37131.5</v>
      </c>
      <c r="AI49" s="11" t="n">
        <f aca="false">$AO49*IF(AI$3&gt;=$AP49+$AQ49*Scenario_Control!$M$19,$AS49*(1+Assumptions!$D$9)/12*(1+Assumptions!$D$8)^(AI$5-1)*IF($AQ49=1,Scenario_Control!$M$20,1),0)</f>
        <v>37131.5</v>
      </c>
      <c r="AJ49" s="11" t="n">
        <f aca="false">$AO49*IF(AJ$3&gt;=$AP49+$AQ49*Scenario_Control!$M$19,$AS49*(1+Assumptions!$D$9)/12*(1+Assumptions!$D$8)^(AJ$5-1)*IF($AQ49=1,Scenario_Control!$M$20,1),0)</f>
        <v>37131.5</v>
      </c>
      <c r="AK49" s="11" t="n">
        <f aca="false">$AO49*IF(AK$3&gt;=$AP49+$AQ49*Scenario_Control!$M$19,$AS49*(1+Assumptions!$D$9)/12*(1+Assumptions!$D$8)^(AK$5-1)*IF($AQ49=1,Scenario_Control!$M$20,1),0)</f>
        <v>37131.5</v>
      </c>
      <c r="AL49" s="11" t="n">
        <f aca="false">$AO49*IF(AL$3&gt;=$AP49+$AQ49*Scenario_Control!$M$19,$AS49*(1+Assumptions!$D$9)/12*(1+Assumptions!$D$8)^(AL$5-1)*IF($AQ49=1,Scenario_Control!$M$20,1),0)</f>
        <v>37131.5</v>
      </c>
      <c r="AM49" s="11" t="n">
        <f aca="false">$AO49*IF(AM$3&gt;=$AP49+$AQ49*Scenario_Control!$M$19,$AS49*(1+Assumptions!$D$9)/12*(1+Assumptions!$D$8)^(AM$5-1)*IF($AQ49=1,Scenario_Control!$M$20,1),0)</f>
        <v>37131.5</v>
      </c>
      <c r="AO49" s="58" t="n">
        <v>2</v>
      </c>
      <c r="AP49" s="58" t="n">
        <v>27</v>
      </c>
      <c r="AQ49" s="58" t="n">
        <v>1</v>
      </c>
      <c r="AR49" s="58" t="n">
        <v>1</v>
      </c>
      <c r="AS49" s="30" t="n">
        <v>175000</v>
      </c>
      <c r="AT49" s="58" t="s">
        <v>80</v>
      </c>
      <c r="AU49" s="58" t="s">
        <v>956</v>
      </c>
      <c r="AV49" s="58" t="s">
        <v>1006</v>
      </c>
      <c r="AW49" s="58" t="n">
        <f aca="false">AP49+AQ49*Scenario_Control!$M$19</f>
        <v>27</v>
      </c>
    </row>
    <row r="50" customFormat="false" ht="15" hidden="false" customHeight="true" outlineLevel="0" collapsed="false">
      <c r="A50" s="5" t="s">
        <v>1012</v>
      </c>
      <c r="B50" s="10" t="s">
        <v>976</v>
      </c>
      <c r="C50" s="12" t="n">
        <f aca="false">SUM(D50:AM50)</f>
        <v>122003.5</v>
      </c>
      <c r="D50" s="11" t="n">
        <f aca="false">$AO50*IF(D$3&gt;=$AP50+$AQ50*Scenario_Control!$M$19,$AS50*(1+Assumptions!$D$9)/12*(1+Assumptions!$D$8)^(D$5-1)*IF($AQ50=1,Scenario_Control!$M$20,1),0)</f>
        <v>0</v>
      </c>
      <c r="E50" s="11" t="n">
        <f aca="false">$AO50*IF(E$3&gt;=$AP50+$AQ50*Scenario_Control!$M$19,$AS50*(1+Assumptions!$D$9)/12*(1+Assumptions!$D$8)^(E$5-1)*IF($AQ50=1,Scenario_Control!$M$20,1),0)</f>
        <v>0</v>
      </c>
      <c r="F50" s="11" t="n">
        <f aca="false">$AO50*IF(F$3&gt;=$AP50+$AQ50*Scenario_Control!$M$19,$AS50*(1+Assumptions!$D$9)/12*(1+Assumptions!$D$8)^(F$5-1)*IF($AQ50=1,Scenario_Control!$M$20,1),0)</f>
        <v>0</v>
      </c>
      <c r="G50" s="11" t="n">
        <f aca="false">$AO50*IF(G$3&gt;=$AP50+$AQ50*Scenario_Control!$M$19,$AS50*(1+Assumptions!$D$9)/12*(1+Assumptions!$D$8)^(G$5-1)*IF($AQ50=1,Scenario_Control!$M$20,1),0)</f>
        <v>0</v>
      </c>
      <c r="H50" s="11" t="n">
        <f aca="false">$AO50*IF(H$3&gt;=$AP50+$AQ50*Scenario_Control!$M$19,$AS50*(1+Assumptions!$D$9)/12*(1+Assumptions!$D$8)^(H$5-1)*IF($AQ50=1,Scenario_Control!$M$20,1),0)</f>
        <v>0</v>
      </c>
      <c r="I50" s="11" t="n">
        <f aca="false">$AO50*IF(I$3&gt;=$AP50+$AQ50*Scenario_Control!$M$19,$AS50*(1+Assumptions!$D$9)/12*(1+Assumptions!$D$8)^(I$5-1)*IF($AQ50=1,Scenario_Control!$M$20,1),0)</f>
        <v>0</v>
      </c>
      <c r="J50" s="11" t="n">
        <f aca="false">$AO50*IF(J$3&gt;=$AP50+$AQ50*Scenario_Control!$M$19,$AS50*(1+Assumptions!$D$9)/12*(1+Assumptions!$D$8)^(J$5-1)*IF($AQ50=1,Scenario_Control!$M$20,1),0)</f>
        <v>0</v>
      </c>
      <c r="K50" s="11" t="n">
        <f aca="false">$AO50*IF(K$3&gt;=$AP50+$AQ50*Scenario_Control!$M$19,$AS50*(1+Assumptions!$D$9)/12*(1+Assumptions!$D$8)^(K$5-1)*IF($AQ50=1,Scenario_Control!$M$20,1),0)</f>
        <v>0</v>
      </c>
      <c r="L50" s="11" t="n">
        <f aca="false">$AO50*IF(L$3&gt;=$AP50+$AQ50*Scenario_Control!$M$19,$AS50*(1+Assumptions!$D$9)/12*(1+Assumptions!$D$8)^(L$5-1)*IF($AQ50=1,Scenario_Control!$M$20,1),0)</f>
        <v>0</v>
      </c>
      <c r="M50" s="11" t="n">
        <f aca="false">$AO50*IF(M$3&gt;=$AP50+$AQ50*Scenario_Control!$M$19,$AS50*(1+Assumptions!$D$9)/12*(1+Assumptions!$D$8)^(M$5-1)*IF($AQ50=1,Scenario_Control!$M$20,1),0)</f>
        <v>0</v>
      </c>
      <c r="N50" s="11" t="n">
        <f aca="false">$AO50*IF(N$3&gt;=$AP50+$AQ50*Scenario_Control!$M$19,$AS50*(1+Assumptions!$D$9)/12*(1+Assumptions!$D$8)^(N$5-1)*IF($AQ50=1,Scenario_Control!$M$20,1),0)</f>
        <v>0</v>
      </c>
      <c r="O50" s="11" t="n">
        <f aca="false">$AO50*IF(O$3&gt;=$AP50+$AQ50*Scenario_Control!$M$19,$AS50*(1+Assumptions!$D$9)/12*(1+Assumptions!$D$8)^(O$5-1)*IF($AQ50=1,Scenario_Control!$M$20,1),0)</f>
        <v>0</v>
      </c>
      <c r="P50" s="11" t="n">
        <f aca="false">$AO50*IF(P$3&gt;=$AP50+$AQ50*Scenario_Control!$M$19,$AS50*(1+Assumptions!$D$9)/12*(1+Assumptions!$D$8)^(P$5-1)*IF($AQ50=1,Scenario_Control!$M$20,1),0)</f>
        <v>0</v>
      </c>
      <c r="Q50" s="11" t="n">
        <f aca="false">$AO50*IF(Q$3&gt;=$AP50+$AQ50*Scenario_Control!$M$19,$AS50*(1+Assumptions!$D$9)/12*(1+Assumptions!$D$8)^(Q$5-1)*IF($AQ50=1,Scenario_Control!$M$20,1),0)</f>
        <v>0</v>
      </c>
      <c r="R50" s="11" t="n">
        <f aca="false">$AO50*IF(R$3&gt;=$AP50+$AQ50*Scenario_Control!$M$19,$AS50*(1+Assumptions!$D$9)/12*(1+Assumptions!$D$8)^(R$5-1)*IF($AQ50=1,Scenario_Control!$M$20,1),0)</f>
        <v>0</v>
      </c>
      <c r="S50" s="11" t="n">
        <f aca="false">$AO50*IF(S$3&gt;=$AP50+$AQ50*Scenario_Control!$M$19,$AS50*(1+Assumptions!$D$9)/12*(1+Assumptions!$D$8)^(S$5-1)*IF($AQ50=1,Scenario_Control!$M$20,1),0)</f>
        <v>0</v>
      </c>
      <c r="T50" s="11" t="n">
        <f aca="false">$AO50*IF(T$3&gt;=$AP50+$AQ50*Scenario_Control!$M$19,$AS50*(1+Assumptions!$D$9)/12*(1+Assumptions!$D$8)^(T$5-1)*IF($AQ50=1,Scenario_Control!$M$20,1),0)</f>
        <v>0</v>
      </c>
      <c r="U50" s="11" t="n">
        <f aca="false">$AO50*IF(U$3&gt;=$AP50+$AQ50*Scenario_Control!$M$19,$AS50*(1+Assumptions!$D$9)/12*(1+Assumptions!$D$8)^(U$5-1)*IF($AQ50=1,Scenario_Control!$M$20,1),0)</f>
        <v>0</v>
      </c>
      <c r="V50" s="11" t="n">
        <f aca="false">$AO50*IF(V$3&gt;=$AP50+$AQ50*Scenario_Control!$M$19,$AS50*(1+Assumptions!$D$9)/12*(1+Assumptions!$D$8)^(V$5-1)*IF($AQ50=1,Scenario_Control!$M$20,1),0)</f>
        <v>0</v>
      </c>
      <c r="W50" s="11" t="n">
        <f aca="false">$AO50*IF(W$3&gt;=$AP50+$AQ50*Scenario_Control!$M$19,$AS50*(1+Assumptions!$D$9)/12*(1+Assumptions!$D$8)^(W$5-1)*IF($AQ50=1,Scenario_Control!$M$20,1),0)</f>
        <v>0</v>
      </c>
      <c r="X50" s="11" t="n">
        <f aca="false">$AO50*IF(X$3&gt;=$AP50+$AQ50*Scenario_Control!$M$19,$AS50*(1+Assumptions!$D$9)/12*(1+Assumptions!$D$8)^(X$5-1)*IF($AQ50=1,Scenario_Control!$M$20,1),0)</f>
        <v>0</v>
      </c>
      <c r="Y50" s="11" t="n">
        <f aca="false">$AO50*IF(Y$3&gt;=$AP50+$AQ50*Scenario_Control!$M$19,$AS50*(1+Assumptions!$D$9)/12*(1+Assumptions!$D$8)^(Y$5-1)*IF($AQ50=1,Scenario_Control!$M$20,1),0)</f>
        <v>0</v>
      </c>
      <c r="Z50" s="11" t="n">
        <f aca="false">$AO50*IF(Z$3&gt;=$AP50+$AQ50*Scenario_Control!$M$19,$AS50*(1+Assumptions!$D$9)/12*(1+Assumptions!$D$8)^(Z$5-1)*IF($AQ50=1,Scenario_Control!$M$20,1),0)</f>
        <v>0</v>
      </c>
      <c r="AA50" s="11" t="n">
        <f aca="false">$AO50*IF(AA$3&gt;=$AP50+$AQ50*Scenario_Control!$M$19,$AS50*(1+Assumptions!$D$9)/12*(1+Assumptions!$D$8)^(AA$5-1)*IF($AQ50=1,Scenario_Control!$M$20,1),0)</f>
        <v>0</v>
      </c>
      <c r="AB50" s="11" t="n">
        <f aca="false">$AO50*IF(AB$3&gt;=$AP50+$AQ50*Scenario_Control!$M$19,$AS50*(1+Assumptions!$D$9)/12*(1+Assumptions!$D$8)^(AB$5-1)*IF($AQ50=1,Scenario_Control!$M$20,1),0)</f>
        <v>0</v>
      </c>
      <c r="AC50" s="11" t="n">
        <f aca="false">$AO50*IF(AC$3&gt;=$AP50+$AQ50*Scenario_Control!$M$19,$AS50*(1+Assumptions!$D$9)/12*(1+Assumptions!$D$8)^(AC$5-1)*IF($AQ50=1,Scenario_Control!$M$20,1),0)</f>
        <v>0</v>
      </c>
      <c r="AD50" s="11" t="n">
        <f aca="false">$AO50*IF(AD$3&gt;=$AP50+$AQ50*Scenario_Control!$M$19,$AS50*(1+Assumptions!$D$9)/12*(1+Assumptions!$D$8)^(AD$5-1)*IF($AQ50=1,Scenario_Control!$M$20,1),0)</f>
        <v>12200.35</v>
      </c>
      <c r="AE50" s="11" t="n">
        <f aca="false">$AO50*IF(AE$3&gt;=$AP50+$AQ50*Scenario_Control!$M$19,$AS50*(1+Assumptions!$D$9)/12*(1+Assumptions!$D$8)^(AE$5-1)*IF($AQ50=1,Scenario_Control!$M$20,1),0)</f>
        <v>12200.35</v>
      </c>
      <c r="AF50" s="11" t="n">
        <f aca="false">$AO50*IF(AF$3&gt;=$AP50+$AQ50*Scenario_Control!$M$19,$AS50*(1+Assumptions!$D$9)/12*(1+Assumptions!$D$8)^(AF$5-1)*IF($AQ50=1,Scenario_Control!$M$20,1),0)</f>
        <v>12200.35</v>
      </c>
      <c r="AG50" s="11" t="n">
        <f aca="false">$AO50*IF(AG$3&gt;=$AP50+$AQ50*Scenario_Control!$M$19,$AS50*(1+Assumptions!$D$9)/12*(1+Assumptions!$D$8)^(AG$5-1)*IF($AQ50=1,Scenario_Control!$M$20,1),0)</f>
        <v>12200.35</v>
      </c>
      <c r="AH50" s="11" t="n">
        <f aca="false">$AO50*IF(AH$3&gt;=$AP50+$AQ50*Scenario_Control!$M$19,$AS50*(1+Assumptions!$D$9)/12*(1+Assumptions!$D$8)^(AH$5-1)*IF($AQ50=1,Scenario_Control!$M$20,1),0)</f>
        <v>12200.35</v>
      </c>
      <c r="AI50" s="11" t="n">
        <f aca="false">$AO50*IF(AI$3&gt;=$AP50+$AQ50*Scenario_Control!$M$19,$AS50*(1+Assumptions!$D$9)/12*(1+Assumptions!$D$8)^(AI$5-1)*IF($AQ50=1,Scenario_Control!$M$20,1),0)</f>
        <v>12200.35</v>
      </c>
      <c r="AJ50" s="11" t="n">
        <f aca="false">$AO50*IF(AJ$3&gt;=$AP50+$AQ50*Scenario_Control!$M$19,$AS50*(1+Assumptions!$D$9)/12*(1+Assumptions!$D$8)^(AJ$5-1)*IF($AQ50=1,Scenario_Control!$M$20,1),0)</f>
        <v>12200.35</v>
      </c>
      <c r="AK50" s="11" t="n">
        <f aca="false">$AO50*IF(AK$3&gt;=$AP50+$AQ50*Scenario_Control!$M$19,$AS50*(1+Assumptions!$D$9)/12*(1+Assumptions!$D$8)^(AK$5-1)*IF($AQ50=1,Scenario_Control!$M$20,1),0)</f>
        <v>12200.35</v>
      </c>
      <c r="AL50" s="11" t="n">
        <f aca="false">$AO50*IF(AL$3&gt;=$AP50+$AQ50*Scenario_Control!$M$19,$AS50*(1+Assumptions!$D$9)/12*(1+Assumptions!$D$8)^(AL$5-1)*IF($AQ50=1,Scenario_Control!$M$20,1),0)</f>
        <v>12200.35</v>
      </c>
      <c r="AM50" s="11" t="n">
        <f aca="false">$AO50*IF(AM$3&gt;=$AP50+$AQ50*Scenario_Control!$M$19,$AS50*(1+Assumptions!$D$9)/12*(1+Assumptions!$D$8)^(AM$5-1)*IF($AQ50=1,Scenario_Control!$M$20,1),0)</f>
        <v>12200.35</v>
      </c>
      <c r="AO50" s="58" t="n">
        <v>1</v>
      </c>
      <c r="AP50" s="58" t="n">
        <v>27</v>
      </c>
      <c r="AQ50" s="58" t="n">
        <v>1</v>
      </c>
      <c r="AR50" s="58" t="n">
        <v>1</v>
      </c>
      <c r="AS50" s="30" t="n">
        <v>115000</v>
      </c>
      <c r="AT50" s="58" t="s">
        <v>976</v>
      </c>
      <c r="AU50" s="58" t="s">
        <v>956</v>
      </c>
      <c r="AV50" s="58" t="s">
        <v>1001</v>
      </c>
      <c r="AW50" s="58" t="n">
        <f aca="false">AP50+AQ50*Scenario_Control!$M$19</f>
        <v>27</v>
      </c>
    </row>
    <row r="51" customFormat="false" ht="15" hidden="false" customHeight="true" outlineLevel="0" collapsed="false">
      <c r="A51" s="5" t="s">
        <v>1013</v>
      </c>
      <c r="B51" s="10" t="s">
        <v>964</v>
      </c>
      <c r="C51" s="12" t="n">
        <f aca="false">SUM(D51:AM51)</f>
        <v>105029.1</v>
      </c>
      <c r="D51" s="11" t="n">
        <f aca="false">$AO51*IF(D$3&gt;=$AP51+$AQ51*Scenario_Control!$M$19,$AS51*(1+Assumptions!$D$9)/12*(1+Assumptions!$D$8)^(D$5-1)*IF($AQ51=1,Scenario_Control!$M$20,1),0)</f>
        <v>0</v>
      </c>
      <c r="E51" s="11" t="n">
        <f aca="false">$AO51*IF(E$3&gt;=$AP51+$AQ51*Scenario_Control!$M$19,$AS51*(1+Assumptions!$D$9)/12*(1+Assumptions!$D$8)^(E$5-1)*IF($AQ51=1,Scenario_Control!$M$20,1),0)</f>
        <v>0</v>
      </c>
      <c r="F51" s="11" t="n">
        <f aca="false">$AO51*IF(F$3&gt;=$AP51+$AQ51*Scenario_Control!$M$19,$AS51*(1+Assumptions!$D$9)/12*(1+Assumptions!$D$8)^(F$5-1)*IF($AQ51=1,Scenario_Control!$M$20,1),0)</f>
        <v>0</v>
      </c>
      <c r="G51" s="11" t="n">
        <f aca="false">$AO51*IF(G$3&gt;=$AP51+$AQ51*Scenario_Control!$M$19,$AS51*(1+Assumptions!$D$9)/12*(1+Assumptions!$D$8)^(G$5-1)*IF($AQ51=1,Scenario_Control!$M$20,1),0)</f>
        <v>0</v>
      </c>
      <c r="H51" s="11" t="n">
        <f aca="false">$AO51*IF(H$3&gt;=$AP51+$AQ51*Scenario_Control!$M$19,$AS51*(1+Assumptions!$D$9)/12*(1+Assumptions!$D$8)^(H$5-1)*IF($AQ51=1,Scenario_Control!$M$20,1),0)</f>
        <v>0</v>
      </c>
      <c r="I51" s="11" t="n">
        <f aca="false">$AO51*IF(I$3&gt;=$AP51+$AQ51*Scenario_Control!$M$19,$AS51*(1+Assumptions!$D$9)/12*(1+Assumptions!$D$8)^(I$5-1)*IF($AQ51=1,Scenario_Control!$M$20,1),0)</f>
        <v>0</v>
      </c>
      <c r="J51" s="11" t="n">
        <f aca="false">$AO51*IF(J$3&gt;=$AP51+$AQ51*Scenario_Control!$M$19,$AS51*(1+Assumptions!$D$9)/12*(1+Assumptions!$D$8)^(J$5-1)*IF($AQ51=1,Scenario_Control!$M$20,1),0)</f>
        <v>0</v>
      </c>
      <c r="K51" s="11" t="n">
        <f aca="false">$AO51*IF(K$3&gt;=$AP51+$AQ51*Scenario_Control!$M$19,$AS51*(1+Assumptions!$D$9)/12*(1+Assumptions!$D$8)^(K$5-1)*IF($AQ51=1,Scenario_Control!$M$20,1),0)</f>
        <v>0</v>
      </c>
      <c r="L51" s="11" t="n">
        <f aca="false">$AO51*IF(L$3&gt;=$AP51+$AQ51*Scenario_Control!$M$19,$AS51*(1+Assumptions!$D$9)/12*(1+Assumptions!$D$8)^(L$5-1)*IF($AQ51=1,Scenario_Control!$M$20,1),0)</f>
        <v>0</v>
      </c>
      <c r="M51" s="11" t="n">
        <f aca="false">$AO51*IF(M$3&gt;=$AP51+$AQ51*Scenario_Control!$M$19,$AS51*(1+Assumptions!$D$9)/12*(1+Assumptions!$D$8)^(M$5-1)*IF($AQ51=1,Scenario_Control!$M$20,1),0)</f>
        <v>0</v>
      </c>
      <c r="N51" s="11" t="n">
        <f aca="false">$AO51*IF(N$3&gt;=$AP51+$AQ51*Scenario_Control!$M$19,$AS51*(1+Assumptions!$D$9)/12*(1+Assumptions!$D$8)^(N$5-1)*IF($AQ51=1,Scenario_Control!$M$20,1),0)</f>
        <v>0</v>
      </c>
      <c r="O51" s="11" t="n">
        <f aca="false">$AO51*IF(O$3&gt;=$AP51+$AQ51*Scenario_Control!$M$19,$AS51*(1+Assumptions!$D$9)/12*(1+Assumptions!$D$8)^(O$5-1)*IF($AQ51=1,Scenario_Control!$M$20,1),0)</f>
        <v>0</v>
      </c>
      <c r="P51" s="11" t="n">
        <f aca="false">$AO51*IF(P$3&gt;=$AP51+$AQ51*Scenario_Control!$M$19,$AS51*(1+Assumptions!$D$9)/12*(1+Assumptions!$D$8)^(P$5-1)*IF($AQ51=1,Scenario_Control!$M$20,1),0)</f>
        <v>0</v>
      </c>
      <c r="Q51" s="11" t="n">
        <f aca="false">$AO51*IF(Q$3&gt;=$AP51+$AQ51*Scenario_Control!$M$19,$AS51*(1+Assumptions!$D$9)/12*(1+Assumptions!$D$8)^(Q$5-1)*IF($AQ51=1,Scenario_Control!$M$20,1),0)</f>
        <v>0</v>
      </c>
      <c r="R51" s="11" t="n">
        <f aca="false">$AO51*IF(R$3&gt;=$AP51+$AQ51*Scenario_Control!$M$19,$AS51*(1+Assumptions!$D$9)/12*(1+Assumptions!$D$8)^(R$5-1)*IF($AQ51=1,Scenario_Control!$M$20,1),0)</f>
        <v>0</v>
      </c>
      <c r="S51" s="11" t="n">
        <f aca="false">$AO51*IF(S$3&gt;=$AP51+$AQ51*Scenario_Control!$M$19,$AS51*(1+Assumptions!$D$9)/12*(1+Assumptions!$D$8)^(S$5-1)*IF($AQ51=1,Scenario_Control!$M$20,1),0)</f>
        <v>0</v>
      </c>
      <c r="T51" s="11" t="n">
        <f aca="false">$AO51*IF(T$3&gt;=$AP51+$AQ51*Scenario_Control!$M$19,$AS51*(1+Assumptions!$D$9)/12*(1+Assumptions!$D$8)^(T$5-1)*IF($AQ51=1,Scenario_Control!$M$20,1),0)</f>
        <v>0</v>
      </c>
      <c r="U51" s="11" t="n">
        <f aca="false">$AO51*IF(U$3&gt;=$AP51+$AQ51*Scenario_Control!$M$19,$AS51*(1+Assumptions!$D$9)/12*(1+Assumptions!$D$8)^(U$5-1)*IF($AQ51=1,Scenario_Control!$M$20,1),0)</f>
        <v>0</v>
      </c>
      <c r="V51" s="11" t="n">
        <f aca="false">$AO51*IF(V$3&gt;=$AP51+$AQ51*Scenario_Control!$M$19,$AS51*(1+Assumptions!$D$9)/12*(1+Assumptions!$D$8)^(V$5-1)*IF($AQ51=1,Scenario_Control!$M$20,1),0)</f>
        <v>0</v>
      </c>
      <c r="W51" s="11" t="n">
        <f aca="false">$AO51*IF(W$3&gt;=$AP51+$AQ51*Scenario_Control!$M$19,$AS51*(1+Assumptions!$D$9)/12*(1+Assumptions!$D$8)^(W$5-1)*IF($AQ51=1,Scenario_Control!$M$20,1),0)</f>
        <v>0</v>
      </c>
      <c r="X51" s="11" t="n">
        <f aca="false">$AO51*IF(X$3&gt;=$AP51+$AQ51*Scenario_Control!$M$19,$AS51*(1+Assumptions!$D$9)/12*(1+Assumptions!$D$8)^(X$5-1)*IF($AQ51=1,Scenario_Control!$M$20,1),0)</f>
        <v>0</v>
      </c>
      <c r="Y51" s="11" t="n">
        <f aca="false">$AO51*IF(Y$3&gt;=$AP51+$AQ51*Scenario_Control!$M$19,$AS51*(1+Assumptions!$D$9)/12*(1+Assumptions!$D$8)^(Y$5-1)*IF($AQ51=1,Scenario_Control!$M$20,1),0)</f>
        <v>0</v>
      </c>
      <c r="Z51" s="11" t="n">
        <f aca="false">$AO51*IF(Z$3&gt;=$AP51+$AQ51*Scenario_Control!$M$19,$AS51*(1+Assumptions!$D$9)/12*(1+Assumptions!$D$8)^(Z$5-1)*IF($AQ51=1,Scenario_Control!$M$20,1),0)</f>
        <v>0</v>
      </c>
      <c r="AA51" s="11" t="n">
        <f aca="false">$AO51*IF(AA$3&gt;=$AP51+$AQ51*Scenario_Control!$M$19,$AS51*(1+Assumptions!$D$9)/12*(1+Assumptions!$D$8)^(AA$5-1)*IF($AQ51=1,Scenario_Control!$M$20,1),0)</f>
        <v>0</v>
      </c>
      <c r="AB51" s="11" t="n">
        <f aca="false">$AO51*IF(AB$3&gt;=$AP51+$AQ51*Scenario_Control!$M$19,$AS51*(1+Assumptions!$D$9)/12*(1+Assumptions!$D$8)^(AB$5-1)*IF($AQ51=1,Scenario_Control!$M$20,1),0)</f>
        <v>0</v>
      </c>
      <c r="AC51" s="11" t="n">
        <f aca="false">$AO51*IF(AC$3&gt;=$AP51+$AQ51*Scenario_Control!$M$19,$AS51*(1+Assumptions!$D$9)/12*(1+Assumptions!$D$8)^(AC$5-1)*IF($AQ51=1,Scenario_Control!$M$20,1),0)</f>
        <v>0</v>
      </c>
      <c r="AD51" s="11" t="n">
        <f aca="false">$AO51*IF(AD$3&gt;=$AP51+$AQ51*Scenario_Control!$M$19,$AS51*(1+Assumptions!$D$9)/12*(1+Assumptions!$D$8)^(AD$5-1)*IF($AQ51=1,Scenario_Control!$M$20,1),0)</f>
        <v>0</v>
      </c>
      <c r="AE51" s="11" t="n">
        <f aca="false">$AO51*IF(AE$3&gt;=$AP51+$AQ51*Scenario_Control!$M$19,$AS51*(1+Assumptions!$D$9)/12*(1+Assumptions!$D$8)^(AE$5-1)*IF($AQ51=1,Scenario_Control!$M$20,1),0)</f>
        <v>11669.9</v>
      </c>
      <c r="AF51" s="11" t="n">
        <f aca="false">$AO51*IF(AF$3&gt;=$AP51+$AQ51*Scenario_Control!$M$19,$AS51*(1+Assumptions!$D$9)/12*(1+Assumptions!$D$8)^(AF$5-1)*IF($AQ51=1,Scenario_Control!$M$20,1),0)</f>
        <v>11669.9</v>
      </c>
      <c r="AG51" s="11" t="n">
        <f aca="false">$AO51*IF(AG$3&gt;=$AP51+$AQ51*Scenario_Control!$M$19,$AS51*(1+Assumptions!$D$9)/12*(1+Assumptions!$D$8)^(AG$5-1)*IF($AQ51=1,Scenario_Control!$M$20,1),0)</f>
        <v>11669.9</v>
      </c>
      <c r="AH51" s="11" t="n">
        <f aca="false">$AO51*IF(AH$3&gt;=$AP51+$AQ51*Scenario_Control!$M$19,$AS51*(1+Assumptions!$D$9)/12*(1+Assumptions!$D$8)^(AH$5-1)*IF($AQ51=1,Scenario_Control!$M$20,1),0)</f>
        <v>11669.9</v>
      </c>
      <c r="AI51" s="11" t="n">
        <f aca="false">$AO51*IF(AI$3&gt;=$AP51+$AQ51*Scenario_Control!$M$19,$AS51*(1+Assumptions!$D$9)/12*(1+Assumptions!$D$8)^(AI$5-1)*IF($AQ51=1,Scenario_Control!$M$20,1),0)</f>
        <v>11669.9</v>
      </c>
      <c r="AJ51" s="11" t="n">
        <f aca="false">$AO51*IF(AJ$3&gt;=$AP51+$AQ51*Scenario_Control!$M$19,$AS51*(1+Assumptions!$D$9)/12*(1+Assumptions!$D$8)^(AJ$5-1)*IF($AQ51=1,Scenario_Control!$M$20,1),0)</f>
        <v>11669.9</v>
      </c>
      <c r="AK51" s="11" t="n">
        <f aca="false">$AO51*IF(AK$3&gt;=$AP51+$AQ51*Scenario_Control!$M$19,$AS51*(1+Assumptions!$D$9)/12*(1+Assumptions!$D$8)^(AK$5-1)*IF($AQ51=1,Scenario_Control!$M$20,1),0)</f>
        <v>11669.9</v>
      </c>
      <c r="AL51" s="11" t="n">
        <f aca="false">$AO51*IF(AL$3&gt;=$AP51+$AQ51*Scenario_Control!$M$19,$AS51*(1+Assumptions!$D$9)/12*(1+Assumptions!$D$8)^(AL$5-1)*IF($AQ51=1,Scenario_Control!$M$20,1),0)</f>
        <v>11669.9</v>
      </c>
      <c r="AM51" s="11" t="n">
        <f aca="false">$AO51*IF(AM$3&gt;=$AP51+$AQ51*Scenario_Control!$M$19,$AS51*(1+Assumptions!$D$9)/12*(1+Assumptions!$D$8)^(AM$5-1)*IF($AQ51=1,Scenario_Control!$M$20,1),0)</f>
        <v>11669.9</v>
      </c>
      <c r="AO51" s="58" t="n">
        <v>1</v>
      </c>
      <c r="AP51" s="58" t="n">
        <v>28</v>
      </c>
      <c r="AQ51" s="58" t="n">
        <v>1</v>
      </c>
      <c r="AR51" s="58" t="n">
        <v>1</v>
      </c>
      <c r="AS51" s="30" t="n">
        <v>110000</v>
      </c>
      <c r="AT51" s="58" t="s">
        <v>964</v>
      </c>
      <c r="AU51" s="58" t="s">
        <v>968</v>
      </c>
      <c r="AV51" s="58" t="s">
        <v>1014</v>
      </c>
      <c r="AW51" s="58" t="n">
        <f aca="false">AP51+AQ51*Scenario_Control!$M$19</f>
        <v>28</v>
      </c>
    </row>
    <row r="52" customFormat="false" ht="15" hidden="false" customHeight="true" outlineLevel="0" collapsed="false">
      <c r="A52" s="5" t="s">
        <v>1015</v>
      </c>
      <c r="B52" s="10" t="s">
        <v>964</v>
      </c>
      <c r="C52" s="12" t="n">
        <f aca="false">SUM(D52:AM52)</f>
        <v>66836.7</v>
      </c>
      <c r="D52" s="11" t="n">
        <f aca="false">$AO52*IF(D$3&gt;=$AP52+$AQ52*Scenario_Control!$M$19,$AS52*(1+Assumptions!$D$9)/12*(1+Assumptions!$D$8)^(D$5-1)*IF($AQ52=1,Scenario_Control!$M$20,1),0)</f>
        <v>0</v>
      </c>
      <c r="E52" s="11" t="n">
        <f aca="false">$AO52*IF(E$3&gt;=$AP52+$AQ52*Scenario_Control!$M$19,$AS52*(1+Assumptions!$D$9)/12*(1+Assumptions!$D$8)^(E$5-1)*IF($AQ52=1,Scenario_Control!$M$20,1),0)</f>
        <v>0</v>
      </c>
      <c r="F52" s="11" t="n">
        <f aca="false">$AO52*IF(F$3&gt;=$AP52+$AQ52*Scenario_Control!$M$19,$AS52*(1+Assumptions!$D$9)/12*(1+Assumptions!$D$8)^(F$5-1)*IF($AQ52=1,Scenario_Control!$M$20,1),0)</f>
        <v>0</v>
      </c>
      <c r="G52" s="11" t="n">
        <f aca="false">$AO52*IF(G$3&gt;=$AP52+$AQ52*Scenario_Control!$M$19,$AS52*(1+Assumptions!$D$9)/12*(1+Assumptions!$D$8)^(G$5-1)*IF($AQ52=1,Scenario_Control!$M$20,1),0)</f>
        <v>0</v>
      </c>
      <c r="H52" s="11" t="n">
        <f aca="false">$AO52*IF(H$3&gt;=$AP52+$AQ52*Scenario_Control!$M$19,$AS52*(1+Assumptions!$D$9)/12*(1+Assumptions!$D$8)^(H$5-1)*IF($AQ52=1,Scenario_Control!$M$20,1),0)</f>
        <v>0</v>
      </c>
      <c r="I52" s="11" t="n">
        <f aca="false">$AO52*IF(I$3&gt;=$AP52+$AQ52*Scenario_Control!$M$19,$AS52*(1+Assumptions!$D$9)/12*(1+Assumptions!$D$8)^(I$5-1)*IF($AQ52=1,Scenario_Control!$M$20,1),0)</f>
        <v>0</v>
      </c>
      <c r="J52" s="11" t="n">
        <f aca="false">$AO52*IF(J$3&gt;=$AP52+$AQ52*Scenario_Control!$M$19,$AS52*(1+Assumptions!$D$9)/12*(1+Assumptions!$D$8)^(J$5-1)*IF($AQ52=1,Scenario_Control!$M$20,1),0)</f>
        <v>0</v>
      </c>
      <c r="K52" s="11" t="n">
        <f aca="false">$AO52*IF(K$3&gt;=$AP52+$AQ52*Scenario_Control!$M$19,$AS52*(1+Assumptions!$D$9)/12*(1+Assumptions!$D$8)^(K$5-1)*IF($AQ52=1,Scenario_Control!$M$20,1),0)</f>
        <v>0</v>
      </c>
      <c r="L52" s="11" t="n">
        <f aca="false">$AO52*IF(L$3&gt;=$AP52+$AQ52*Scenario_Control!$M$19,$AS52*(1+Assumptions!$D$9)/12*(1+Assumptions!$D$8)^(L$5-1)*IF($AQ52=1,Scenario_Control!$M$20,1),0)</f>
        <v>0</v>
      </c>
      <c r="M52" s="11" t="n">
        <f aca="false">$AO52*IF(M$3&gt;=$AP52+$AQ52*Scenario_Control!$M$19,$AS52*(1+Assumptions!$D$9)/12*(1+Assumptions!$D$8)^(M$5-1)*IF($AQ52=1,Scenario_Control!$M$20,1),0)</f>
        <v>0</v>
      </c>
      <c r="N52" s="11" t="n">
        <f aca="false">$AO52*IF(N$3&gt;=$AP52+$AQ52*Scenario_Control!$M$19,$AS52*(1+Assumptions!$D$9)/12*(1+Assumptions!$D$8)^(N$5-1)*IF($AQ52=1,Scenario_Control!$M$20,1),0)</f>
        <v>0</v>
      </c>
      <c r="O52" s="11" t="n">
        <f aca="false">$AO52*IF(O$3&gt;=$AP52+$AQ52*Scenario_Control!$M$19,$AS52*(1+Assumptions!$D$9)/12*(1+Assumptions!$D$8)^(O$5-1)*IF($AQ52=1,Scenario_Control!$M$20,1),0)</f>
        <v>0</v>
      </c>
      <c r="P52" s="11" t="n">
        <f aca="false">$AO52*IF(P$3&gt;=$AP52+$AQ52*Scenario_Control!$M$19,$AS52*(1+Assumptions!$D$9)/12*(1+Assumptions!$D$8)^(P$5-1)*IF($AQ52=1,Scenario_Control!$M$20,1),0)</f>
        <v>0</v>
      </c>
      <c r="Q52" s="11" t="n">
        <f aca="false">$AO52*IF(Q$3&gt;=$AP52+$AQ52*Scenario_Control!$M$19,$AS52*(1+Assumptions!$D$9)/12*(1+Assumptions!$D$8)^(Q$5-1)*IF($AQ52=1,Scenario_Control!$M$20,1),0)</f>
        <v>0</v>
      </c>
      <c r="R52" s="11" t="n">
        <f aca="false">$AO52*IF(R$3&gt;=$AP52+$AQ52*Scenario_Control!$M$19,$AS52*(1+Assumptions!$D$9)/12*(1+Assumptions!$D$8)^(R$5-1)*IF($AQ52=1,Scenario_Control!$M$20,1),0)</f>
        <v>0</v>
      </c>
      <c r="S52" s="11" t="n">
        <f aca="false">$AO52*IF(S$3&gt;=$AP52+$AQ52*Scenario_Control!$M$19,$AS52*(1+Assumptions!$D$9)/12*(1+Assumptions!$D$8)^(S$5-1)*IF($AQ52=1,Scenario_Control!$M$20,1),0)</f>
        <v>0</v>
      </c>
      <c r="T52" s="11" t="n">
        <f aca="false">$AO52*IF(T$3&gt;=$AP52+$AQ52*Scenario_Control!$M$19,$AS52*(1+Assumptions!$D$9)/12*(1+Assumptions!$D$8)^(T$5-1)*IF($AQ52=1,Scenario_Control!$M$20,1),0)</f>
        <v>0</v>
      </c>
      <c r="U52" s="11" t="n">
        <f aca="false">$AO52*IF(U$3&gt;=$AP52+$AQ52*Scenario_Control!$M$19,$AS52*(1+Assumptions!$D$9)/12*(1+Assumptions!$D$8)^(U$5-1)*IF($AQ52=1,Scenario_Control!$M$20,1),0)</f>
        <v>0</v>
      </c>
      <c r="V52" s="11" t="n">
        <f aca="false">$AO52*IF(V$3&gt;=$AP52+$AQ52*Scenario_Control!$M$19,$AS52*(1+Assumptions!$D$9)/12*(1+Assumptions!$D$8)^(V$5-1)*IF($AQ52=1,Scenario_Control!$M$20,1),0)</f>
        <v>0</v>
      </c>
      <c r="W52" s="11" t="n">
        <f aca="false">$AO52*IF(W$3&gt;=$AP52+$AQ52*Scenario_Control!$M$19,$AS52*(1+Assumptions!$D$9)/12*(1+Assumptions!$D$8)^(W$5-1)*IF($AQ52=1,Scenario_Control!$M$20,1),0)</f>
        <v>0</v>
      </c>
      <c r="X52" s="11" t="n">
        <f aca="false">$AO52*IF(X$3&gt;=$AP52+$AQ52*Scenario_Control!$M$19,$AS52*(1+Assumptions!$D$9)/12*(1+Assumptions!$D$8)^(X$5-1)*IF($AQ52=1,Scenario_Control!$M$20,1),0)</f>
        <v>0</v>
      </c>
      <c r="Y52" s="11" t="n">
        <f aca="false">$AO52*IF(Y$3&gt;=$AP52+$AQ52*Scenario_Control!$M$19,$AS52*(1+Assumptions!$D$9)/12*(1+Assumptions!$D$8)^(Y$5-1)*IF($AQ52=1,Scenario_Control!$M$20,1),0)</f>
        <v>0</v>
      </c>
      <c r="Z52" s="11" t="n">
        <f aca="false">$AO52*IF(Z$3&gt;=$AP52+$AQ52*Scenario_Control!$M$19,$AS52*(1+Assumptions!$D$9)/12*(1+Assumptions!$D$8)^(Z$5-1)*IF($AQ52=1,Scenario_Control!$M$20,1),0)</f>
        <v>0</v>
      </c>
      <c r="AA52" s="11" t="n">
        <f aca="false">$AO52*IF(AA$3&gt;=$AP52+$AQ52*Scenario_Control!$M$19,$AS52*(1+Assumptions!$D$9)/12*(1+Assumptions!$D$8)^(AA$5-1)*IF($AQ52=1,Scenario_Control!$M$20,1),0)</f>
        <v>0</v>
      </c>
      <c r="AB52" s="11" t="n">
        <f aca="false">$AO52*IF(AB$3&gt;=$AP52+$AQ52*Scenario_Control!$M$19,$AS52*(1+Assumptions!$D$9)/12*(1+Assumptions!$D$8)^(AB$5-1)*IF($AQ52=1,Scenario_Control!$M$20,1),0)</f>
        <v>0</v>
      </c>
      <c r="AC52" s="11" t="n">
        <f aca="false">$AO52*IF(AC$3&gt;=$AP52+$AQ52*Scenario_Control!$M$19,$AS52*(1+Assumptions!$D$9)/12*(1+Assumptions!$D$8)^(AC$5-1)*IF($AQ52=1,Scenario_Control!$M$20,1),0)</f>
        <v>0</v>
      </c>
      <c r="AD52" s="11" t="n">
        <f aca="false">$AO52*IF(AD$3&gt;=$AP52+$AQ52*Scenario_Control!$M$19,$AS52*(1+Assumptions!$D$9)/12*(1+Assumptions!$D$8)^(AD$5-1)*IF($AQ52=1,Scenario_Control!$M$20,1),0)</f>
        <v>0</v>
      </c>
      <c r="AE52" s="11" t="n">
        <f aca="false">$AO52*IF(AE$3&gt;=$AP52+$AQ52*Scenario_Control!$M$19,$AS52*(1+Assumptions!$D$9)/12*(1+Assumptions!$D$8)^(AE$5-1)*IF($AQ52=1,Scenario_Control!$M$20,1),0)</f>
        <v>7426.3</v>
      </c>
      <c r="AF52" s="11" t="n">
        <f aca="false">$AO52*IF(AF$3&gt;=$AP52+$AQ52*Scenario_Control!$M$19,$AS52*(1+Assumptions!$D$9)/12*(1+Assumptions!$D$8)^(AF$5-1)*IF($AQ52=1,Scenario_Control!$M$20,1),0)</f>
        <v>7426.3</v>
      </c>
      <c r="AG52" s="11" t="n">
        <f aca="false">$AO52*IF(AG$3&gt;=$AP52+$AQ52*Scenario_Control!$M$19,$AS52*(1+Assumptions!$D$9)/12*(1+Assumptions!$D$8)^(AG$5-1)*IF($AQ52=1,Scenario_Control!$M$20,1),0)</f>
        <v>7426.3</v>
      </c>
      <c r="AH52" s="11" t="n">
        <f aca="false">$AO52*IF(AH$3&gt;=$AP52+$AQ52*Scenario_Control!$M$19,$AS52*(1+Assumptions!$D$9)/12*(1+Assumptions!$D$8)^(AH$5-1)*IF($AQ52=1,Scenario_Control!$M$20,1),0)</f>
        <v>7426.3</v>
      </c>
      <c r="AI52" s="11" t="n">
        <f aca="false">$AO52*IF(AI$3&gt;=$AP52+$AQ52*Scenario_Control!$M$19,$AS52*(1+Assumptions!$D$9)/12*(1+Assumptions!$D$8)^(AI$5-1)*IF($AQ52=1,Scenario_Control!$M$20,1),0)</f>
        <v>7426.3</v>
      </c>
      <c r="AJ52" s="11" t="n">
        <f aca="false">$AO52*IF(AJ$3&gt;=$AP52+$AQ52*Scenario_Control!$M$19,$AS52*(1+Assumptions!$D$9)/12*(1+Assumptions!$D$8)^(AJ$5-1)*IF($AQ52=1,Scenario_Control!$M$20,1),0)</f>
        <v>7426.3</v>
      </c>
      <c r="AK52" s="11" t="n">
        <f aca="false">$AO52*IF(AK$3&gt;=$AP52+$AQ52*Scenario_Control!$M$19,$AS52*(1+Assumptions!$D$9)/12*(1+Assumptions!$D$8)^(AK$5-1)*IF($AQ52=1,Scenario_Control!$M$20,1),0)</f>
        <v>7426.3</v>
      </c>
      <c r="AL52" s="11" t="n">
        <f aca="false">$AO52*IF(AL$3&gt;=$AP52+$AQ52*Scenario_Control!$M$19,$AS52*(1+Assumptions!$D$9)/12*(1+Assumptions!$D$8)^(AL$5-1)*IF($AQ52=1,Scenario_Control!$M$20,1),0)</f>
        <v>7426.3</v>
      </c>
      <c r="AM52" s="11" t="n">
        <f aca="false">$AO52*IF(AM$3&gt;=$AP52+$AQ52*Scenario_Control!$M$19,$AS52*(1+Assumptions!$D$9)/12*(1+Assumptions!$D$8)^(AM$5-1)*IF($AQ52=1,Scenario_Control!$M$20,1),0)</f>
        <v>7426.3</v>
      </c>
      <c r="AO52" s="58" t="n">
        <v>1</v>
      </c>
      <c r="AP52" s="58" t="n">
        <v>28</v>
      </c>
      <c r="AQ52" s="58" t="n">
        <v>1</v>
      </c>
      <c r="AR52" s="58" t="n">
        <v>1</v>
      </c>
      <c r="AS52" s="30" t="n">
        <v>70000</v>
      </c>
      <c r="AT52" s="58" t="s">
        <v>964</v>
      </c>
      <c r="AU52" s="58" t="s">
        <v>968</v>
      </c>
      <c r="AV52" s="58" t="s">
        <v>1014</v>
      </c>
      <c r="AW52" s="58" t="n">
        <f aca="false">AP52+AQ52*Scenario_Control!$M$19</f>
        <v>28</v>
      </c>
    </row>
    <row r="54" customFormat="false" ht="15" hidden="false" customHeight="true" outlineLevel="0" collapsed="false">
      <c r="A54" s="8" t="s">
        <v>1016</v>
      </c>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row>
    <row r="55" customFormat="false" ht="15" hidden="false" customHeight="true" outlineLevel="0" collapsed="false">
      <c r="A55" s="5" t="s">
        <v>80</v>
      </c>
      <c r="B55" s="10" t="s">
        <v>64</v>
      </c>
      <c r="C55" s="12" t="n">
        <f aca="false">SUM(D55:AM55)</f>
        <v>11248528.2</v>
      </c>
      <c r="D55" s="11" t="n">
        <f aca="false">SUMIFS(D$9:D$52,$AT$9:$AT$52,"R&amp;D")</f>
        <v>13000</v>
      </c>
      <c r="E55" s="11" t="n">
        <f aca="false">SUMIFS(E$9:E$52,$AT$9:$AT$52,"R&amp;D")</f>
        <v>13000</v>
      </c>
      <c r="F55" s="11" t="n">
        <f aca="false">SUMIFS(F$9:F$52,$AT$9:$AT$52,"R&amp;D")</f>
        <v>32500</v>
      </c>
      <c r="G55" s="11" t="n">
        <f aca="false">SUMIFS(G$9:G$52,$AT$9:$AT$52,"R&amp;D")</f>
        <v>48000</v>
      </c>
      <c r="H55" s="11" t="n">
        <f aca="false">SUMIFS(H$9:H$52,$AT$9:$AT$52,"R&amp;D")</f>
        <v>82000</v>
      </c>
      <c r="I55" s="11" t="n">
        <f aca="false">SUMIFS(I$9:I$52,$AT$9:$AT$52,"R&amp;D")</f>
        <v>129500</v>
      </c>
      <c r="J55" s="11" t="n">
        <f aca="false">SUMIFS(J$9:J$52,$AT$9:$AT$52,"R&amp;D")</f>
        <v>129500</v>
      </c>
      <c r="K55" s="11" t="n">
        <f aca="false">SUMIFS(K$9:K$52,$AT$9:$AT$52,"R&amp;D")</f>
        <v>148500</v>
      </c>
      <c r="L55" s="11" t="n">
        <f aca="false">SUMIFS(L$9:L$52,$AT$9:$AT$52,"R&amp;D")</f>
        <v>202500</v>
      </c>
      <c r="M55" s="11" t="n">
        <f aca="false">SUMIFS(M$9:M$52,$AT$9:$AT$52,"R&amp;D")</f>
        <v>221500</v>
      </c>
      <c r="N55" s="11" t="n">
        <f aca="false">SUMIFS(N$9:N$52,$AT$9:$AT$52,"R&amp;D")</f>
        <v>221500</v>
      </c>
      <c r="O55" s="11" t="n">
        <f aca="false">SUMIFS(O$9:O$52,$AT$9:$AT$52,"R&amp;D")</f>
        <v>270500</v>
      </c>
      <c r="P55" s="11" t="n">
        <f aca="false">SUMIFS(P$9:P$52,$AT$9:$AT$52,"R&amp;D")</f>
        <v>292520</v>
      </c>
      <c r="Q55" s="11" t="n">
        <f aca="false">SUMIFS(Q$9:Q$52,$AT$9:$AT$52,"R&amp;D")</f>
        <v>292520</v>
      </c>
      <c r="R55" s="11" t="n">
        <f aca="false">SUMIFS(R$9:R$52,$AT$9:$AT$52,"R&amp;D")</f>
        <v>327540</v>
      </c>
      <c r="S55" s="11" t="n">
        <f aca="false">SUMIFS(S$9:S$52,$AT$9:$AT$52,"R&amp;D")</f>
        <v>340930</v>
      </c>
      <c r="T55" s="11" t="n">
        <f aca="false">SUMIFS(T$9:T$52,$AT$9:$AT$52,"R&amp;D")</f>
        <v>340930</v>
      </c>
      <c r="U55" s="11" t="n">
        <f aca="false">SUMIFS(U$9:U$52,$AT$9:$AT$52,"R&amp;D")</f>
        <v>358955</v>
      </c>
      <c r="V55" s="11" t="n">
        <f aca="false">SUMIFS(V$9:V$52,$AT$9:$AT$52,"R&amp;D")</f>
        <v>358955</v>
      </c>
      <c r="W55" s="11" t="n">
        <f aca="false">SUMIFS(W$9:W$52,$AT$9:$AT$52,"R&amp;D")</f>
        <v>378525</v>
      </c>
      <c r="X55" s="11" t="n">
        <f aca="false">SUMIFS(X$9:X$52,$AT$9:$AT$52,"R&amp;D")</f>
        <v>378525</v>
      </c>
      <c r="Y55" s="11" t="n">
        <f aca="false">SUMIFS(Y$9:Y$52,$AT$9:$AT$52,"R&amp;D")</f>
        <v>378525</v>
      </c>
      <c r="Z55" s="11" t="n">
        <f aca="false">SUMIFS(Z$9:Z$52,$AT$9:$AT$52,"R&amp;D")</f>
        <v>378525</v>
      </c>
      <c r="AA55" s="11" t="n">
        <f aca="false">SUMIFS(AA$9:AA$52,$AT$9:$AT$52,"R&amp;D")</f>
        <v>395520</v>
      </c>
      <c r="AB55" s="11" t="n">
        <f aca="false">SUMIFS(AB$9:AB$52,$AT$9:$AT$52,"R&amp;D")</f>
        <v>428603.6</v>
      </c>
      <c r="AC55" s="11" t="n">
        <f aca="false">SUMIFS(AC$9:AC$52,$AT$9:$AT$52,"R&amp;D")</f>
        <v>428603.6</v>
      </c>
      <c r="AD55" s="11" t="n">
        <f aca="false">SUMIFS(AD$9:AD$52,$AT$9:$AT$52,"R&amp;D")</f>
        <v>465735.1</v>
      </c>
      <c r="AE55" s="11" t="n">
        <f aca="false">SUMIFS(AE$9:AE$52,$AT$9:$AT$52,"R&amp;D")</f>
        <v>465735.1</v>
      </c>
      <c r="AF55" s="11" t="n">
        <f aca="false">SUMIFS(AF$9:AF$52,$AT$9:$AT$52,"R&amp;D")</f>
        <v>465735.1</v>
      </c>
      <c r="AG55" s="11" t="n">
        <f aca="false">SUMIFS(AG$9:AG$52,$AT$9:$AT$52,"R&amp;D")</f>
        <v>465735.1</v>
      </c>
      <c r="AH55" s="11" t="n">
        <f aca="false">SUMIFS(AH$9:AH$52,$AT$9:$AT$52,"R&amp;D")</f>
        <v>465735.1</v>
      </c>
      <c r="AI55" s="11" t="n">
        <f aca="false">SUMIFS(AI$9:AI$52,$AT$9:$AT$52,"R&amp;D")</f>
        <v>465735.1</v>
      </c>
      <c r="AJ55" s="11" t="n">
        <f aca="false">SUMIFS(AJ$9:AJ$52,$AT$9:$AT$52,"R&amp;D")</f>
        <v>465735.1</v>
      </c>
      <c r="AK55" s="11" t="n">
        <f aca="false">SUMIFS(AK$9:AK$52,$AT$9:$AT$52,"R&amp;D")</f>
        <v>465735.1</v>
      </c>
      <c r="AL55" s="11" t="n">
        <f aca="false">SUMIFS(AL$9:AL$52,$AT$9:$AT$52,"R&amp;D")</f>
        <v>465735.1</v>
      </c>
      <c r="AM55" s="11" t="n">
        <f aca="false">SUMIFS(AM$9:AM$52,$AT$9:$AT$52,"R&amp;D")</f>
        <v>465735.1</v>
      </c>
    </row>
    <row r="56" customFormat="false" ht="15" hidden="false" customHeight="true" outlineLevel="0" collapsed="false">
      <c r="A56" s="5" t="s">
        <v>81</v>
      </c>
      <c r="B56" s="10" t="s">
        <v>64</v>
      </c>
      <c r="C56" s="12" t="n">
        <f aca="false">SUM(D56:AM56)</f>
        <v>3515687.4</v>
      </c>
      <c r="D56" s="11" t="n">
        <f aca="false">SUMIFS(D$9:D$52,$AT$9:$AT$52,"S&amp;M")</f>
        <v>0</v>
      </c>
      <c r="E56" s="11" t="n">
        <f aca="false">SUMIFS(E$9:E$52,$AT$9:$AT$52,"S&amp;M")</f>
        <v>0</v>
      </c>
      <c r="F56" s="11" t="n">
        <f aca="false">SUMIFS(F$9:F$52,$AT$9:$AT$52,"S&amp;M")</f>
        <v>0</v>
      </c>
      <c r="G56" s="11" t="n">
        <f aca="false">SUMIFS(G$9:G$52,$AT$9:$AT$52,"S&amp;M")</f>
        <v>0</v>
      </c>
      <c r="H56" s="11" t="n">
        <f aca="false">SUMIFS(H$9:H$52,$AT$9:$AT$52,"S&amp;M")</f>
        <v>0</v>
      </c>
      <c r="I56" s="11" t="n">
        <f aca="false">SUMIFS(I$9:I$52,$AT$9:$AT$52,"S&amp;M")</f>
        <v>0</v>
      </c>
      <c r="J56" s="11" t="n">
        <f aca="false">SUMIFS(J$9:J$52,$AT$9:$AT$52,"S&amp;M")</f>
        <v>0</v>
      </c>
      <c r="K56" s="11" t="n">
        <f aca="false">SUMIFS(K$9:K$52,$AT$9:$AT$52,"S&amp;M")</f>
        <v>29000</v>
      </c>
      <c r="L56" s="11" t="n">
        <f aca="false">SUMIFS(L$9:L$52,$AT$9:$AT$52,"S&amp;M")</f>
        <v>29000</v>
      </c>
      <c r="M56" s="11" t="n">
        <f aca="false">SUMIFS(M$9:M$52,$AT$9:$AT$52,"S&amp;M")</f>
        <v>40000</v>
      </c>
      <c r="N56" s="11" t="n">
        <f aca="false">SUMIFS(N$9:N$52,$AT$9:$AT$52,"S&amp;M")</f>
        <v>54000</v>
      </c>
      <c r="O56" s="11" t="n">
        <f aca="false">SUMIFS(O$9:O$52,$AT$9:$AT$52,"S&amp;M")</f>
        <v>64000</v>
      </c>
      <c r="P56" s="11" t="n">
        <f aca="false">SUMIFS(P$9:P$52,$AT$9:$AT$52,"S&amp;M")</f>
        <v>65920</v>
      </c>
      <c r="Q56" s="11" t="n">
        <f aca="false">SUMIFS(Q$9:Q$52,$AT$9:$AT$52,"S&amp;M")</f>
        <v>86005</v>
      </c>
      <c r="R56" s="11" t="n">
        <f aca="false">SUMIFS(R$9:R$52,$AT$9:$AT$52,"S&amp;M")</f>
        <v>97335</v>
      </c>
      <c r="S56" s="11" t="n">
        <f aca="false">SUMIFS(S$9:S$52,$AT$9:$AT$52,"S&amp;M")</f>
        <v>106090</v>
      </c>
      <c r="T56" s="11" t="n">
        <f aca="false">SUMIFS(T$9:T$52,$AT$9:$AT$52,"S&amp;M")</f>
        <v>106090</v>
      </c>
      <c r="U56" s="11" t="n">
        <f aca="false">SUMIFS(U$9:U$52,$AT$9:$AT$52,"S&amp;M")</f>
        <v>106090</v>
      </c>
      <c r="V56" s="11" t="n">
        <f aca="false">SUMIFS(V$9:V$52,$AT$9:$AT$52,"S&amp;M")</f>
        <v>106090</v>
      </c>
      <c r="W56" s="11" t="n">
        <f aca="false">SUMIFS(W$9:W$52,$AT$9:$AT$52,"S&amp;M")</f>
        <v>117935</v>
      </c>
      <c r="X56" s="11" t="n">
        <f aca="false">SUMIFS(X$9:X$52,$AT$9:$AT$52,"S&amp;M")</f>
        <v>129265</v>
      </c>
      <c r="Y56" s="11" t="n">
        <f aca="false">SUMIFS(Y$9:Y$52,$AT$9:$AT$52,"S&amp;M")</f>
        <v>143685</v>
      </c>
      <c r="Z56" s="11" t="n">
        <f aca="false">SUMIFS(Z$9:Z$52,$AT$9:$AT$52,"S&amp;M")</f>
        <v>143685</v>
      </c>
      <c r="AA56" s="11" t="n">
        <f aca="false">SUMIFS(AA$9:AA$52,$AT$9:$AT$52,"S&amp;M")</f>
        <v>143685</v>
      </c>
      <c r="AB56" s="11" t="n">
        <f aca="false">SUMIFS(AB$9:AB$52,$AT$9:$AT$52,"S&amp;M")</f>
        <v>147995.55</v>
      </c>
      <c r="AC56" s="11" t="n">
        <f aca="false">SUMIFS(AC$9:AC$52,$AT$9:$AT$52,"S&amp;M")</f>
        <v>147995.55</v>
      </c>
      <c r="AD56" s="11" t="n">
        <f aca="false">SUMIFS(AD$9:AD$52,$AT$9:$AT$52,"S&amp;M")</f>
        <v>147995.55</v>
      </c>
      <c r="AE56" s="11" t="n">
        <f aca="false">SUMIFS(AE$9:AE$52,$AT$9:$AT$52,"S&amp;M")</f>
        <v>167091.75</v>
      </c>
      <c r="AF56" s="11" t="n">
        <f aca="false">SUMIFS(AF$9:AF$52,$AT$9:$AT$52,"S&amp;M")</f>
        <v>167091.75</v>
      </c>
      <c r="AG56" s="11" t="n">
        <f aca="false">SUMIFS(AG$9:AG$52,$AT$9:$AT$52,"S&amp;M")</f>
        <v>167091.75</v>
      </c>
      <c r="AH56" s="11" t="n">
        <f aca="false">SUMIFS(AH$9:AH$52,$AT$9:$AT$52,"S&amp;M")</f>
        <v>167091.75</v>
      </c>
      <c r="AI56" s="11" t="n">
        <f aca="false">SUMIFS(AI$9:AI$52,$AT$9:$AT$52,"S&amp;M")</f>
        <v>167091.75</v>
      </c>
      <c r="AJ56" s="11" t="n">
        <f aca="false">SUMIFS(AJ$9:AJ$52,$AT$9:$AT$52,"S&amp;M")</f>
        <v>167091.75</v>
      </c>
      <c r="AK56" s="11" t="n">
        <f aca="false">SUMIFS(AK$9:AK$52,$AT$9:$AT$52,"S&amp;M")</f>
        <v>167091.75</v>
      </c>
      <c r="AL56" s="11" t="n">
        <f aca="false">SUMIFS(AL$9:AL$52,$AT$9:$AT$52,"S&amp;M")</f>
        <v>167091.75</v>
      </c>
      <c r="AM56" s="11" t="n">
        <f aca="false">SUMIFS(AM$9:AM$52,$AT$9:$AT$52,"S&amp;M")</f>
        <v>167091.75</v>
      </c>
    </row>
    <row r="57" customFormat="false" ht="15" hidden="false" customHeight="true" outlineLevel="0" collapsed="false">
      <c r="A57" s="5" t="s">
        <v>1017</v>
      </c>
      <c r="B57" s="10" t="s">
        <v>64</v>
      </c>
      <c r="C57" s="12" t="n">
        <f aca="false">SUM(D57:AM57)</f>
        <v>1454165.4</v>
      </c>
      <c r="D57" s="11" t="n">
        <f aca="false">SUMIFS(D$9:D$52,$AT$9:$AT$52,"G&amp;A")</f>
        <v>9000</v>
      </c>
      <c r="E57" s="11" t="n">
        <f aca="false">SUMIFS(E$9:E$52,$AT$9:$AT$52,"G&amp;A")</f>
        <v>9000</v>
      </c>
      <c r="F57" s="11" t="n">
        <f aca="false">SUMIFS(F$9:F$52,$AT$9:$AT$52,"G&amp;A")</f>
        <v>9000</v>
      </c>
      <c r="G57" s="11" t="n">
        <f aca="false">SUMIFS(G$9:G$52,$AT$9:$AT$52,"G&amp;A")</f>
        <v>9000</v>
      </c>
      <c r="H57" s="11" t="n">
        <f aca="false">SUMIFS(H$9:H$52,$AT$9:$AT$52,"G&amp;A")</f>
        <v>9000</v>
      </c>
      <c r="I57" s="11" t="n">
        <f aca="false">SUMIFS(I$9:I$52,$AT$9:$AT$52,"G&amp;A")</f>
        <v>9000</v>
      </c>
      <c r="J57" s="11" t="n">
        <f aca="false">SUMIFS(J$9:J$52,$AT$9:$AT$52,"G&amp;A")</f>
        <v>9000</v>
      </c>
      <c r="K57" s="11" t="n">
        <f aca="false">SUMIFS(K$9:K$52,$AT$9:$AT$52,"G&amp;A")</f>
        <v>9000</v>
      </c>
      <c r="L57" s="11" t="n">
        <f aca="false">SUMIFS(L$9:L$52,$AT$9:$AT$52,"G&amp;A")</f>
        <v>9000</v>
      </c>
      <c r="M57" s="11" t="n">
        <f aca="false">SUMIFS(M$9:M$52,$AT$9:$AT$52,"G&amp;A")</f>
        <v>23000</v>
      </c>
      <c r="N57" s="11" t="n">
        <f aca="false">SUMIFS(N$9:N$52,$AT$9:$AT$52,"G&amp;A")</f>
        <v>23000</v>
      </c>
      <c r="O57" s="11" t="n">
        <f aca="false">SUMIFS(O$9:O$52,$AT$9:$AT$52,"G&amp;A")</f>
        <v>23000</v>
      </c>
      <c r="P57" s="11" t="n">
        <f aca="false">SUMIFS(P$9:P$52,$AT$9:$AT$52,"G&amp;A")</f>
        <v>37595</v>
      </c>
      <c r="Q57" s="11" t="n">
        <f aca="false">SUMIFS(Q$9:Q$52,$AT$9:$AT$52,"G&amp;A")</f>
        <v>37595</v>
      </c>
      <c r="R57" s="11" t="n">
        <f aca="false">SUMIFS(R$9:R$52,$AT$9:$AT$52,"G&amp;A")</f>
        <v>37595</v>
      </c>
      <c r="S57" s="11" t="n">
        <f aca="false">SUMIFS(S$9:S$52,$AT$9:$AT$52,"G&amp;A")</f>
        <v>37595</v>
      </c>
      <c r="T57" s="11" t="n">
        <f aca="false">SUMIFS(T$9:T$52,$AT$9:$AT$52,"G&amp;A")</f>
        <v>37595</v>
      </c>
      <c r="U57" s="11" t="n">
        <f aca="false">SUMIFS(U$9:U$52,$AT$9:$AT$52,"G&amp;A")</f>
        <v>37595</v>
      </c>
      <c r="V57" s="11" t="n">
        <f aca="false">SUMIFS(V$9:V$52,$AT$9:$AT$52,"G&amp;A")</f>
        <v>37595</v>
      </c>
      <c r="W57" s="11" t="n">
        <f aca="false">SUMIFS(W$9:W$52,$AT$9:$AT$52,"G&amp;A")</f>
        <v>37595</v>
      </c>
      <c r="X57" s="11" t="n">
        <f aca="false">SUMIFS(X$9:X$52,$AT$9:$AT$52,"G&amp;A")</f>
        <v>37595</v>
      </c>
      <c r="Y57" s="11" t="n">
        <f aca="false">SUMIFS(Y$9:Y$52,$AT$9:$AT$52,"G&amp;A")</f>
        <v>49440</v>
      </c>
      <c r="Z57" s="11" t="n">
        <f aca="false">SUMIFS(Z$9:Z$52,$AT$9:$AT$52,"G&amp;A")</f>
        <v>49440</v>
      </c>
      <c r="AA57" s="11" t="n">
        <f aca="false">SUMIFS(AA$9:AA$52,$AT$9:$AT$52,"G&amp;A")</f>
        <v>64890</v>
      </c>
      <c r="AB57" s="11" t="n">
        <f aca="false">SUMIFS(AB$9:AB$52,$AT$9:$AT$52,"G&amp;A")</f>
        <v>66836.7</v>
      </c>
      <c r="AC57" s="11" t="n">
        <f aca="false">SUMIFS(AC$9:AC$52,$AT$9:$AT$52,"G&amp;A")</f>
        <v>66836.7</v>
      </c>
      <c r="AD57" s="11" t="n">
        <f aca="false">SUMIFS(AD$9:AD$52,$AT$9:$AT$52,"G&amp;A")</f>
        <v>66836.7</v>
      </c>
      <c r="AE57" s="11" t="n">
        <f aca="false">SUMIFS(AE$9:AE$52,$AT$9:$AT$52,"G&amp;A")</f>
        <v>66836.7</v>
      </c>
      <c r="AF57" s="11" t="n">
        <f aca="false">SUMIFS(AF$9:AF$52,$AT$9:$AT$52,"G&amp;A")</f>
        <v>66836.7</v>
      </c>
      <c r="AG57" s="11" t="n">
        <f aca="false">SUMIFS(AG$9:AG$52,$AT$9:$AT$52,"G&amp;A")</f>
        <v>66836.7</v>
      </c>
      <c r="AH57" s="11" t="n">
        <f aca="false">SUMIFS(AH$9:AH$52,$AT$9:$AT$52,"G&amp;A")</f>
        <v>66836.7</v>
      </c>
      <c r="AI57" s="11" t="n">
        <f aca="false">SUMIFS(AI$9:AI$52,$AT$9:$AT$52,"G&amp;A")</f>
        <v>66836.7</v>
      </c>
      <c r="AJ57" s="11" t="n">
        <f aca="false">SUMIFS(AJ$9:AJ$52,$AT$9:$AT$52,"G&amp;A")</f>
        <v>66836.7</v>
      </c>
      <c r="AK57" s="11" t="n">
        <f aca="false">SUMIFS(AK$9:AK$52,$AT$9:$AT$52,"G&amp;A")</f>
        <v>66836.7</v>
      </c>
      <c r="AL57" s="11" t="n">
        <f aca="false">SUMIFS(AL$9:AL$52,$AT$9:$AT$52,"G&amp;A")</f>
        <v>66836.7</v>
      </c>
      <c r="AM57" s="11" t="n">
        <f aca="false">SUMIFS(AM$9:AM$52,$AT$9:$AT$52,"G&amp;A")</f>
        <v>66836.7</v>
      </c>
    </row>
    <row r="58" customFormat="false" ht="15" hidden="false" customHeight="true" outlineLevel="0" collapsed="false">
      <c r="A58" s="5" t="s">
        <v>1018</v>
      </c>
      <c r="B58" s="10" t="s">
        <v>64</v>
      </c>
      <c r="C58" s="12" t="n">
        <f aca="false">SUM(D58:AM58)</f>
        <v>1106621.7</v>
      </c>
      <c r="D58" s="11" t="n">
        <f aca="false">SUMIFS(D$9:D$52,$AT$9:$AT$52,"COGS")</f>
        <v>0</v>
      </c>
      <c r="E58" s="11" t="n">
        <f aca="false">SUMIFS(E$9:E$52,$AT$9:$AT$52,"COGS")</f>
        <v>0</v>
      </c>
      <c r="F58" s="11" t="n">
        <f aca="false">SUMIFS(F$9:F$52,$AT$9:$AT$52,"COGS")</f>
        <v>0</v>
      </c>
      <c r="G58" s="11" t="n">
        <f aca="false">SUMIFS(G$9:G$52,$AT$9:$AT$52,"COGS")</f>
        <v>0</v>
      </c>
      <c r="H58" s="11" t="n">
        <f aca="false">SUMIFS(H$9:H$52,$AT$9:$AT$52,"COGS")</f>
        <v>0</v>
      </c>
      <c r="I58" s="11" t="n">
        <f aca="false">SUMIFS(I$9:I$52,$AT$9:$AT$52,"COGS")</f>
        <v>0</v>
      </c>
      <c r="J58" s="11" t="n">
        <f aca="false">SUMIFS(J$9:J$52,$AT$9:$AT$52,"COGS")</f>
        <v>0</v>
      </c>
      <c r="K58" s="11" t="n">
        <f aca="false">SUMIFS(K$9:K$52,$AT$9:$AT$52,"COGS")</f>
        <v>0</v>
      </c>
      <c r="L58" s="11" t="n">
        <f aca="false">SUMIFS(L$9:L$52,$AT$9:$AT$52,"COGS")</f>
        <v>0</v>
      </c>
      <c r="M58" s="11" t="n">
        <f aca="false">SUMIFS(M$9:M$52,$AT$9:$AT$52,"COGS")</f>
        <v>9500</v>
      </c>
      <c r="N58" s="11" t="n">
        <f aca="false">SUMIFS(N$9:N$52,$AT$9:$AT$52,"COGS")</f>
        <v>21000</v>
      </c>
      <c r="O58" s="11" t="n">
        <f aca="false">SUMIFS(O$9:O$52,$AT$9:$AT$52,"COGS")</f>
        <v>21000</v>
      </c>
      <c r="P58" s="11" t="n">
        <f aca="false">SUMIFS(P$9:P$52,$AT$9:$AT$52,"COGS")</f>
        <v>21630</v>
      </c>
      <c r="Q58" s="11" t="n">
        <f aca="false">SUMIFS(Q$9:Q$52,$AT$9:$AT$52,"COGS")</f>
        <v>21630</v>
      </c>
      <c r="R58" s="11" t="n">
        <f aca="false">SUMIFS(R$9:R$52,$AT$9:$AT$52,"COGS")</f>
        <v>21630</v>
      </c>
      <c r="S58" s="11" t="n">
        <f aca="false">SUMIFS(S$9:S$52,$AT$9:$AT$52,"COGS")</f>
        <v>21630</v>
      </c>
      <c r="T58" s="11" t="n">
        <f aca="false">SUMIFS(T$9:T$52,$AT$9:$AT$52,"COGS")</f>
        <v>30900</v>
      </c>
      <c r="U58" s="11" t="n">
        <f aca="false">SUMIFS(U$9:U$52,$AT$9:$AT$52,"COGS")</f>
        <v>30900</v>
      </c>
      <c r="V58" s="11" t="n">
        <f aca="false">SUMIFS(V$9:V$52,$AT$9:$AT$52,"COGS")</f>
        <v>42745</v>
      </c>
      <c r="W58" s="11" t="n">
        <f aca="false">SUMIFS(W$9:W$52,$AT$9:$AT$52,"COGS")</f>
        <v>42745</v>
      </c>
      <c r="X58" s="11" t="n">
        <f aca="false">SUMIFS(X$9:X$52,$AT$9:$AT$52,"COGS")</f>
        <v>42745</v>
      </c>
      <c r="Y58" s="11" t="n">
        <f aca="false">SUMIFS(Y$9:Y$52,$AT$9:$AT$52,"COGS")</f>
        <v>42745</v>
      </c>
      <c r="Z58" s="11" t="n">
        <f aca="false">SUMIFS(Z$9:Z$52,$AT$9:$AT$52,"COGS")</f>
        <v>42745</v>
      </c>
      <c r="AA58" s="11" t="n">
        <f aca="false">SUMIFS(AA$9:AA$52,$AT$9:$AT$52,"COGS")</f>
        <v>42745</v>
      </c>
      <c r="AB58" s="11" t="n">
        <f aca="false">SUMIFS(AB$9:AB$52,$AT$9:$AT$52,"COGS")</f>
        <v>44027.35</v>
      </c>
      <c r="AC58" s="11" t="n">
        <f aca="false">SUMIFS(AC$9:AC$52,$AT$9:$AT$52,"COGS")</f>
        <v>44027.35</v>
      </c>
      <c r="AD58" s="11" t="n">
        <f aca="false">SUMIFS(AD$9:AD$52,$AT$9:$AT$52,"COGS")</f>
        <v>56227.7</v>
      </c>
      <c r="AE58" s="11" t="n">
        <f aca="false">SUMIFS(AE$9:AE$52,$AT$9:$AT$52,"COGS")</f>
        <v>56227.7</v>
      </c>
      <c r="AF58" s="11" t="n">
        <f aca="false">SUMIFS(AF$9:AF$52,$AT$9:$AT$52,"COGS")</f>
        <v>56227.7</v>
      </c>
      <c r="AG58" s="11" t="n">
        <f aca="false">SUMIFS(AG$9:AG$52,$AT$9:$AT$52,"COGS")</f>
        <v>56227.7</v>
      </c>
      <c r="AH58" s="11" t="n">
        <f aca="false">SUMIFS(AH$9:AH$52,$AT$9:$AT$52,"COGS")</f>
        <v>56227.7</v>
      </c>
      <c r="AI58" s="11" t="n">
        <f aca="false">SUMIFS(AI$9:AI$52,$AT$9:$AT$52,"COGS")</f>
        <v>56227.7</v>
      </c>
      <c r="AJ58" s="11" t="n">
        <f aca="false">SUMIFS(AJ$9:AJ$52,$AT$9:$AT$52,"COGS")</f>
        <v>56227.7</v>
      </c>
      <c r="AK58" s="11" t="n">
        <f aca="false">SUMIFS(AK$9:AK$52,$AT$9:$AT$52,"COGS")</f>
        <v>56227.7</v>
      </c>
      <c r="AL58" s="11" t="n">
        <f aca="false">SUMIFS(AL$9:AL$52,$AT$9:$AT$52,"COGS")</f>
        <v>56227.7</v>
      </c>
      <c r="AM58" s="11" t="n">
        <f aca="false">SUMIFS(AM$9:AM$52,$AT$9:$AT$52,"COGS")</f>
        <v>56227.7</v>
      </c>
    </row>
    <row r="59" customFormat="false" ht="15" hidden="false" customHeight="true" outlineLevel="0" collapsed="false">
      <c r="A59" s="13" t="s">
        <v>1019</v>
      </c>
      <c r="B59" s="14" t="s">
        <v>64</v>
      </c>
      <c r="C59" s="15" t="n">
        <f aca="false">SUM(D59:AM59)</f>
        <v>17325002.7</v>
      </c>
      <c r="D59" s="15" t="n">
        <f aca="false">SUM(D55:D58)</f>
        <v>22000</v>
      </c>
      <c r="E59" s="15" t="n">
        <f aca="false">SUM(E55:E58)</f>
        <v>22000</v>
      </c>
      <c r="F59" s="15" t="n">
        <f aca="false">SUM(F55:F58)</f>
        <v>41500</v>
      </c>
      <c r="G59" s="15" t="n">
        <f aca="false">SUM(G55:G58)</f>
        <v>57000</v>
      </c>
      <c r="H59" s="15" t="n">
        <f aca="false">SUM(H55:H58)</f>
        <v>91000</v>
      </c>
      <c r="I59" s="15" t="n">
        <f aca="false">SUM(I55:I58)</f>
        <v>138500</v>
      </c>
      <c r="J59" s="15" t="n">
        <f aca="false">SUM(J55:J58)</f>
        <v>138500</v>
      </c>
      <c r="K59" s="15" t="n">
        <f aca="false">SUM(K55:K58)</f>
        <v>186500</v>
      </c>
      <c r="L59" s="15" t="n">
        <f aca="false">SUM(L55:L58)</f>
        <v>240500</v>
      </c>
      <c r="M59" s="15" t="n">
        <f aca="false">SUM(M55:M58)</f>
        <v>294000</v>
      </c>
      <c r="N59" s="15" t="n">
        <f aca="false">SUM(N55:N58)</f>
        <v>319500</v>
      </c>
      <c r="O59" s="15" t="n">
        <f aca="false">SUM(O55:O58)</f>
        <v>378500</v>
      </c>
      <c r="P59" s="15" t="n">
        <f aca="false">SUM(P55:P58)</f>
        <v>417665</v>
      </c>
      <c r="Q59" s="15" t="n">
        <f aca="false">SUM(Q55:Q58)</f>
        <v>437750</v>
      </c>
      <c r="R59" s="15" t="n">
        <f aca="false">SUM(R55:R58)</f>
        <v>484100</v>
      </c>
      <c r="S59" s="15" t="n">
        <f aca="false">SUM(S55:S58)</f>
        <v>506245</v>
      </c>
      <c r="T59" s="15" t="n">
        <f aca="false">SUM(T55:T58)</f>
        <v>515515</v>
      </c>
      <c r="U59" s="15" t="n">
        <f aca="false">SUM(U55:U58)</f>
        <v>533540</v>
      </c>
      <c r="V59" s="15" t="n">
        <f aca="false">SUM(V55:V58)</f>
        <v>545385</v>
      </c>
      <c r="W59" s="15" t="n">
        <f aca="false">SUM(W55:W58)</f>
        <v>576800</v>
      </c>
      <c r="X59" s="15" t="n">
        <f aca="false">SUM(X55:X58)</f>
        <v>588130</v>
      </c>
      <c r="Y59" s="15" t="n">
        <f aca="false">SUM(Y55:Y58)</f>
        <v>614395</v>
      </c>
      <c r="Z59" s="15" t="n">
        <f aca="false">SUM(Z55:Z58)</f>
        <v>614395</v>
      </c>
      <c r="AA59" s="15" t="n">
        <f aca="false">SUM(AA55:AA58)</f>
        <v>646840</v>
      </c>
      <c r="AB59" s="15" t="n">
        <f aca="false">SUM(AB55:AB58)</f>
        <v>687463.2</v>
      </c>
      <c r="AC59" s="15" t="n">
        <f aca="false">SUM(AC55:AC58)</f>
        <v>687463.2</v>
      </c>
      <c r="AD59" s="15" t="n">
        <f aca="false">SUM(AD55:AD58)</f>
        <v>736795.05</v>
      </c>
      <c r="AE59" s="15" t="n">
        <f aca="false">SUM(AE55:AE58)</f>
        <v>755891.25</v>
      </c>
      <c r="AF59" s="15" t="n">
        <f aca="false">SUM(AF55:AF58)</f>
        <v>755891.25</v>
      </c>
      <c r="AG59" s="15" t="n">
        <f aca="false">SUM(AG55:AG58)</f>
        <v>755891.25</v>
      </c>
      <c r="AH59" s="15" t="n">
        <f aca="false">SUM(AH55:AH58)</f>
        <v>755891.25</v>
      </c>
      <c r="AI59" s="15" t="n">
        <f aca="false">SUM(AI55:AI58)</f>
        <v>755891.25</v>
      </c>
      <c r="AJ59" s="15" t="n">
        <f aca="false">SUM(AJ55:AJ58)</f>
        <v>755891.25</v>
      </c>
      <c r="AK59" s="15" t="n">
        <f aca="false">SUM(AK55:AK58)</f>
        <v>755891.25</v>
      </c>
      <c r="AL59" s="15" t="n">
        <f aca="false">SUM(AL55:AL58)</f>
        <v>755891.25</v>
      </c>
      <c r="AM59" s="15" t="n">
        <f aca="false">SUM(AM55:AM58)</f>
        <v>755891.25</v>
      </c>
    </row>
    <row r="61" customFormat="false" ht="15" hidden="false" customHeight="true" outlineLevel="0" collapsed="false">
      <c r="A61" s="8" t="s">
        <v>1020</v>
      </c>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row>
    <row r="62" customFormat="false" ht="15" hidden="false" customHeight="true" outlineLevel="0" collapsed="false">
      <c r="A62" s="5" t="s">
        <v>1021</v>
      </c>
      <c r="B62" s="10" t="s">
        <v>64</v>
      </c>
      <c r="C62" s="12" t="n">
        <f aca="false">SUM(D62:AM62)</f>
        <v>2140112.2</v>
      </c>
      <c r="D62" s="11" t="n">
        <f aca="false">SUMIFS(D$9:D$52,$AT$9:$AT$52,"S&amp;M",$AU$9:$AU$52,"Inst")</f>
        <v>0</v>
      </c>
      <c r="E62" s="11" t="n">
        <f aca="false">SUMIFS(E$9:E$52,$AT$9:$AT$52,"S&amp;M",$AU$9:$AU$52,"Inst")</f>
        <v>0</v>
      </c>
      <c r="F62" s="11" t="n">
        <f aca="false">SUMIFS(F$9:F$52,$AT$9:$AT$52,"S&amp;M",$AU$9:$AU$52,"Inst")</f>
        <v>0</v>
      </c>
      <c r="G62" s="11" t="n">
        <f aca="false">SUMIFS(G$9:G$52,$AT$9:$AT$52,"S&amp;M",$AU$9:$AU$52,"Inst")</f>
        <v>0</v>
      </c>
      <c r="H62" s="11" t="n">
        <f aca="false">SUMIFS(H$9:H$52,$AT$9:$AT$52,"S&amp;M",$AU$9:$AU$52,"Inst")</f>
        <v>0</v>
      </c>
      <c r="I62" s="11" t="n">
        <f aca="false">SUMIFS(I$9:I$52,$AT$9:$AT$52,"S&amp;M",$AU$9:$AU$52,"Inst")</f>
        <v>0</v>
      </c>
      <c r="J62" s="11" t="n">
        <f aca="false">SUMIFS(J$9:J$52,$AT$9:$AT$52,"S&amp;M",$AU$9:$AU$52,"Inst")</f>
        <v>0</v>
      </c>
      <c r="K62" s="11" t="n">
        <f aca="false">SUMIFS(K$9:K$52,$AT$9:$AT$52,"S&amp;M",$AU$9:$AU$52,"Inst")</f>
        <v>15000</v>
      </c>
      <c r="L62" s="11" t="n">
        <f aca="false">SUMIFS(L$9:L$52,$AT$9:$AT$52,"S&amp;M",$AU$9:$AU$52,"Inst")</f>
        <v>15000</v>
      </c>
      <c r="M62" s="11" t="n">
        <f aca="false">SUMIFS(M$9:M$52,$AT$9:$AT$52,"S&amp;M",$AU$9:$AU$52,"Inst")</f>
        <v>26000</v>
      </c>
      <c r="N62" s="11" t="n">
        <f aca="false">SUMIFS(N$9:N$52,$AT$9:$AT$52,"S&amp;M",$AU$9:$AU$52,"Inst")</f>
        <v>40000</v>
      </c>
      <c r="O62" s="11" t="n">
        <f aca="false">SUMIFS(O$9:O$52,$AT$9:$AT$52,"S&amp;M",$AU$9:$AU$52,"Inst")</f>
        <v>40000</v>
      </c>
      <c r="P62" s="11" t="n">
        <f aca="false">SUMIFS(P$9:P$52,$AT$9:$AT$52,"S&amp;M",$AU$9:$AU$52,"Inst")</f>
        <v>41200</v>
      </c>
      <c r="Q62" s="11" t="n">
        <f aca="false">SUMIFS(Q$9:Q$52,$AT$9:$AT$52,"S&amp;M",$AU$9:$AU$52,"Inst")</f>
        <v>48410</v>
      </c>
      <c r="R62" s="11" t="n">
        <f aca="false">SUMIFS(R$9:R$52,$AT$9:$AT$52,"S&amp;M",$AU$9:$AU$52,"Inst")</f>
        <v>59740</v>
      </c>
      <c r="S62" s="11" t="n">
        <f aca="false">SUMIFS(S$9:S$52,$AT$9:$AT$52,"S&amp;M",$AU$9:$AU$52,"Inst")</f>
        <v>59740</v>
      </c>
      <c r="T62" s="11" t="n">
        <f aca="false">SUMIFS(T$9:T$52,$AT$9:$AT$52,"S&amp;M",$AU$9:$AU$52,"Inst")</f>
        <v>59740</v>
      </c>
      <c r="U62" s="11" t="n">
        <f aca="false">SUMIFS(U$9:U$52,$AT$9:$AT$52,"S&amp;M",$AU$9:$AU$52,"Inst")</f>
        <v>59740</v>
      </c>
      <c r="V62" s="11" t="n">
        <f aca="false">SUMIFS(V$9:V$52,$AT$9:$AT$52,"S&amp;M",$AU$9:$AU$52,"Inst")</f>
        <v>59740</v>
      </c>
      <c r="W62" s="11" t="n">
        <f aca="false">SUMIFS(W$9:W$52,$AT$9:$AT$52,"S&amp;M",$AU$9:$AU$52,"Inst")</f>
        <v>59740</v>
      </c>
      <c r="X62" s="11" t="n">
        <f aca="false">SUMIFS(X$9:X$52,$AT$9:$AT$52,"S&amp;M",$AU$9:$AU$52,"Inst")</f>
        <v>71070</v>
      </c>
      <c r="Y62" s="11" t="n">
        <f aca="false">SUMIFS(Y$9:Y$52,$AT$9:$AT$52,"S&amp;M",$AU$9:$AU$52,"Inst")</f>
        <v>85490</v>
      </c>
      <c r="Z62" s="11" t="n">
        <f aca="false">SUMIFS(Z$9:Z$52,$AT$9:$AT$52,"S&amp;M",$AU$9:$AU$52,"Inst")</f>
        <v>85490</v>
      </c>
      <c r="AA62" s="11" t="n">
        <f aca="false">SUMIFS(AA$9:AA$52,$AT$9:$AT$52,"S&amp;M",$AU$9:$AU$52,"Inst")</f>
        <v>85490</v>
      </c>
      <c r="AB62" s="11" t="n">
        <f aca="false">SUMIFS(AB$9:AB$52,$AT$9:$AT$52,"S&amp;M",$AU$9:$AU$52,"Inst")</f>
        <v>88054.7</v>
      </c>
      <c r="AC62" s="11" t="n">
        <f aca="false">SUMIFS(AC$9:AC$52,$AT$9:$AT$52,"S&amp;M",$AU$9:$AU$52,"Inst")</f>
        <v>88054.7</v>
      </c>
      <c r="AD62" s="11" t="n">
        <f aca="false">SUMIFS(AD$9:AD$52,$AT$9:$AT$52,"S&amp;M",$AU$9:$AU$52,"Inst")</f>
        <v>88054.7</v>
      </c>
      <c r="AE62" s="11" t="n">
        <f aca="false">SUMIFS(AE$9:AE$52,$AT$9:$AT$52,"S&amp;M",$AU$9:$AU$52,"Inst")</f>
        <v>107150.9</v>
      </c>
      <c r="AF62" s="11" t="n">
        <f aca="false">SUMIFS(AF$9:AF$52,$AT$9:$AT$52,"S&amp;M",$AU$9:$AU$52,"Inst")</f>
        <v>107150.9</v>
      </c>
      <c r="AG62" s="11" t="n">
        <f aca="false">SUMIFS(AG$9:AG$52,$AT$9:$AT$52,"S&amp;M",$AU$9:$AU$52,"Inst")</f>
        <v>107150.9</v>
      </c>
      <c r="AH62" s="11" t="n">
        <f aca="false">SUMIFS(AH$9:AH$52,$AT$9:$AT$52,"S&amp;M",$AU$9:$AU$52,"Inst")</f>
        <v>107150.9</v>
      </c>
      <c r="AI62" s="11" t="n">
        <f aca="false">SUMIFS(AI$9:AI$52,$AT$9:$AT$52,"S&amp;M",$AU$9:$AU$52,"Inst")</f>
        <v>107150.9</v>
      </c>
      <c r="AJ62" s="11" t="n">
        <f aca="false">SUMIFS(AJ$9:AJ$52,$AT$9:$AT$52,"S&amp;M",$AU$9:$AU$52,"Inst")</f>
        <v>107150.9</v>
      </c>
      <c r="AK62" s="11" t="n">
        <f aca="false">SUMIFS(AK$9:AK$52,$AT$9:$AT$52,"S&amp;M",$AU$9:$AU$52,"Inst")</f>
        <v>107150.9</v>
      </c>
      <c r="AL62" s="11" t="n">
        <f aca="false">SUMIFS(AL$9:AL$52,$AT$9:$AT$52,"S&amp;M",$AU$9:$AU$52,"Inst")</f>
        <v>107150.9</v>
      </c>
      <c r="AM62" s="11" t="n">
        <f aca="false">SUMIFS(AM$9:AM$52,$AT$9:$AT$52,"S&amp;M",$AU$9:$AU$52,"Inst")</f>
        <v>107150.9</v>
      </c>
    </row>
    <row r="63" customFormat="false" ht="15" hidden="false" customHeight="true" outlineLevel="0" collapsed="false">
      <c r="A63" s="5" t="s">
        <v>1022</v>
      </c>
      <c r="B63" s="10" t="s">
        <v>64</v>
      </c>
      <c r="C63" s="12" t="n">
        <f aca="false">SUM(D63:AM63)</f>
        <v>447914.8</v>
      </c>
      <c r="D63" s="11" t="n">
        <f aca="false">SUMIFS(D$9:D$52,$AT$9:$AT$52,"S&amp;M",$AU$9:$AU$52,"Student")</f>
        <v>0</v>
      </c>
      <c r="E63" s="11" t="n">
        <f aca="false">SUMIFS(E$9:E$52,$AT$9:$AT$52,"S&amp;M",$AU$9:$AU$52,"Student")</f>
        <v>0</v>
      </c>
      <c r="F63" s="11" t="n">
        <f aca="false">SUMIFS(F$9:F$52,$AT$9:$AT$52,"S&amp;M",$AU$9:$AU$52,"Student")</f>
        <v>0</v>
      </c>
      <c r="G63" s="11" t="n">
        <f aca="false">SUMIFS(G$9:G$52,$AT$9:$AT$52,"S&amp;M",$AU$9:$AU$52,"Student")</f>
        <v>0</v>
      </c>
      <c r="H63" s="11" t="n">
        <f aca="false">SUMIFS(H$9:H$52,$AT$9:$AT$52,"S&amp;M",$AU$9:$AU$52,"Student")</f>
        <v>0</v>
      </c>
      <c r="I63" s="11" t="n">
        <f aca="false">SUMIFS(I$9:I$52,$AT$9:$AT$52,"S&amp;M",$AU$9:$AU$52,"Student")</f>
        <v>0</v>
      </c>
      <c r="J63" s="11" t="n">
        <f aca="false">SUMIFS(J$9:J$52,$AT$9:$AT$52,"S&amp;M",$AU$9:$AU$52,"Student")</f>
        <v>0</v>
      </c>
      <c r="K63" s="11" t="n">
        <f aca="false">SUMIFS(K$9:K$52,$AT$9:$AT$52,"S&amp;M",$AU$9:$AU$52,"Student")</f>
        <v>0</v>
      </c>
      <c r="L63" s="11" t="n">
        <f aca="false">SUMIFS(L$9:L$52,$AT$9:$AT$52,"S&amp;M",$AU$9:$AU$52,"Student")</f>
        <v>0</v>
      </c>
      <c r="M63" s="11" t="n">
        <f aca="false">SUMIFS(M$9:M$52,$AT$9:$AT$52,"S&amp;M",$AU$9:$AU$52,"Student")</f>
        <v>0</v>
      </c>
      <c r="N63" s="11" t="n">
        <f aca="false">SUMIFS(N$9:N$52,$AT$9:$AT$52,"S&amp;M",$AU$9:$AU$52,"Student")</f>
        <v>0</v>
      </c>
      <c r="O63" s="11" t="n">
        <f aca="false">SUMIFS(O$9:O$52,$AT$9:$AT$52,"S&amp;M",$AU$9:$AU$52,"Student")</f>
        <v>10000</v>
      </c>
      <c r="P63" s="11" t="n">
        <f aca="false">SUMIFS(P$9:P$52,$AT$9:$AT$52,"S&amp;M",$AU$9:$AU$52,"Student")</f>
        <v>10300</v>
      </c>
      <c r="Q63" s="11" t="n">
        <f aca="false">SUMIFS(Q$9:Q$52,$AT$9:$AT$52,"S&amp;M",$AU$9:$AU$52,"Student")</f>
        <v>10300</v>
      </c>
      <c r="R63" s="11" t="n">
        <f aca="false">SUMIFS(R$9:R$52,$AT$9:$AT$52,"S&amp;M",$AU$9:$AU$52,"Student")</f>
        <v>10300</v>
      </c>
      <c r="S63" s="11" t="n">
        <f aca="false">SUMIFS(S$9:S$52,$AT$9:$AT$52,"S&amp;M",$AU$9:$AU$52,"Student")</f>
        <v>19055</v>
      </c>
      <c r="T63" s="11" t="n">
        <f aca="false">SUMIFS(T$9:T$52,$AT$9:$AT$52,"S&amp;M",$AU$9:$AU$52,"Student")</f>
        <v>19055</v>
      </c>
      <c r="U63" s="11" t="n">
        <f aca="false">SUMIFS(U$9:U$52,$AT$9:$AT$52,"S&amp;M",$AU$9:$AU$52,"Student")</f>
        <v>19055</v>
      </c>
      <c r="V63" s="11" t="n">
        <f aca="false">SUMIFS(V$9:V$52,$AT$9:$AT$52,"S&amp;M",$AU$9:$AU$52,"Student")</f>
        <v>19055</v>
      </c>
      <c r="W63" s="11" t="n">
        <f aca="false">SUMIFS(W$9:W$52,$AT$9:$AT$52,"S&amp;M",$AU$9:$AU$52,"Student")</f>
        <v>19055</v>
      </c>
      <c r="X63" s="11" t="n">
        <f aca="false">SUMIFS(X$9:X$52,$AT$9:$AT$52,"S&amp;M",$AU$9:$AU$52,"Student")</f>
        <v>19055</v>
      </c>
      <c r="Y63" s="11" t="n">
        <f aca="false">SUMIFS(Y$9:Y$52,$AT$9:$AT$52,"S&amp;M",$AU$9:$AU$52,"Student")</f>
        <v>19055</v>
      </c>
      <c r="Z63" s="11" t="n">
        <f aca="false">SUMIFS(Z$9:Z$52,$AT$9:$AT$52,"S&amp;M",$AU$9:$AU$52,"Student")</f>
        <v>19055</v>
      </c>
      <c r="AA63" s="11" t="n">
        <f aca="false">SUMIFS(AA$9:AA$52,$AT$9:$AT$52,"S&amp;M",$AU$9:$AU$52,"Student")</f>
        <v>19055</v>
      </c>
      <c r="AB63" s="11" t="n">
        <f aca="false">SUMIFS(AB$9:AB$52,$AT$9:$AT$52,"S&amp;M",$AU$9:$AU$52,"Student")</f>
        <v>19626.65</v>
      </c>
      <c r="AC63" s="11" t="n">
        <f aca="false">SUMIFS(AC$9:AC$52,$AT$9:$AT$52,"S&amp;M",$AU$9:$AU$52,"Student")</f>
        <v>19626.65</v>
      </c>
      <c r="AD63" s="11" t="n">
        <f aca="false">SUMIFS(AD$9:AD$52,$AT$9:$AT$52,"S&amp;M",$AU$9:$AU$52,"Student")</f>
        <v>19626.65</v>
      </c>
      <c r="AE63" s="11" t="n">
        <f aca="false">SUMIFS(AE$9:AE$52,$AT$9:$AT$52,"S&amp;M",$AU$9:$AU$52,"Student")</f>
        <v>19626.65</v>
      </c>
      <c r="AF63" s="11" t="n">
        <f aca="false">SUMIFS(AF$9:AF$52,$AT$9:$AT$52,"S&amp;M",$AU$9:$AU$52,"Student")</f>
        <v>19626.65</v>
      </c>
      <c r="AG63" s="11" t="n">
        <f aca="false">SUMIFS(AG$9:AG$52,$AT$9:$AT$52,"S&amp;M",$AU$9:$AU$52,"Student")</f>
        <v>19626.65</v>
      </c>
      <c r="AH63" s="11" t="n">
        <f aca="false">SUMIFS(AH$9:AH$52,$AT$9:$AT$52,"S&amp;M",$AU$9:$AU$52,"Student")</f>
        <v>19626.65</v>
      </c>
      <c r="AI63" s="11" t="n">
        <f aca="false">SUMIFS(AI$9:AI$52,$AT$9:$AT$52,"S&amp;M",$AU$9:$AU$52,"Student")</f>
        <v>19626.65</v>
      </c>
      <c r="AJ63" s="11" t="n">
        <f aca="false">SUMIFS(AJ$9:AJ$52,$AT$9:$AT$52,"S&amp;M",$AU$9:$AU$52,"Student")</f>
        <v>19626.65</v>
      </c>
      <c r="AK63" s="11" t="n">
        <f aca="false">SUMIFS(AK$9:AK$52,$AT$9:$AT$52,"S&amp;M",$AU$9:$AU$52,"Student")</f>
        <v>19626.65</v>
      </c>
      <c r="AL63" s="11" t="n">
        <f aca="false">SUMIFS(AL$9:AL$52,$AT$9:$AT$52,"S&amp;M",$AU$9:$AU$52,"Student")</f>
        <v>19626.65</v>
      </c>
      <c r="AM63" s="11" t="n">
        <f aca="false">SUMIFS(AM$9:AM$52,$AT$9:$AT$52,"S&amp;M",$AU$9:$AU$52,"Student")</f>
        <v>19626.65</v>
      </c>
    </row>
    <row r="64" customFormat="false" ht="15" hidden="false" customHeight="true" outlineLevel="0" collapsed="false">
      <c r="A64" s="5" t="s">
        <v>1023</v>
      </c>
      <c r="B64" s="10" t="s">
        <v>64</v>
      </c>
      <c r="C64" s="12" t="n">
        <f aca="false">SUM(D64:AM64)</f>
        <v>506389.2</v>
      </c>
      <c r="D64" s="11" t="n">
        <f aca="false">SUMIFS(D$9:D$52,$AT$9:$AT$52,"S&amp;M",$AU$9:$AU$52,"Partner")</f>
        <v>0</v>
      </c>
      <c r="E64" s="11" t="n">
        <f aca="false">SUMIFS(E$9:E$52,$AT$9:$AT$52,"S&amp;M",$AU$9:$AU$52,"Partner")</f>
        <v>0</v>
      </c>
      <c r="F64" s="11" t="n">
        <f aca="false">SUMIFS(F$9:F$52,$AT$9:$AT$52,"S&amp;M",$AU$9:$AU$52,"Partner")</f>
        <v>0</v>
      </c>
      <c r="G64" s="11" t="n">
        <f aca="false">SUMIFS(G$9:G$52,$AT$9:$AT$52,"S&amp;M",$AU$9:$AU$52,"Partner")</f>
        <v>0</v>
      </c>
      <c r="H64" s="11" t="n">
        <f aca="false">SUMIFS(H$9:H$52,$AT$9:$AT$52,"S&amp;M",$AU$9:$AU$52,"Partner")</f>
        <v>0</v>
      </c>
      <c r="I64" s="11" t="n">
        <f aca="false">SUMIFS(I$9:I$52,$AT$9:$AT$52,"S&amp;M",$AU$9:$AU$52,"Partner")</f>
        <v>0</v>
      </c>
      <c r="J64" s="11" t="n">
        <f aca="false">SUMIFS(J$9:J$52,$AT$9:$AT$52,"S&amp;M",$AU$9:$AU$52,"Partner")</f>
        <v>0</v>
      </c>
      <c r="K64" s="11" t="n">
        <f aca="false">SUMIFS(K$9:K$52,$AT$9:$AT$52,"S&amp;M",$AU$9:$AU$52,"Partner")</f>
        <v>0</v>
      </c>
      <c r="L64" s="11" t="n">
        <f aca="false">SUMIFS(L$9:L$52,$AT$9:$AT$52,"S&amp;M",$AU$9:$AU$52,"Partner")</f>
        <v>0</v>
      </c>
      <c r="M64" s="11" t="n">
        <f aca="false">SUMIFS(M$9:M$52,$AT$9:$AT$52,"S&amp;M",$AU$9:$AU$52,"Partner")</f>
        <v>0</v>
      </c>
      <c r="N64" s="11" t="n">
        <f aca="false">SUMIFS(N$9:N$52,$AT$9:$AT$52,"S&amp;M",$AU$9:$AU$52,"Partner")</f>
        <v>0</v>
      </c>
      <c r="O64" s="11" t="n">
        <f aca="false">SUMIFS(O$9:O$52,$AT$9:$AT$52,"S&amp;M",$AU$9:$AU$52,"Partner")</f>
        <v>0</v>
      </c>
      <c r="P64" s="11" t="n">
        <f aca="false">SUMIFS(P$9:P$52,$AT$9:$AT$52,"S&amp;M",$AU$9:$AU$52,"Partner")</f>
        <v>0</v>
      </c>
      <c r="Q64" s="11" t="n">
        <f aca="false">SUMIFS(Q$9:Q$52,$AT$9:$AT$52,"S&amp;M",$AU$9:$AU$52,"Partner")</f>
        <v>12875</v>
      </c>
      <c r="R64" s="11" t="n">
        <f aca="false">SUMIFS(R$9:R$52,$AT$9:$AT$52,"S&amp;M",$AU$9:$AU$52,"Partner")</f>
        <v>12875</v>
      </c>
      <c r="S64" s="11" t="n">
        <f aca="false">SUMIFS(S$9:S$52,$AT$9:$AT$52,"S&amp;M",$AU$9:$AU$52,"Partner")</f>
        <v>12875</v>
      </c>
      <c r="T64" s="11" t="n">
        <f aca="false">SUMIFS(T$9:T$52,$AT$9:$AT$52,"S&amp;M",$AU$9:$AU$52,"Partner")</f>
        <v>12875</v>
      </c>
      <c r="U64" s="11" t="n">
        <f aca="false">SUMIFS(U$9:U$52,$AT$9:$AT$52,"S&amp;M",$AU$9:$AU$52,"Partner")</f>
        <v>12875</v>
      </c>
      <c r="V64" s="11" t="n">
        <f aca="false">SUMIFS(V$9:V$52,$AT$9:$AT$52,"S&amp;M",$AU$9:$AU$52,"Partner")</f>
        <v>12875</v>
      </c>
      <c r="W64" s="11" t="n">
        <f aca="false">SUMIFS(W$9:W$52,$AT$9:$AT$52,"S&amp;M",$AU$9:$AU$52,"Partner")</f>
        <v>24720</v>
      </c>
      <c r="X64" s="11" t="n">
        <f aca="false">SUMIFS(X$9:X$52,$AT$9:$AT$52,"S&amp;M",$AU$9:$AU$52,"Partner")</f>
        <v>24720</v>
      </c>
      <c r="Y64" s="11" t="n">
        <f aca="false">SUMIFS(Y$9:Y$52,$AT$9:$AT$52,"S&amp;M",$AU$9:$AU$52,"Partner")</f>
        <v>24720</v>
      </c>
      <c r="Z64" s="11" t="n">
        <f aca="false">SUMIFS(Z$9:Z$52,$AT$9:$AT$52,"S&amp;M",$AU$9:$AU$52,"Partner")</f>
        <v>24720</v>
      </c>
      <c r="AA64" s="11" t="n">
        <f aca="false">SUMIFS(AA$9:AA$52,$AT$9:$AT$52,"S&amp;M",$AU$9:$AU$52,"Partner")</f>
        <v>24720</v>
      </c>
      <c r="AB64" s="11" t="n">
        <f aca="false">SUMIFS(AB$9:AB$52,$AT$9:$AT$52,"S&amp;M",$AU$9:$AU$52,"Partner")</f>
        <v>25461.6</v>
      </c>
      <c r="AC64" s="11" t="n">
        <f aca="false">SUMIFS(AC$9:AC$52,$AT$9:$AT$52,"S&amp;M",$AU$9:$AU$52,"Partner")</f>
        <v>25461.6</v>
      </c>
      <c r="AD64" s="11" t="n">
        <f aca="false">SUMIFS(AD$9:AD$52,$AT$9:$AT$52,"S&amp;M",$AU$9:$AU$52,"Partner")</f>
        <v>25461.6</v>
      </c>
      <c r="AE64" s="11" t="n">
        <f aca="false">SUMIFS(AE$9:AE$52,$AT$9:$AT$52,"S&amp;M",$AU$9:$AU$52,"Partner")</f>
        <v>25461.6</v>
      </c>
      <c r="AF64" s="11" t="n">
        <f aca="false">SUMIFS(AF$9:AF$52,$AT$9:$AT$52,"S&amp;M",$AU$9:$AU$52,"Partner")</f>
        <v>25461.6</v>
      </c>
      <c r="AG64" s="11" t="n">
        <f aca="false">SUMIFS(AG$9:AG$52,$AT$9:$AT$52,"S&amp;M",$AU$9:$AU$52,"Partner")</f>
        <v>25461.6</v>
      </c>
      <c r="AH64" s="11" t="n">
        <f aca="false">SUMIFS(AH$9:AH$52,$AT$9:$AT$52,"S&amp;M",$AU$9:$AU$52,"Partner")</f>
        <v>25461.6</v>
      </c>
      <c r="AI64" s="11" t="n">
        <f aca="false">SUMIFS(AI$9:AI$52,$AT$9:$AT$52,"S&amp;M",$AU$9:$AU$52,"Partner")</f>
        <v>25461.6</v>
      </c>
      <c r="AJ64" s="11" t="n">
        <f aca="false">SUMIFS(AJ$9:AJ$52,$AT$9:$AT$52,"S&amp;M",$AU$9:$AU$52,"Partner")</f>
        <v>25461.6</v>
      </c>
      <c r="AK64" s="11" t="n">
        <f aca="false">SUMIFS(AK$9:AK$52,$AT$9:$AT$52,"S&amp;M",$AU$9:$AU$52,"Partner")</f>
        <v>25461.6</v>
      </c>
      <c r="AL64" s="11" t="n">
        <f aca="false">SUMIFS(AL$9:AL$52,$AT$9:$AT$52,"S&amp;M",$AU$9:$AU$52,"Partner")</f>
        <v>25461.6</v>
      </c>
      <c r="AM64" s="11" t="n">
        <f aca="false">SUMIFS(AM$9:AM$52,$AT$9:$AT$52,"S&amp;M",$AU$9:$AU$52,"Partner")</f>
        <v>25461.6</v>
      </c>
    </row>
    <row r="65" customFormat="false" ht="15" hidden="false" customHeight="true" outlineLevel="0" collapsed="false">
      <c r="A65" s="5" t="s">
        <v>1024</v>
      </c>
      <c r="B65" s="10" t="s">
        <v>64</v>
      </c>
      <c r="C65" s="12" t="n">
        <f aca="false">SUM(D65:AM65)</f>
        <v>421271.2</v>
      </c>
      <c r="D65" s="11" t="n">
        <f aca="false">SUMIFS(D$9:D$52,$AT$9:$AT$52,"S&amp;M",$AU$9:$AU$52,"Shared")</f>
        <v>0</v>
      </c>
      <c r="E65" s="11" t="n">
        <f aca="false">SUMIFS(E$9:E$52,$AT$9:$AT$52,"S&amp;M",$AU$9:$AU$52,"Shared")</f>
        <v>0</v>
      </c>
      <c r="F65" s="11" t="n">
        <f aca="false">SUMIFS(F$9:F$52,$AT$9:$AT$52,"S&amp;M",$AU$9:$AU$52,"Shared")</f>
        <v>0</v>
      </c>
      <c r="G65" s="11" t="n">
        <f aca="false">SUMIFS(G$9:G$52,$AT$9:$AT$52,"S&amp;M",$AU$9:$AU$52,"Shared")</f>
        <v>0</v>
      </c>
      <c r="H65" s="11" t="n">
        <f aca="false">SUMIFS(H$9:H$52,$AT$9:$AT$52,"S&amp;M",$AU$9:$AU$52,"Shared")</f>
        <v>0</v>
      </c>
      <c r="I65" s="11" t="n">
        <f aca="false">SUMIFS(I$9:I$52,$AT$9:$AT$52,"S&amp;M",$AU$9:$AU$52,"Shared")</f>
        <v>0</v>
      </c>
      <c r="J65" s="11" t="n">
        <f aca="false">SUMIFS(J$9:J$52,$AT$9:$AT$52,"S&amp;M",$AU$9:$AU$52,"Shared")</f>
        <v>0</v>
      </c>
      <c r="K65" s="11" t="n">
        <f aca="false">SUMIFS(K$9:K$52,$AT$9:$AT$52,"S&amp;M",$AU$9:$AU$52,"Shared")</f>
        <v>14000</v>
      </c>
      <c r="L65" s="11" t="n">
        <f aca="false">SUMIFS(L$9:L$52,$AT$9:$AT$52,"S&amp;M",$AU$9:$AU$52,"Shared")</f>
        <v>14000</v>
      </c>
      <c r="M65" s="11" t="n">
        <f aca="false">SUMIFS(M$9:M$52,$AT$9:$AT$52,"S&amp;M",$AU$9:$AU$52,"Shared")</f>
        <v>14000</v>
      </c>
      <c r="N65" s="11" t="n">
        <f aca="false">SUMIFS(N$9:N$52,$AT$9:$AT$52,"S&amp;M",$AU$9:$AU$52,"Shared")</f>
        <v>14000</v>
      </c>
      <c r="O65" s="11" t="n">
        <f aca="false">SUMIFS(O$9:O$52,$AT$9:$AT$52,"S&amp;M",$AU$9:$AU$52,"Shared")</f>
        <v>14000</v>
      </c>
      <c r="P65" s="11" t="n">
        <f aca="false">SUMIFS(P$9:P$52,$AT$9:$AT$52,"S&amp;M",$AU$9:$AU$52,"Shared")</f>
        <v>14420</v>
      </c>
      <c r="Q65" s="11" t="n">
        <f aca="false">SUMIFS(Q$9:Q$52,$AT$9:$AT$52,"S&amp;M",$AU$9:$AU$52,"Shared")</f>
        <v>14420</v>
      </c>
      <c r="R65" s="11" t="n">
        <f aca="false">SUMIFS(R$9:R$52,$AT$9:$AT$52,"S&amp;M",$AU$9:$AU$52,"Shared")</f>
        <v>14420</v>
      </c>
      <c r="S65" s="11" t="n">
        <f aca="false">SUMIFS(S$9:S$52,$AT$9:$AT$52,"S&amp;M",$AU$9:$AU$52,"Shared")</f>
        <v>14420</v>
      </c>
      <c r="T65" s="11" t="n">
        <f aca="false">SUMIFS(T$9:T$52,$AT$9:$AT$52,"S&amp;M",$AU$9:$AU$52,"Shared")</f>
        <v>14420</v>
      </c>
      <c r="U65" s="11" t="n">
        <f aca="false">SUMIFS(U$9:U$52,$AT$9:$AT$52,"S&amp;M",$AU$9:$AU$52,"Shared")</f>
        <v>14420</v>
      </c>
      <c r="V65" s="11" t="n">
        <f aca="false">SUMIFS(V$9:V$52,$AT$9:$AT$52,"S&amp;M",$AU$9:$AU$52,"Shared")</f>
        <v>14420</v>
      </c>
      <c r="W65" s="11" t="n">
        <f aca="false">SUMIFS(W$9:W$52,$AT$9:$AT$52,"S&amp;M",$AU$9:$AU$52,"Shared")</f>
        <v>14420</v>
      </c>
      <c r="X65" s="11" t="n">
        <f aca="false">SUMIFS(X$9:X$52,$AT$9:$AT$52,"S&amp;M",$AU$9:$AU$52,"Shared")</f>
        <v>14420</v>
      </c>
      <c r="Y65" s="11" t="n">
        <f aca="false">SUMIFS(Y$9:Y$52,$AT$9:$AT$52,"S&amp;M",$AU$9:$AU$52,"Shared")</f>
        <v>14420</v>
      </c>
      <c r="Z65" s="11" t="n">
        <f aca="false">SUMIFS(Z$9:Z$52,$AT$9:$AT$52,"S&amp;M",$AU$9:$AU$52,"Shared")</f>
        <v>14420</v>
      </c>
      <c r="AA65" s="11" t="n">
        <f aca="false">SUMIFS(AA$9:AA$52,$AT$9:$AT$52,"S&amp;M",$AU$9:$AU$52,"Shared")</f>
        <v>14420</v>
      </c>
      <c r="AB65" s="11" t="n">
        <f aca="false">SUMIFS(AB$9:AB$52,$AT$9:$AT$52,"S&amp;M",$AU$9:$AU$52,"Shared")</f>
        <v>14852.6</v>
      </c>
      <c r="AC65" s="11" t="n">
        <f aca="false">SUMIFS(AC$9:AC$52,$AT$9:$AT$52,"S&amp;M",$AU$9:$AU$52,"Shared")</f>
        <v>14852.6</v>
      </c>
      <c r="AD65" s="11" t="n">
        <f aca="false">SUMIFS(AD$9:AD$52,$AT$9:$AT$52,"S&amp;M",$AU$9:$AU$52,"Shared")</f>
        <v>14852.6</v>
      </c>
      <c r="AE65" s="11" t="n">
        <f aca="false">SUMIFS(AE$9:AE$52,$AT$9:$AT$52,"S&amp;M",$AU$9:$AU$52,"Shared")</f>
        <v>14852.6</v>
      </c>
      <c r="AF65" s="11" t="n">
        <f aca="false">SUMIFS(AF$9:AF$52,$AT$9:$AT$52,"S&amp;M",$AU$9:$AU$52,"Shared")</f>
        <v>14852.6</v>
      </c>
      <c r="AG65" s="11" t="n">
        <f aca="false">SUMIFS(AG$9:AG$52,$AT$9:$AT$52,"S&amp;M",$AU$9:$AU$52,"Shared")</f>
        <v>14852.6</v>
      </c>
      <c r="AH65" s="11" t="n">
        <f aca="false">SUMIFS(AH$9:AH$52,$AT$9:$AT$52,"S&amp;M",$AU$9:$AU$52,"Shared")</f>
        <v>14852.6</v>
      </c>
      <c r="AI65" s="11" t="n">
        <f aca="false">SUMIFS(AI$9:AI$52,$AT$9:$AT$52,"S&amp;M",$AU$9:$AU$52,"Shared")</f>
        <v>14852.6</v>
      </c>
      <c r="AJ65" s="11" t="n">
        <f aca="false">SUMIFS(AJ$9:AJ$52,$AT$9:$AT$52,"S&amp;M",$AU$9:$AU$52,"Shared")</f>
        <v>14852.6</v>
      </c>
      <c r="AK65" s="11" t="n">
        <f aca="false">SUMIFS(AK$9:AK$52,$AT$9:$AT$52,"S&amp;M",$AU$9:$AU$52,"Shared")</f>
        <v>14852.6</v>
      </c>
      <c r="AL65" s="11" t="n">
        <f aca="false">SUMIFS(AL$9:AL$52,$AT$9:$AT$52,"S&amp;M",$AU$9:$AU$52,"Shared")</f>
        <v>14852.6</v>
      </c>
      <c r="AM65" s="11" t="n">
        <f aca="false">SUMIFS(AM$9:AM$52,$AT$9:$AT$52,"S&amp;M",$AU$9:$AU$52,"Shared")</f>
        <v>14852.6</v>
      </c>
    </row>
    <row r="67" customFormat="false" ht="15" hidden="false" customHeight="true" outlineLevel="0" collapsed="false">
      <c r="A67" s="8" t="s">
        <v>1025</v>
      </c>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row>
    <row r="68" customFormat="false" ht="15" hidden="false" customHeight="true" outlineLevel="0" collapsed="false">
      <c r="A68" s="5" t="s">
        <v>80</v>
      </c>
      <c r="B68" s="10" t="s">
        <v>98</v>
      </c>
      <c r="C68" s="19" t="n">
        <f aca="false">AM68</f>
        <v>26</v>
      </c>
      <c r="D68" s="18" t="n">
        <f aca="false">SUMPRODUCT(($AT$9:$AT$52="R&amp;D")*$AO$9:$AO$52*((D$3&gt;=$AP$9:$AP$52+$AQ$9:$AQ$52*Scenario_Control!$M$19)*1))</f>
        <v>1</v>
      </c>
      <c r="E68" s="18" t="n">
        <f aca="false">SUMPRODUCT(($AT$9:$AT$52="R&amp;D")*$AO$9:$AO$52*((E$3&gt;=$AP$9:$AP$52+$AQ$9:$AQ$52*Scenario_Control!$M$19)*1))</f>
        <v>1</v>
      </c>
      <c r="F68" s="18" t="n">
        <f aca="false">SUMPRODUCT(($AT$9:$AT$52="R&amp;D")*$AO$9:$AO$52*((F$3&gt;=$AP$9:$AP$52+$AQ$9:$AQ$52*Scenario_Control!$M$19)*1))</f>
        <v>2</v>
      </c>
      <c r="G68" s="18" t="n">
        <f aca="false">SUMPRODUCT(($AT$9:$AT$52="R&amp;D")*$AO$9:$AO$52*((G$3&gt;=$AP$9:$AP$52+$AQ$9:$AQ$52*Scenario_Control!$M$19)*1))</f>
        <v>3</v>
      </c>
      <c r="H68" s="18" t="n">
        <f aca="false">SUMPRODUCT(($AT$9:$AT$52="R&amp;D")*$AO$9:$AO$52*((H$3&gt;=$AP$9:$AP$52+$AQ$9:$AQ$52*Scenario_Control!$M$19)*1))</f>
        <v>5</v>
      </c>
      <c r="I68" s="18" t="n">
        <f aca="false">SUMPRODUCT(($AT$9:$AT$52="R&amp;D")*$AO$9:$AO$52*((I$3&gt;=$AP$9:$AP$52+$AQ$9:$AQ$52*Scenario_Control!$M$19)*1))</f>
        <v>8</v>
      </c>
      <c r="J68" s="18" t="n">
        <f aca="false">SUMPRODUCT(($AT$9:$AT$52="R&amp;D")*$AO$9:$AO$52*((J$3&gt;=$AP$9:$AP$52+$AQ$9:$AQ$52*Scenario_Control!$M$19)*1))</f>
        <v>8</v>
      </c>
      <c r="K68" s="18" t="n">
        <f aca="false">SUMPRODUCT(($AT$9:$AT$52="R&amp;D")*$AO$9:$AO$52*((K$3&gt;=$AP$9:$AP$52+$AQ$9:$AQ$52*Scenario_Control!$M$19)*1))</f>
        <v>9</v>
      </c>
      <c r="L68" s="18" t="n">
        <f aca="false">SUMPRODUCT(($AT$9:$AT$52="R&amp;D")*$AO$9:$AO$52*((L$3&gt;=$AP$9:$AP$52+$AQ$9:$AQ$52*Scenario_Control!$M$19)*1))</f>
        <v>12</v>
      </c>
      <c r="M68" s="18" t="n">
        <f aca="false">SUMPRODUCT(($AT$9:$AT$52="R&amp;D")*$AO$9:$AO$52*((M$3&gt;=$AP$9:$AP$52+$AQ$9:$AQ$52*Scenario_Control!$M$19)*1))</f>
        <v>13</v>
      </c>
      <c r="N68" s="18" t="n">
        <f aca="false">SUMPRODUCT(($AT$9:$AT$52="R&amp;D")*$AO$9:$AO$52*((N$3&gt;=$AP$9:$AP$52+$AQ$9:$AQ$52*Scenario_Control!$M$19)*1))</f>
        <v>13</v>
      </c>
      <c r="O68" s="18" t="n">
        <f aca="false">SUMPRODUCT(($AT$9:$AT$52="R&amp;D")*$AO$9:$AO$52*((O$3&gt;=$AP$9:$AP$52+$AQ$9:$AQ$52*Scenario_Control!$M$19)*1))</f>
        <v>16</v>
      </c>
      <c r="P68" s="18" t="n">
        <f aca="false">SUMPRODUCT(($AT$9:$AT$52="R&amp;D")*$AO$9:$AO$52*((P$3&gt;=$AP$9:$AP$52+$AQ$9:$AQ$52*Scenario_Control!$M$19)*1))</f>
        <v>17</v>
      </c>
      <c r="Q68" s="18" t="n">
        <f aca="false">SUMPRODUCT(($AT$9:$AT$52="R&amp;D")*$AO$9:$AO$52*((Q$3&gt;=$AP$9:$AP$52+$AQ$9:$AQ$52*Scenario_Control!$M$19)*1))</f>
        <v>17</v>
      </c>
      <c r="R68" s="18" t="n">
        <f aca="false">SUMPRODUCT(($AT$9:$AT$52="R&amp;D")*$AO$9:$AO$52*((R$3&gt;=$AP$9:$AP$52+$AQ$9:$AQ$52*Scenario_Control!$M$19)*1))</f>
        <v>19</v>
      </c>
      <c r="S68" s="18" t="n">
        <f aca="false">SUMPRODUCT(($AT$9:$AT$52="R&amp;D")*$AO$9:$AO$52*((S$3&gt;=$AP$9:$AP$52+$AQ$9:$AQ$52*Scenario_Control!$M$19)*1))</f>
        <v>20</v>
      </c>
      <c r="T68" s="18" t="n">
        <f aca="false">SUMPRODUCT(($AT$9:$AT$52="R&amp;D")*$AO$9:$AO$52*((T$3&gt;=$AP$9:$AP$52+$AQ$9:$AQ$52*Scenario_Control!$M$19)*1))</f>
        <v>20</v>
      </c>
      <c r="U68" s="18" t="n">
        <f aca="false">SUMPRODUCT(($AT$9:$AT$52="R&amp;D")*$AO$9:$AO$52*((U$3&gt;=$AP$9:$AP$52+$AQ$9:$AQ$52*Scenario_Control!$M$19)*1))</f>
        <v>21</v>
      </c>
      <c r="V68" s="18" t="n">
        <f aca="false">SUMPRODUCT(($AT$9:$AT$52="R&amp;D")*$AO$9:$AO$52*((V$3&gt;=$AP$9:$AP$52+$AQ$9:$AQ$52*Scenario_Control!$M$19)*1))</f>
        <v>21</v>
      </c>
      <c r="W68" s="18" t="n">
        <f aca="false">SUMPRODUCT(($AT$9:$AT$52="R&amp;D")*$AO$9:$AO$52*((W$3&gt;=$AP$9:$AP$52+$AQ$9:$AQ$52*Scenario_Control!$M$19)*1))</f>
        <v>22</v>
      </c>
      <c r="X68" s="18" t="n">
        <f aca="false">SUMPRODUCT(($AT$9:$AT$52="R&amp;D")*$AO$9:$AO$52*((X$3&gt;=$AP$9:$AP$52+$AQ$9:$AQ$52*Scenario_Control!$M$19)*1))</f>
        <v>22</v>
      </c>
      <c r="Y68" s="18" t="n">
        <f aca="false">SUMPRODUCT(($AT$9:$AT$52="R&amp;D")*$AO$9:$AO$52*((Y$3&gt;=$AP$9:$AP$52+$AQ$9:$AQ$52*Scenario_Control!$M$19)*1))</f>
        <v>22</v>
      </c>
      <c r="Z68" s="18" t="n">
        <f aca="false">SUMPRODUCT(($AT$9:$AT$52="R&amp;D")*$AO$9:$AO$52*((Z$3&gt;=$AP$9:$AP$52+$AQ$9:$AQ$52*Scenario_Control!$M$19)*1))</f>
        <v>22</v>
      </c>
      <c r="AA68" s="18" t="n">
        <f aca="false">SUMPRODUCT(($AT$9:$AT$52="R&amp;D")*$AO$9:$AO$52*((AA$3&gt;=$AP$9:$AP$52+$AQ$9:$AQ$52*Scenario_Control!$M$19)*1))</f>
        <v>23</v>
      </c>
      <c r="AB68" s="18" t="n">
        <f aca="false">SUMPRODUCT(($AT$9:$AT$52="R&amp;D")*$AO$9:$AO$52*((AB$3&gt;=$AP$9:$AP$52+$AQ$9:$AQ$52*Scenario_Control!$M$19)*1))</f>
        <v>24</v>
      </c>
      <c r="AC68" s="18" t="n">
        <f aca="false">SUMPRODUCT(($AT$9:$AT$52="R&amp;D")*$AO$9:$AO$52*((AC$3&gt;=$AP$9:$AP$52+$AQ$9:$AQ$52*Scenario_Control!$M$19)*1))</f>
        <v>24</v>
      </c>
      <c r="AD68" s="18" t="n">
        <f aca="false">SUMPRODUCT(($AT$9:$AT$52="R&amp;D")*$AO$9:$AO$52*((AD$3&gt;=$AP$9:$AP$52+$AQ$9:$AQ$52*Scenario_Control!$M$19)*1))</f>
        <v>26</v>
      </c>
      <c r="AE68" s="18" t="n">
        <f aca="false">SUMPRODUCT(($AT$9:$AT$52="R&amp;D")*$AO$9:$AO$52*((AE$3&gt;=$AP$9:$AP$52+$AQ$9:$AQ$52*Scenario_Control!$M$19)*1))</f>
        <v>26</v>
      </c>
      <c r="AF68" s="18" t="n">
        <f aca="false">SUMPRODUCT(($AT$9:$AT$52="R&amp;D")*$AO$9:$AO$52*((AF$3&gt;=$AP$9:$AP$52+$AQ$9:$AQ$52*Scenario_Control!$M$19)*1))</f>
        <v>26</v>
      </c>
      <c r="AG68" s="18" t="n">
        <f aca="false">SUMPRODUCT(($AT$9:$AT$52="R&amp;D")*$AO$9:$AO$52*((AG$3&gt;=$AP$9:$AP$52+$AQ$9:$AQ$52*Scenario_Control!$M$19)*1))</f>
        <v>26</v>
      </c>
      <c r="AH68" s="18" t="n">
        <f aca="false">SUMPRODUCT(($AT$9:$AT$52="R&amp;D")*$AO$9:$AO$52*((AH$3&gt;=$AP$9:$AP$52+$AQ$9:$AQ$52*Scenario_Control!$M$19)*1))</f>
        <v>26</v>
      </c>
      <c r="AI68" s="18" t="n">
        <f aca="false">SUMPRODUCT(($AT$9:$AT$52="R&amp;D")*$AO$9:$AO$52*((AI$3&gt;=$AP$9:$AP$52+$AQ$9:$AQ$52*Scenario_Control!$M$19)*1))</f>
        <v>26</v>
      </c>
      <c r="AJ68" s="18" t="n">
        <f aca="false">SUMPRODUCT(($AT$9:$AT$52="R&amp;D")*$AO$9:$AO$52*((AJ$3&gt;=$AP$9:$AP$52+$AQ$9:$AQ$52*Scenario_Control!$M$19)*1))</f>
        <v>26</v>
      </c>
      <c r="AK68" s="18" t="n">
        <f aca="false">SUMPRODUCT(($AT$9:$AT$52="R&amp;D")*$AO$9:$AO$52*((AK$3&gt;=$AP$9:$AP$52+$AQ$9:$AQ$52*Scenario_Control!$M$19)*1))</f>
        <v>26</v>
      </c>
      <c r="AL68" s="18" t="n">
        <f aca="false">SUMPRODUCT(($AT$9:$AT$52="R&amp;D")*$AO$9:$AO$52*((AL$3&gt;=$AP$9:$AP$52+$AQ$9:$AQ$52*Scenario_Control!$M$19)*1))</f>
        <v>26</v>
      </c>
      <c r="AM68" s="18" t="n">
        <f aca="false">SUMPRODUCT(($AT$9:$AT$52="R&amp;D")*$AO$9:$AO$52*((AM$3&gt;=$AP$9:$AP$52+$AQ$9:$AQ$52*Scenario_Control!$M$19)*1))</f>
        <v>26</v>
      </c>
    </row>
    <row r="69" customFormat="false" ht="15" hidden="false" customHeight="true" outlineLevel="0" collapsed="false">
      <c r="A69" s="5" t="s">
        <v>81</v>
      </c>
      <c r="B69" s="10" t="s">
        <v>98</v>
      </c>
      <c r="C69" s="19" t="n">
        <f aca="false">AM69</f>
        <v>14</v>
      </c>
      <c r="D69" s="18" t="n">
        <f aca="false">SUMPRODUCT(($AT$9:$AT$52="S&amp;M")*$AO$9:$AO$52*((D$3&gt;=$AP$9:$AP$52+$AQ$9:$AQ$52*Scenario_Control!$M$19)*1))</f>
        <v>0</v>
      </c>
      <c r="E69" s="18" t="n">
        <f aca="false">SUMPRODUCT(($AT$9:$AT$52="S&amp;M")*$AO$9:$AO$52*((E$3&gt;=$AP$9:$AP$52+$AQ$9:$AQ$52*Scenario_Control!$M$19)*1))</f>
        <v>0</v>
      </c>
      <c r="F69" s="18" t="n">
        <f aca="false">SUMPRODUCT(($AT$9:$AT$52="S&amp;M")*$AO$9:$AO$52*((F$3&gt;=$AP$9:$AP$52+$AQ$9:$AQ$52*Scenario_Control!$M$19)*1))</f>
        <v>0</v>
      </c>
      <c r="G69" s="18" t="n">
        <f aca="false">SUMPRODUCT(($AT$9:$AT$52="S&amp;M")*$AO$9:$AO$52*((G$3&gt;=$AP$9:$AP$52+$AQ$9:$AQ$52*Scenario_Control!$M$19)*1))</f>
        <v>0</v>
      </c>
      <c r="H69" s="18" t="n">
        <f aca="false">SUMPRODUCT(($AT$9:$AT$52="S&amp;M")*$AO$9:$AO$52*((H$3&gt;=$AP$9:$AP$52+$AQ$9:$AQ$52*Scenario_Control!$M$19)*1))</f>
        <v>0</v>
      </c>
      <c r="I69" s="18" t="n">
        <f aca="false">SUMPRODUCT(($AT$9:$AT$52="S&amp;M")*$AO$9:$AO$52*((I$3&gt;=$AP$9:$AP$52+$AQ$9:$AQ$52*Scenario_Control!$M$19)*1))</f>
        <v>0</v>
      </c>
      <c r="J69" s="18" t="n">
        <f aca="false">SUMPRODUCT(($AT$9:$AT$52="S&amp;M")*$AO$9:$AO$52*((J$3&gt;=$AP$9:$AP$52+$AQ$9:$AQ$52*Scenario_Control!$M$19)*1))</f>
        <v>0</v>
      </c>
      <c r="K69" s="18" t="n">
        <f aca="false">SUMPRODUCT(($AT$9:$AT$52="S&amp;M")*$AO$9:$AO$52*((K$3&gt;=$AP$9:$AP$52+$AQ$9:$AQ$52*Scenario_Control!$M$19)*1))</f>
        <v>2</v>
      </c>
      <c r="L69" s="18" t="n">
        <f aca="false">SUMPRODUCT(($AT$9:$AT$52="S&amp;M")*$AO$9:$AO$52*((L$3&gt;=$AP$9:$AP$52+$AQ$9:$AQ$52*Scenario_Control!$M$19)*1))</f>
        <v>2</v>
      </c>
      <c r="M69" s="18" t="n">
        <f aca="false">SUMPRODUCT(($AT$9:$AT$52="S&amp;M")*$AO$9:$AO$52*((M$3&gt;=$AP$9:$AP$52+$AQ$9:$AQ$52*Scenario_Control!$M$19)*1))</f>
        <v>3</v>
      </c>
      <c r="N69" s="18" t="n">
        <f aca="false">SUMPRODUCT(($AT$9:$AT$52="S&amp;M")*$AO$9:$AO$52*((N$3&gt;=$AP$9:$AP$52+$AQ$9:$AQ$52*Scenario_Control!$M$19)*1))</f>
        <v>4</v>
      </c>
      <c r="O69" s="18" t="n">
        <f aca="false">SUMPRODUCT(($AT$9:$AT$52="S&amp;M")*$AO$9:$AO$52*((O$3&gt;=$AP$9:$AP$52+$AQ$9:$AQ$52*Scenario_Control!$M$19)*1))</f>
        <v>5</v>
      </c>
      <c r="P69" s="18" t="n">
        <f aca="false">SUMPRODUCT(($AT$9:$AT$52="S&amp;M")*$AO$9:$AO$52*((P$3&gt;=$AP$9:$AP$52+$AQ$9:$AQ$52*Scenario_Control!$M$19)*1))</f>
        <v>5</v>
      </c>
      <c r="Q69" s="18" t="n">
        <f aca="false">SUMPRODUCT(($AT$9:$AT$52="S&amp;M")*$AO$9:$AO$52*((Q$3&gt;=$AP$9:$AP$52+$AQ$9:$AQ$52*Scenario_Control!$M$19)*1))</f>
        <v>7</v>
      </c>
      <c r="R69" s="18" t="n">
        <f aca="false">SUMPRODUCT(($AT$9:$AT$52="S&amp;M")*$AO$9:$AO$52*((R$3&gt;=$AP$9:$AP$52+$AQ$9:$AQ$52*Scenario_Control!$M$19)*1))</f>
        <v>8</v>
      </c>
      <c r="S69" s="18" t="n">
        <f aca="false">SUMPRODUCT(($AT$9:$AT$52="S&amp;M")*$AO$9:$AO$52*((S$3&gt;=$AP$9:$AP$52+$AQ$9:$AQ$52*Scenario_Control!$M$19)*1))</f>
        <v>9</v>
      </c>
      <c r="T69" s="18" t="n">
        <f aca="false">SUMPRODUCT(($AT$9:$AT$52="S&amp;M")*$AO$9:$AO$52*((T$3&gt;=$AP$9:$AP$52+$AQ$9:$AQ$52*Scenario_Control!$M$19)*1))</f>
        <v>9</v>
      </c>
      <c r="U69" s="18" t="n">
        <f aca="false">SUMPRODUCT(($AT$9:$AT$52="S&amp;M")*$AO$9:$AO$52*((U$3&gt;=$AP$9:$AP$52+$AQ$9:$AQ$52*Scenario_Control!$M$19)*1))</f>
        <v>9</v>
      </c>
      <c r="V69" s="18" t="n">
        <f aca="false">SUMPRODUCT(($AT$9:$AT$52="S&amp;M")*$AO$9:$AO$52*((V$3&gt;=$AP$9:$AP$52+$AQ$9:$AQ$52*Scenario_Control!$M$19)*1))</f>
        <v>9</v>
      </c>
      <c r="W69" s="18" t="n">
        <f aca="false">SUMPRODUCT(($AT$9:$AT$52="S&amp;M")*$AO$9:$AO$52*((W$3&gt;=$AP$9:$AP$52+$AQ$9:$AQ$52*Scenario_Control!$M$19)*1))</f>
        <v>10</v>
      </c>
      <c r="X69" s="18" t="n">
        <f aca="false">SUMPRODUCT(($AT$9:$AT$52="S&amp;M")*$AO$9:$AO$52*((X$3&gt;=$AP$9:$AP$52+$AQ$9:$AQ$52*Scenario_Control!$M$19)*1))</f>
        <v>11</v>
      </c>
      <c r="Y69" s="18" t="n">
        <f aca="false">SUMPRODUCT(($AT$9:$AT$52="S&amp;M")*$AO$9:$AO$52*((Y$3&gt;=$AP$9:$AP$52+$AQ$9:$AQ$52*Scenario_Control!$M$19)*1))</f>
        <v>12</v>
      </c>
      <c r="Z69" s="18" t="n">
        <f aca="false">SUMPRODUCT(($AT$9:$AT$52="S&amp;M")*$AO$9:$AO$52*((Z$3&gt;=$AP$9:$AP$52+$AQ$9:$AQ$52*Scenario_Control!$M$19)*1))</f>
        <v>12</v>
      </c>
      <c r="AA69" s="18" t="n">
        <f aca="false">SUMPRODUCT(($AT$9:$AT$52="S&amp;M")*$AO$9:$AO$52*((AA$3&gt;=$AP$9:$AP$52+$AQ$9:$AQ$52*Scenario_Control!$M$19)*1))</f>
        <v>12</v>
      </c>
      <c r="AB69" s="18" t="n">
        <f aca="false">SUMPRODUCT(($AT$9:$AT$52="S&amp;M")*$AO$9:$AO$52*((AB$3&gt;=$AP$9:$AP$52+$AQ$9:$AQ$52*Scenario_Control!$M$19)*1))</f>
        <v>12</v>
      </c>
      <c r="AC69" s="18" t="n">
        <f aca="false">SUMPRODUCT(($AT$9:$AT$52="S&amp;M")*$AO$9:$AO$52*((AC$3&gt;=$AP$9:$AP$52+$AQ$9:$AQ$52*Scenario_Control!$M$19)*1))</f>
        <v>12</v>
      </c>
      <c r="AD69" s="18" t="n">
        <f aca="false">SUMPRODUCT(($AT$9:$AT$52="S&amp;M")*$AO$9:$AO$52*((AD$3&gt;=$AP$9:$AP$52+$AQ$9:$AQ$52*Scenario_Control!$M$19)*1))</f>
        <v>12</v>
      </c>
      <c r="AE69" s="18" t="n">
        <f aca="false">SUMPRODUCT(($AT$9:$AT$52="S&amp;M")*$AO$9:$AO$52*((AE$3&gt;=$AP$9:$AP$52+$AQ$9:$AQ$52*Scenario_Control!$M$19)*1))</f>
        <v>14</v>
      </c>
      <c r="AF69" s="18" t="n">
        <f aca="false">SUMPRODUCT(($AT$9:$AT$52="S&amp;M")*$AO$9:$AO$52*((AF$3&gt;=$AP$9:$AP$52+$AQ$9:$AQ$52*Scenario_Control!$M$19)*1))</f>
        <v>14</v>
      </c>
      <c r="AG69" s="18" t="n">
        <f aca="false">SUMPRODUCT(($AT$9:$AT$52="S&amp;M")*$AO$9:$AO$52*((AG$3&gt;=$AP$9:$AP$52+$AQ$9:$AQ$52*Scenario_Control!$M$19)*1))</f>
        <v>14</v>
      </c>
      <c r="AH69" s="18" t="n">
        <f aca="false">SUMPRODUCT(($AT$9:$AT$52="S&amp;M")*$AO$9:$AO$52*((AH$3&gt;=$AP$9:$AP$52+$AQ$9:$AQ$52*Scenario_Control!$M$19)*1))</f>
        <v>14</v>
      </c>
      <c r="AI69" s="18" t="n">
        <f aca="false">SUMPRODUCT(($AT$9:$AT$52="S&amp;M")*$AO$9:$AO$52*((AI$3&gt;=$AP$9:$AP$52+$AQ$9:$AQ$52*Scenario_Control!$M$19)*1))</f>
        <v>14</v>
      </c>
      <c r="AJ69" s="18" t="n">
        <f aca="false">SUMPRODUCT(($AT$9:$AT$52="S&amp;M")*$AO$9:$AO$52*((AJ$3&gt;=$AP$9:$AP$52+$AQ$9:$AQ$52*Scenario_Control!$M$19)*1))</f>
        <v>14</v>
      </c>
      <c r="AK69" s="18" t="n">
        <f aca="false">SUMPRODUCT(($AT$9:$AT$52="S&amp;M")*$AO$9:$AO$52*((AK$3&gt;=$AP$9:$AP$52+$AQ$9:$AQ$52*Scenario_Control!$M$19)*1))</f>
        <v>14</v>
      </c>
      <c r="AL69" s="18" t="n">
        <f aca="false">SUMPRODUCT(($AT$9:$AT$52="S&amp;M")*$AO$9:$AO$52*((AL$3&gt;=$AP$9:$AP$52+$AQ$9:$AQ$52*Scenario_Control!$M$19)*1))</f>
        <v>14</v>
      </c>
      <c r="AM69" s="18" t="n">
        <f aca="false">SUMPRODUCT(($AT$9:$AT$52="S&amp;M")*$AO$9:$AO$52*((AM$3&gt;=$AP$9:$AP$52+$AQ$9:$AQ$52*Scenario_Control!$M$19)*1))</f>
        <v>14</v>
      </c>
    </row>
    <row r="70" customFormat="false" ht="15" hidden="false" customHeight="true" outlineLevel="0" collapsed="false">
      <c r="A70" s="5" t="s">
        <v>82</v>
      </c>
      <c r="B70" s="10" t="s">
        <v>98</v>
      </c>
      <c r="C70" s="19" t="n">
        <f aca="false">AM70</f>
        <v>5</v>
      </c>
      <c r="D70" s="18" t="n">
        <f aca="false">SUMPRODUCT(($AT$9:$AT$52="G&amp;A")*$AO$9:$AO$52*((D$3&gt;=$AP$9:$AP$52+$AQ$9:$AQ$52*Scenario_Control!$M$19)*1))</f>
        <v>1</v>
      </c>
      <c r="E70" s="18" t="n">
        <f aca="false">SUMPRODUCT(($AT$9:$AT$52="G&amp;A")*$AO$9:$AO$52*((E$3&gt;=$AP$9:$AP$52+$AQ$9:$AQ$52*Scenario_Control!$M$19)*1))</f>
        <v>1</v>
      </c>
      <c r="F70" s="18" t="n">
        <f aca="false">SUMPRODUCT(($AT$9:$AT$52="G&amp;A")*$AO$9:$AO$52*((F$3&gt;=$AP$9:$AP$52+$AQ$9:$AQ$52*Scenario_Control!$M$19)*1))</f>
        <v>1</v>
      </c>
      <c r="G70" s="18" t="n">
        <f aca="false">SUMPRODUCT(($AT$9:$AT$52="G&amp;A")*$AO$9:$AO$52*((G$3&gt;=$AP$9:$AP$52+$AQ$9:$AQ$52*Scenario_Control!$M$19)*1))</f>
        <v>1</v>
      </c>
      <c r="H70" s="18" t="n">
        <f aca="false">SUMPRODUCT(($AT$9:$AT$52="G&amp;A")*$AO$9:$AO$52*((H$3&gt;=$AP$9:$AP$52+$AQ$9:$AQ$52*Scenario_Control!$M$19)*1))</f>
        <v>1</v>
      </c>
      <c r="I70" s="18" t="n">
        <f aca="false">SUMPRODUCT(($AT$9:$AT$52="G&amp;A")*$AO$9:$AO$52*((I$3&gt;=$AP$9:$AP$52+$AQ$9:$AQ$52*Scenario_Control!$M$19)*1))</f>
        <v>1</v>
      </c>
      <c r="J70" s="18" t="n">
        <f aca="false">SUMPRODUCT(($AT$9:$AT$52="G&amp;A")*$AO$9:$AO$52*((J$3&gt;=$AP$9:$AP$52+$AQ$9:$AQ$52*Scenario_Control!$M$19)*1))</f>
        <v>1</v>
      </c>
      <c r="K70" s="18" t="n">
        <f aca="false">SUMPRODUCT(($AT$9:$AT$52="G&amp;A")*$AO$9:$AO$52*((K$3&gt;=$AP$9:$AP$52+$AQ$9:$AQ$52*Scenario_Control!$M$19)*1))</f>
        <v>1</v>
      </c>
      <c r="L70" s="18" t="n">
        <f aca="false">SUMPRODUCT(($AT$9:$AT$52="G&amp;A")*$AO$9:$AO$52*((L$3&gt;=$AP$9:$AP$52+$AQ$9:$AQ$52*Scenario_Control!$M$19)*1))</f>
        <v>1</v>
      </c>
      <c r="M70" s="18" t="n">
        <f aca="false">SUMPRODUCT(($AT$9:$AT$52="G&amp;A")*$AO$9:$AO$52*((M$3&gt;=$AP$9:$AP$52+$AQ$9:$AQ$52*Scenario_Control!$M$19)*1))</f>
        <v>2</v>
      </c>
      <c r="N70" s="18" t="n">
        <f aca="false">SUMPRODUCT(($AT$9:$AT$52="G&amp;A")*$AO$9:$AO$52*((N$3&gt;=$AP$9:$AP$52+$AQ$9:$AQ$52*Scenario_Control!$M$19)*1))</f>
        <v>2</v>
      </c>
      <c r="O70" s="18" t="n">
        <f aca="false">SUMPRODUCT(($AT$9:$AT$52="G&amp;A")*$AO$9:$AO$52*((O$3&gt;=$AP$9:$AP$52+$AQ$9:$AQ$52*Scenario_Control!$M$19)*1))</f>
        <v>2</v>
      </c>
      <c r="P70" s="18" t="n">
        <f aca="false">SUMPRODUCT(($AT$9:$AT$52="G&amp;A")*$AO$9:$AO$52*((P$3&gt;=$AP$9:$AP$52+$AQ$9:$AQ$52*Scenario_Control!$M$19)*1))</f>
        <v>3</v>
      </c>
      <c r="Q70" s="18" t="n">
        <f aca="false">SUMPRODUCT(($AT$9:$AT$52="G&amp;A")*$AO$9:$AO$52*((Q$3&gt;=$AP$9:$AP$52+$AQ$9:$AQ$52*Scenario_Control!$M$19)*1))</f>
        <v>3</v>
      </c>
      <c r="R70" s="18" t="n">
        <f aca="false">SUMPRODUCT(($AT$9:$AT$52="G&amp;A")*$AO$9:$AO$52*((R$3&gt;=$AP$9:$AP$52+$AQ$9:$AQ$52*Scenario_Control!$M$19)*1))</f>
        <v>3</v>
      </c>
      <c r="S70" s="18" t="n">
        <f aca="false">SUMPRODUCT(($AT$9:$AT$52="G&amp;A")*$AO$9:$AO$52*((S$3&gt;=$AP$9:$AP$52+$AQ$9:$AQ$52*Scenario_Control!$M$19)*1))</f>
        <v>3</v>
      </c>
      <c r="T70" s="18" t="n">
        <f aca="false">SUMPRODUCT(($AT$9:$AT$52="G&amp;A")*$AO$9:$AO$52*((T$3&gt;=$AP$9:$AP$52+$AQ$9:$AQ$52*Scenario_Control!$M$19)*1))</f>
        <v>3</v>
      </c>
      <c r="U70" s="18" t="n">
        <f aca="false">SUMPRODUCT(($AT$9:$AT$52="G&amp;A")*$AO$9:$AO$52*((U$3&gt;=$AP$9:$AP$52+$AQ$9:$AQ$52*Scenario_Control!$M$19)*1))</f>
        <v>3</v>
      </c>
      <c r="V70" s="18" t="n">
        <f aca="false">SUMPRODUCT(($AT$9:$AT$52="G&amp;A")*$AO$9:$AO$52*((V$3&gt;=$AP$9:$AP$52+$AQ$9:$AQ$52*Scenario_Control!$M$19)*1))</f>
        <v>3</v>
      </c>
      <c r="W70" s="18" t="n">
        <f aca="false">SUMPRODUCT(($AT$9:$AT$52="G&amp;A")*$AO$9:$AO$52*((W$3&gt;=$AP$9:$AP$52+$AQ$9:$AQ$52*Scenario_Control!$M$19)*1))</f>
        <v>3</v>
      </c>
      <c r="X70" s="18" t="n">
        <f aca="false">SUMPRODUCT(($AT$9:$AT$52="G&amp;A")*$AO$9:$AO$52*((X$3&gt;=$AP$9:$AP$52+$AQ$9:$AQ$52*Scenario_Control!$M$19)*1))</f>
        <v>3</v>
      </c>
      <c r="Y70" s="18" t="n">
        <f aca="false">SUMPRODUCT(($AT$9:$AT$52="G&amp;A")*$AO$9:$AO$52*((Y$3&gt;=$AP$9:$AP$52+$AQ$9:$AQ$52*Scenario_Control!$M$19)*1))</f>
        <v>4</v>
      </c>
      <c r="Z70" s="18" t="n">
        <f aca="false">SUMPRODUCT(($AT$9:$AT$52="G&amp;A")*$AO$9:$AO$52*((Z$3&gt;=$AP$9:$AP$52+$AQ$9:$AQ$52*Scenario_Control!$M$19)*1))</f>
        <v>4</v>
      </c>
      <c r="AA70" s="18" t="n">
        <f aca="false">SUMPRODUCT(($AT$9:$AT$52="G&amp;A")*$AO$9:$AO$52*((AA$3&gt;=$AP$9:$AP$52+$AQ$9:$AQ$52*Scenario_Control!$M$19)*1))</f>
        <v>5</v>
      </c>
      <c r="AB70" s="18" t="n">
        <f aca="false">SUMPRODUCT(($AT$9:$AT$52="G&amp;A")*$AO$9:$AO$52*((AB$3&gt;=$AP$9:$AP$52+$AQ$9:$AQ$52*Scenario_Control!$M$19)*1))</f>
        <v>5</v>
      </c>
      <c r="AC70" s="18" t="n">
        <f aca="false">SUMPRODUCT(($AT$9:$AT$52="G&amp;A")*$AO$9:$AO$52*((AC$3&gt;=$AP$9:$AP$52+$AQ$9:$AQ$52*Scenario_Control!$M$19)*1))</f>
        <v>5</v>
      </c>
      <c r="AD70" s="18" t="n">
        <f aca="false">SUMPRODUCT(($AT$9:$AT$52="G&amp;A")*$AO$9:$AO$52*((AD$3&gt;=$AP$9:$AP$52+$AQ$9:$AQ$52*Scenario_Control!$M$19)*1))</f>
        <v>5</v>
      </c>
      <c r="AE70" s="18" t="n">
        <f aca="false">SUMPRODUCT(($AT$9:$AT$52="G&amp;A")*$AO$9:$AO$52*((AE$3&gt;=$AP$9:$AP$52+$AQ$9:$AQ$52*Scenario_Control!$M$19)*1))</f>
        <v>5</v>
      </c>
      <c r="AF70" s="18" t="n">
        <f aca="false">SUMPRODUCT(($AT$9:$AT$52="G&amp;A")*$AO$9:$AO$52*((AF$3&gt;=$AP$9:$AP$52+$AQ$9:$AQ$52*Scenario_Control!$M$19)*1))</f>
        <v>5</v>
      </c>
      <c r="AG70" s="18" t="n">
        <f aca="false">SUMPRODUCT(($AT$9:$AT$52="G&amp;A")*$AO$9:$AO$52*((AG$3&gt;=$AP$9:$AP$52+$AQ$9:$AQ$52*Scenario_Control!$M$19)*1))</f>
        <v>5</v>
      </c>
      <c r="AH70" s="18" t="n">
        <f aca="false">SUMPRODUCT(($AT$9:$AT$52="G&amp;A")*$AO$9:$AO$52*((AH$3&gt;=$AP$9:$AP$52+$AQ$9:$AQ$52*Scenario_Control!$M$19)*1))</f>
        <v>5</v>
      </c>
      <c r="AI70" s="18" t="n">
        <f aca="false">SUMPRODUCT(($AT$9:$AT$52="G&amp;A")*$AO$9:$AO$52*((AI$3&gt;=$AP$9:$AP$52+$AQ$9:$AQ$52*Scenario_Control!$M$19)*1))</f>
        <v>5</v>
      </c>
      <c r="AJ70" s="18" t="n">
        <f aca="false">SUMPRODUCT(($AT$9:$AT$52="G&amp;A")*$AO$9:$AO$52*((AJ$3&gt;=$AP$9:$AP$52+$AQ$9:$AQ$52*Scenario_Control!$M$19)*1))</f>
        <v>5</v>
      </c>
      <c r="AK70" s="18" t="n">
        <f aca="false">SUMPRODUCT(($AT$9:$AT$52="G&amp;A")*$AO$9:$AO$52*((AK$3&gt;=$AP$9:$AP$52+$AQ$9:$AQ$52*Scenario_Control!$M$19)*1))</f>
        <v>5</v>
      </c>
      <c r="AL70" s="18" t="n">
        <f aca="false">SUMPRODUCT(($AT$9:$AT$52="G&amp;A")*$AO$9:$AO$52*((AL$3&gt;=$AP$9:$AP$52+$AQ$9:$AQ$52*Scenario_Control!$M$19)*1))</f>
        <v>5</v>
      </c>
      <c r="AM70" s="18" t="n">
        <f aca="false">SUMPRODUCT(($AT$9:$AT$52="G&amp;A")*$AO$9:$AO$52*((AM$3&gt;=$AP$9:$AP$52+$AQ$9:$AQ$52*Scenario_Control!$M$19)*1))</f>
        <v>5</v>
      </c>
    </row>
    <row r="71" customFormat="false" ht="15" hidden="false" customHeight="true" outlineLevel="0" collapsed="false">
      <c r="A71" s="5" t="s">
        <v>1026</v>
      </c>
      <c r="B71" s="10" t="s">
        <v>98</v>
      </c>
      <c r="C71" s="19" t="n">
        <f aca="false">AM71</f>
        <v>5</v>
      </c>
      <c r="D71" s="18" t="n">
        <f aca="false">SUMPRODUCT(($AT$9:$AT$52="COGS")*$AO$9:$AO$52*((D$3&gt;=$AP$9:$AP$52+$AQ$9:$AQ$52*Scenario_Control!$M$19)*1))</f>
        <v>0</v>
      </c>
      <c r="E71" s="18" t="n">
        <f aca="false">SUMPRODUCT(($AT$9:$AT$52="COGS")*$AO$9:$AO$52*((E$3&gt;=$AP$9:$AP$52+$AQ$9:$AQ$52*Scenario_Control!$M$19)*1))</f>
        <v>0</v>
      </c>
      <c r="F71" s="18" t="n">
        <f aca="false">SUMPRODUCT(($AT$9:$AT$52="COGS")*$AO$9:$AO$52*((F$3&gt;=$AP$9:$AP$52+$AQ$9:$AQ$52*Scenario_Control!$M$19)*1))</f>
        <v>0</v>
      </c>
      <c r="G71" s="18" t="n">
        <f aca="false">SUMPRODUCT(($AT$9:$AT$52="COGS")*$AO$9:$AO$52*((G$3&gt;=$AP$9:$AP$52+$AQ$9:$AQ$52*Scenario_Control!$M$19)*1))</f>
        <v>0</v>
      </c>
      <c r="H71" s="18" t="n">
        <f aca="false">SUMPRODUCT(($AT$9:$AT$52="COGS")*$AO$9:$AO$52*((H$3&gt;=$AP$9:$AP$52+$AQ$9:$AQ$52*Scenario_Control!$M$19)*1))</f>
        <v>0</v>
      </c>
      <c r="I71" s="18" t="n">
        <f aca="false">SUMPRODUCT(($AT$9:$AT$52="COGS")*$AO$9:$AO$52*((I$3&gt;=$AP$9:$AP$52+$AQ$9:$AQ$52*Scenario_Control!$M$19)*1))</f>
        <v>0</v>
      </c>
      <c r="J71" s="18" t="n">
        <f aca="false">SUMPRODUCT(($AT$9:$AT$52="COGS")*$AO$9:$AO$52*((J$3&gt;=$AP$9:$AP$52+$AQ$9:$AQ$52*Scenario_Control!$M$19)*1))</f>
        <v>0</v>
      </c>
      <c r="K71" s="18" t="n">
        <f aca="false">SUMPRODUCT(($AT$9:$AT$52="COGS")*$AO$9:$AO$52*((K$3&gt;=$AP$9:$AP$52+$AQ$9:$AQ$52*Scenario_Control!$M$19)*1))</f>
        <v>0</v>
      </c>
      <c r="L71" s="18" t="n">
        <f aca="false">SUMPRODUCT(($AT$9:$AT$52="COGS")*$AO$9:$AO$52*((L$3&gt;=$AP$9:$AP$52+$AQ$9:$AQ$52*Scenario_Control!$M$19)*1))</f>
        <v>0</v>
      </c>
      <c r="M71" s="18" t="n">
        <f aca="false">SUMPRODUCT(($AT$9:$AT$52="COGS")*$AO$9:$AO$52*((M$3&gt;=$AP$9:$AP$52+$AQ$9:$AQ$52*Scenario_Control!$M$19)*1))</f>
        <v>1</v>
      </c>
      <c r="N71" s="18" t="n">
        <f aca="false">SUMPRODUCT(($AT$9:$AT$52="COGS")*$AO$9:$AO$52*((N$3&gt;=$AP$9:$AP$52+$AQ$9:$AQ$52*Scenario_Control!$M$19)*1))</f>
        <v>2</v>
      </c>
      <c r="O71" s="18" t="n">
        <f aca="false">SUMPRODUCT(($AT$9:$AT$52="COGS")*$AO$9:$AO$52*((O$3&gt;=$AP$9:$AP$52+$AQ$9:$AQ$52*Scenario_Control!$M$19)*1))</f>
        <v>2</v>
      </c>
      <c r="P71" s="18" t="n">
        <f aca="false">SUMPRODUCT(($AT$9:$AT$52="COGS")*$AO$9:$AO$52*((P$3&gt;=$AP$9:$AP$52+$AQ$9:$AQ$52*Scenario_Control!$M$19)*1))</f>
        <v>2</v>
      </c>
      <c r="Q71" s="18" t="n">
        <f aca="false">SUMPRODUCT(($AT$9:$AT$52="COGS")*$AO$9:$AO$52*((Q$3&gt;=$AP$9:$AP$52+$AQ$9:$AQ$52*Scenario_Control!$M$19)*1))</f>
        <v>2</v>
      </c>
      <c r="R71" s="18" t="n">
        <f aca="false">SUMPRODUCT(($AT$9:$AT$52="COGS")*$AO$9:$AO$52*((R$3&gt;=$AP$9:$AP$52+$AQ$9:$AQ$52*Scenario_Control!$M$19)*1))</f>
        <v>2</v>
      </c>
      <c r="S71" s="18" t="n">
        <f aca="false">SUMPRODUCT(($AT$9:$AT$52="COGS")*$AO$9:$AO$52*((S$3&gt;=$AP$9:$AP$52+$AQ$9:$AQ$52*Scenario_Control!$M$19)*1))</f>
        <v>2</v>
      </c>
      <c r="T71" s="18" t="n">
        <f aca="false">SUMPRODUCT(($AT$9:$AT$52="COGS")*$AO$9:$AO$52*((T$3&gt;=$AP$9:$AP$52+$AQ$9:$AQ$52*Scenario_Control!$M$19)*1))</f>
        <v>3</v>
      </c>
      <c r="U71" s="18" t="n">
        <f aca="false">SUMPRODUCT(($AT$9:$AT$52="COGS")*$AO$9:$AO$52*((U$3&gt;=$AP$9:$AP$52+$AQ$9:$AQ$52*Scenario_Control!$M$19)*1))</f>
        <v>3</v>
      </c>
      <c r="V71" s="18" t="n">
        <f aca="false">SUMPRODUCT(($AT$9:$AT$52="COGS")*$AO$9:$AO$52*((V$3&gt;=$AP$9:$AP$52+$AQ$9:$AQ$52*Scenario_Control!$M$19)*1))</f>
        <v>4</v>
      </c>
      <c r="W71" s="18" t="n">
        <f aca="false">SUMPRODUCT(($AT$9:$AT$52="COGS")*$AO$9:$AO$52*((W$3&gt;=$AP$9:$AP$52+$AQ$9:$AQ$52*Scenario_Control!$M$19)*1))</f>
        <v>4</v>
      </c>
      <c r="X71" s="18" t="n">
        <f aca="false">SUMPRODUCT(($AT$9:$AT$52="COGS")*$AO$9:$AO$52*((X$3&gt;=$AP$9:$AP$52+$AQ$9:$AQ$52*Scenario_Control!$M$19)*1))</f>
        <v>4</v>
      </c>
      <c r="Y71" s="18" t="n">
        <f aca="false">SUMPRODUCT(($AT$9:$AT$52="COGS")*$AO$9:$AO$52*((Y$3&gt;=$AP$9:$AP$52+$AQ$9:$AQ$52*Scenario_Control!$M$19)*1))</f>
        <v>4</v>
      </c>
      <c r="Z71" s="18" t="n">
        <f aca="false">SUMPRODUCT(($AT$9:$AT$52="COGS")*$AO$9:$AO$52*((Z$3&gt;=$AP$9:$AP$52+$AQ$9:$AQ$52*Scenario_Control!$M$19)*1))</f>
        <v>4</v>
      </c>
      <c r="AA71" s="18" t="n">
        <f aca="false">SUMPRODUCT(($AT$9:$AT$52="COGS")*$AO$9:$AO$52*((AA$3&gt;=$AP$9:$AP$52+$AQ$9:$AQ$52*Scenario_Control!$M$19)*1))</f>
        <v>4</v>
      </c>
      <c r="AB71" s="18" t="n">
        <f aca="false">SUMPRODUCT(($AT$9:$AT$52="COGS")*$AO$9:$AO$52*((AB$3&gt;=$AP$9:$AP$52+$AQ$9:$AQ$52*Scenario_Control!$M$19)*1))</f>
        <v>4</v>
      </c>
      <c r="AC71" s="18" t="n">
        <f aca="false">SUMPRODUCT(($AT$9:$AT$52="COGS")*$AO$9:$AO$52*((AC$3&gt;=$AP$9:$AP$52+$AQ$9:$AQ$52*Scenario_Control!$M$19)*1))</f>
        <v>4</v>
      </c>
      <c r="AD71" s="18" t="n">
        <f aca="false">SUMPRODUCT(($AT$9:$AT$52="COGS")*$AO$9:$AO$52*((AD$3&gt;=$AP$9:$AP$52+$AQ$9:$AQ$52*Scenario_Control!$M$19)*1))</f>
        <v>5</v>
      </c>
      <c r="AE71" s="18" t="n">
        <f aca="false">SUMPRODUCT(($AT$9:$AT$52="COGS")*$AO$9:$AO$52*((AE$3&gt;=$AP$9:$AP$52+$AQ$9:$AQ$52*Scenario_Control!$M$19)*1))</f>
        <v>5</v>
      </c>
      <c r="AF71" s="18" t="n">
        <f aca="false">SUMPRODUCT(($AT$9:$AT$52="COGS")*$AO$9:$AO$52*((AF$3&gt;=$AP$9:$AP$52+$AQ$9:$AQ$52*Scenario_Control!$M$19)*1))</f>
        <v>5</v>
      </c>
      <c r="AG71" s="18" t="n">
        <f aca="false">SUMPRODUCT(($AT$9:$AT$52="COGS")*$AO$9:$AO$52*((AG$3&gt;=$AP$9:$AP$52+$AQ$9:$AQ$52*Scenario_Control!$M$19)*1))</f>
        <v>5</v>
      </c>
      <c r="AH71" s="18" t="n">
        <f aca="false">SUMPRODUCT(($AT$9:$AT$52="COGS")*$AO$9:$AO$52*((AH$3&gt;=$AP$9:$AP$52+$AQ$9:$AQ$52*Scenario_Control!$M$19)*1))</f>
        <v>5</v>
      </c>
      <c r="AI71" s="18" t="n">
        <f aca="false">SUMPRODUCT(($AT$9:$AT$52="COGS")*$AO$9:$AO$52*((AI$3&gt;=$AP$9:$AP$52+$AQ$9:$AQ$52*Scenario_Control!$M$19)*1))</f>
        <v>5</v>
      </c>
      <c r="AJ71" s="18" t="n">
        <f aca="false">SUMPRODUCT(($AT$9:$AT$52="COGS")*$AO$9:$AO$52*((AJ$3&gt;=$AP$9:$AP$52+$AQ$9:$AQ$52*Scenario_Control!$M$19)*1))</f>
        <v>5</v>
      </c>
      <c r="AK71" s="18" t="n">
        <f aca="false">SUMPRODUCT(($AT$9:$AT$52="COGS")*$AO$9:$AO$52*((AK$3&gt;=$AP$9:$AP$52+$AQ$9:$AQ$52*Scenario_Control!$M$19)*1))</f>
        <v>5</v>
      </c>
      <c r="AL71" s="18" t="n">
        <f aca="false">SUMPRODUCT(($AT$9:$AT$52="COGS")*$AO$9:$AO$52*((AL$3&gt;=$AP$9:$AP$52+$AQ$9:$AQ$52*Scenario_Control!$M$19)*1))</f>
        <v>5</v>
      </c>
      <c r="AM71" s="18" t="n">
        <f aca="false">SUMPRODUCT(($AT$9:$AT$52="COGS")*$AO$9:$AO$52*((AM$3&gt;=$AP$9:$AP$52+$AQ$9:$AQ$52*Scenario_Control!$M$19)*1))</f>
        <v>5</v>
      </c>
    </row>
    <row r="72" customFormat="false" ht="15" hidden="false" customHeight="true" outlineLevel="0" collapsed="false">
      <c r="A72" s="13" t="s">
        <v>1027</v>
      </c>
      <c r="B72" s="14" t="s">
        <v>98</v>
      </c>
      <c r="C72" s="59" t="n">
        <f aca="false">AM72</f>
        <v>50</v>
      </c>
      <c r="D72" s="59" t="n">
        <f aca="false">SUMPRODUCT($AO$9:$AO$52*((D$3&gt;=$AP$9:$AP$52+$AQ$9:$AQ$52*Scenario_Control!$M$19)*1))</f>
        <v>2</v>
      </c>
      <c r="E72" s="59" t="n">
        <f aca="false">SUMPRODUCT($AO$9:$AO$52*((E$3&gt;=$AP$9:$AP$52+$AQ$9:$AQ$52*Scenario_Control!$M$19)*1))</f>
        <v>2</v>
      </c>
      <c r="F72" s="59" t="n">
        <f aca="false">SUMPRODUCT($AO$9:$AO$52*((F$3&gt;=$AP$9:$AP$52+$AQ$9:$AQ$52*Scenario_Control!$M$19)*1))</f>
        <v>3</v>
      </c>
      <c r="G72" s="59" t="n">
        <f aca="false">SUMPRODUCT($AO$9:$AO$52*((G$3&gt;=$AP$9:$AP$52+$AQ$9:$AQ$52*Scenario_Control!$M$19)*1))</f>
        <v>4</v>
      </c>
      <c r="H72" s="59" t="n">
        <f aca="false">SUMPRODUCT($AO$9:$AO$52*((H$3&gt;=$AP$9:$AP$52+$AQ$9:$AQ$52*Scenario_Control!$M$19)*1))</f>
        <v>6</v>
      </c>
      <c r="I72" s="59" t="n">
        <f aca="false">SUMPRODUCT($AO$9:$AO$52*((I$3&gt;=$AP$9:$AP$52+$AQ$9:$AQ$52*Scenario_Control!$M$19)*1))</f>
        <v>9</v>
      </c>
      <c r="J72" s="59" t="n">
        <f aca="false">SUMPRODUCT($AO$9:$AO$52*((J$3&gt;=$AP$9:$AP$52+$AQ$9:$AQ$52*Scenario_Control!$M$19)*1))</f>
        <v>9</v>
      </c>
      <c r="K72" s="59" t="n">
        <f aca="false">SUMPRODUCT($AO$9:$AO$52*((K$3&gt;=$AP$9:$AP$52+$AQ$9:$AQ$52*Scenario_Control!$M$19)*1))</f>
        <v>12</v>
      </c>
      <c r="L72" s="59" t="n">
        <f aca="false">SUMPRODUCT($AO$9:$AO$52*((L$3&gt;=$AP$9:$AP$52+$AQ$9:$AQ$52*Scenario_Control!$M$19)*1))</f>
        <v>15</v>
      </c>
      <c r="M72" s="59" t="n">
        <f aca="false">SUMPRODUCT($AO$9:$AO$52*((M$3&gt;=$AP$9:$AP$52+$AQ$9:$AQ$52*Scenario_Control!$M$19)*1))</f>
        <v>19</v>
      </c>
      <c r="N72" s="59" t="n">
        <f aca="false">SUMPRODUCT($AO$9:$AO$52*((N$3&gt;=$AP$9:$AP$52+$AQ$9:$AQ$52*Scenario_Control!$M$19)*1))</f>
        <v>21</v>
      </c>
      <c r="O72" s="59" t="n">
        <f aca="false">SUMPRODUCT($AO$9:$AO$52*((O$3&gt;=$AP$9:$AP$52+$AQ$9:$AQ$52*Scenario_Control!$M$19)*1))</f>
        <v>25</v>
      </c>
      <c r="P72" s="59" t="n">
        <f aca="false">SUMPRODUCT($AO$9:$AO$52*((P$3&gt;=$AP$9:$AP$52+$AQ$9:$AQ$52*Scenario_Control!$M$19)*1))</f>
        <v>27</v>
      </c>
      <c r="Q72" s="59" t="n">
        <f aca="false">SUMPRODUCT($AO$9:$AO$52*((Q$3&gt;=$AP$9:$AP$52+$AQ$9:$AQ$52*Scenario_Control!$M$19)*1))</f>
        <v>29</v>
      </c>
      <c r="R72" s="59" t="n">
        <f aca="false">SUMPRODUCT($AO$9:$AO$52*((R$3&gt;=$AP$9:$AP$52+$AQ$9:$AQ$52*Scenario_Control!$M$19)*1))</f>
        <v>32</v>
      </c>
      <c r="S72" s="59" t="n">
        <f aca="false">SUMPRODUCT($AO$9:$AO$52*((S$3&gt;=$AP$9:$AP$52+$AQ$9:$AQ$52*Scenario_Control!$M$19)*1))</f>
        <v>34</v>
      </c>
      <c r="T72" s="59" t="n">
        <f aca="false">SUMPRODUCT($AO$9:$AO$52*((T$3&gt;=$AP$9:$AP$52+$AQ$9:$AQ$52*Scenario_Control!$M$19)*1))</f>
        <v>35</v>
      </c>
      <c r="U72" s="59" t="n">
        <f aca="false">SUMPRODUCT($AO$9:$AO$52*((U$3&gt;=$AP$9:$AP$52+$AQ$9:$AQ$52*Scenario_Control!$M$19)*1))</f>
        <v>36</v>
      </c>
      <c r="V72" s="59" t="n">
        <f aca="false">SUMPRODUCT($AO$9:$AO$52*((V$3&gt;=$AP$9:$AP$52+$AQ$9:$AQ$52*Scenario_Control!$M$19)*1))</f>
        <v>37</v>
      </c>
      <c r="W72" s="59" t="n">
        <f aca="false">SUMPRODUCT($AO$9:$AO$52*((W$3&gt;=$AP$9:$AP$52+$AQ$9:$AQ$52*Scenario_Control!$M$19)*1))</f>
        <v>39</v>
      </c>
      <c r="X72" s="59" t="n">
        <f aca="false">SUMPRODUCT($AO$9:$AO$52*((X$3&gt;=$AP$9:$AP$52+$AQ$9:$AQ$52*Scenario_Control!$M$19)*1))</f>
        <v>40</v>
      </c>
      <c r="Y72" s="59" t="n">
        <f aca="false">SUMPRODUCT($AO$9:$AO$52*((Y$3&gt;=$AP$9:$AP$52+$AQ$9:$AQ$52*Scenario_Control!$M$19)*1))</f>
        <v>42</v>
      </c>
      <c r="Z72" s="59" t="n">
        <f aca="false">SUMPRODUCT($AO$9:$AO$52*((Z$3&gt;=$AP$9:$AP$52+$AQ$9:$AQ$52*Scenario_Control!$M$19)*1))</f>
        <v>42</v>
      </c>
      <c r="AA72" s="59" t="n">
        <f aca="false">SUMPRODUCT($AO$9:$AO$52*((AA$3&gt;=$AP$9:$AP$52+$AQ$9:$AQ$52*Scenario_Control!$M$19)*1))</f>
        <v>44</v>
      </c>
      <c r="AB72" s="59" t="n">
        <f aca="false">SUMPRODUCT($AO$9:$AO$52*((AB$3&gt;=$AP$9:$AP$52+$AQ$9:$AQ$52*Scenario_Control!$M$19)*1))</f>
        <v>45</v>
      </c>
      <c r="AC72" s="59" t="n">
        <f aca="false">SUMPRODUCT($AO$9:$AO$52*((AC$3&gt;=$AP$9:$AP$52+$AQ$9:$AQ$52*Scenario_Control!$M$19)*1))</f>
        <v>45</v>
      </c>
      <c r="AD72" s="59" t="n">
        <f aca="false">SUMPRODUCT($AO$9:$AO$52*((AD$3&gt;=$AP$9:$AP$52+$AQ$9:$AQ$52*Scenario_Control!$M$19)*1))</f>
        <v>48</v>
      </c>
      <c r="AE72" s="59" t="n">
        <f aca="false">SUMPRODUCT($AO$9:$AO$52*((AE$3&gt;=$AP$9:$AP$52+$AQ$9:$AQ$52*Scenario_Control!$M$19)*1))</f>
        <v>50</v>
      </c>
      <c r="AF72" s="59" t="n">
        <f aca="false">SUMPRODUCT($AO$9:$AO$52*((AF$3&gt;=$AP$9:$AP$52+$AQ$9:$AQ$52*Scenario_Control!$M$19)*1))</f>
        <v>50</v>
      </c>
      <c r="AG72" s="59" t="n">
        <f aca="false">SUMPRODUCT($AO$9:$AO$52*((AG$3&gt;=$AP$9:$AP$52+$AQ$9:$AQ$52*Scenario_Control!$M$19)*1))</f>
        <v>50</v>
      </c>
      <c r="AH72" s="59" t="n">
        <f aca="false">SUMPRODUCT($AO$9:$AO$52*((AH$3&gt;=$AP$9:$AP$52+$AQ$9:$AQ$52*Scenario_Control!$M$19)*1))</f>
        <v>50</v>
      </c>
      <c r="AI72" s="59" t="n">
        <f aca="false">SUMPRODUCT($AO$9:$AO$52*((AI$3&gt;=$AP$9:$AP$52+$AQ$9:$AQ$52*Scenario_Control!$M$19)*1))</f>
        <v>50</v>
      </c>
      <c r="AJ72" s="59" t="n">
        <f aca="false">SUMPRODUCT($AO$9:$AO$52*((AJ$3&gt;=$AP$9:$AP$52+$AQ$9:$AQ$52*Scenario_Control!$M$19)*1))</f>
        <v>50</v>
      </c>
      <c r="AK72" s="59" t="n">
        <f aca="false">SUMPRODUCT($AO$9:$AO$52*((AK$3&gt;=$AP$9:$AP$52+$AQ$9:$AQ$52*Scenario_Control!$M$19)*1))</f>
        <v>50</v>
      </c>
      <c r="AL72" s="59" t="n">
        <f aca="false">SUMPRODUCT($AO$9:$AO$52*((AL$3&gt;=$AP$9:$AP$52+$AQ$9:$AQ$52*Scenario_Control!$M$19)*1))</f>
        <v>50</v>
      </c>
      <c r="AM72" s="59" t="n">
        <f aca="false">SUMPRODUCT($AO$9:$AO$52*((AM$3&gt;=$AP$9:$AP$52+$AQ$9:$AQ$52*Scenario_Control!$M$19)*1))</f>
        <v>50</v>
      </c>
    </row>
    <row r="74" customFormat="false" ht="15" hidden="false" customHeight="true" outlineLevel="0" collapsed="false">
      <c r="A74" s="8" t="s">
        <v>1028</v>
      </c>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row>
    <row r="75" customFormat="false" ht="15" hidden="false" customHeight="true" outlineLevel="0" collapsed="false">
      <c r="A75" s="5" t="s">
        <v>1029</v>
      </c>
      <c r="B75" s="10" t="s">
        <v>98</v>
      </c>
      <c r="C75" s="19" t="n">
        <f aca="false">SUM(D75:AM75)</f>
        <v>50</v>
      </c>
      <c r="D75" s="18" t="n">
        <f aca="false">SUMPRODUCT($AO$9:$AO$52*(($AP$9:$AP$52+$AQ$9:$AQ$52*Scenario_Control!$M$19)=D$3))</f>
        <v>2</v>
      </c>
      <c r="E75" s="18" t="n">
        <f aca="false">SUMPRODUCT($AO$9:$AO$52*(($AP$9:$AP$52+$AQ$9:$AQ$52*Scenario_Control!$M$19)=E$3))</f>
        <v>0</v>
      </c>
      <c r="F75" s="18" t="n">
        <f aca="false">SUMPRODUCT($AO$9:$AO$52*(($AP$9:$AP$52+$AQ$9:$AQ$52*Scenario_Control!$M$19)=F$3))</f>
        <v>1</v>
      </c>
      <c r="G75" s="18" t="n">
        <f aca="false">SUMPRODUCT($AO$9:$AO$52*(($AP$9:$AP$52+$AQ$9:$AQ$52*Scenario_Control!$M$19)=G$3))</f>
        <v>1</v>
      </c>
      <c r="H75" s="18" t="n">
        <f aca="false">SUMPRODUCT($AO$9:$AO$52*(($AP$9:$AP$52+$AQ$9:$AQ$52*Scenario_Control!$M$19)=H$3))</f>
        <v>2</v>
      </c>
      <c r="I75" s="18" t="n">
        <f aca="false">SUMPRODUCT($AO$9:$AO$52*(($AP$9:$AP$52+$AQ$9:$AQ$52*Scenario_Control!$M$19)=I$3))</f>
        <v>3</v>
      </c>
      <c r="J75" s="18" t="n">
        <f aca="false">SUMPRODUCT($AO$9:$AO$52*(($AP$9:$AP$52+$AQ$9:$AQ$52*Scenario_Control!$M$19)=J$3))</f>
        <v>0</v>
      </c>
      <c r="K75" s="18" t="n">
        <f aca="false">SUMPRODUCT($AO$9:$AO$52*(($AP$9:$AP$52+$AQ$9:$AQ$52*Scenario_Control!$M$19)=K$3))</f>
        <v>3</v>
      </c>
      <c r="L75" s="18" t="n">
        <f aca="false">SUMPRODUCT($AO$9:$AO$52*(($AP$9:$AP$52+$AQ$9:$AQ$52*Scenario_Control!$M$19)=L$3))</f>
        <v>3</v>
      </c>
      <c r="M75" s="18" t="n">
        <f aca="false">SUMPRODUCT($AO$9:$AO$52*(($AP$9:$AP$52+$AQ$9:$AQ$52*Scenario_Control!$M$19)=M$3))</f>
        <v>4</v>
      </c>
      <c r="N75" s="18" t="n">
        <f aca="false">SUMPRODUCT($AO$9:$AO$52*(($AP$9:$AP$52+$AQ$9:$AQ$52*Scenario_Control!$M$19)=N$3))</f>
        <v>2</v>
      </c>
      <c r="O75" s="18" t="n">
        <f aca="false">SUMPRODUCT($AO$9:$AO$52*(($AP$9:$AP$52+$AQ$9:$AQ$52*Scenario_Control!$M$19)=O$3))</f>
        <v>4</v>
      </c>
      <c r="P75" s="18" t="n">
        <f aca="false">SUMPRODUCT($AO$9:$AO$52*(($AP$9:$AP$52+$AQ$9:$AQ$52*Scenario_Control!$M$19)=P$3))</f>
        <v>2</v>
      </c>
      <c r="Q75" s="18" t="n">
        <f aca="false">SUMPRODUCT($AO$9:$AO$52*(($AP$9:$AP$52+$AQ$9:$AQ$52*Scenario_Control!$M$19)=Q$3))</f>
        <v>2</v>
      </c>
      <c r="R75" s="18" t="n">
        <f aca="false">SUMPRODUCT($AO$9:$AO$52*(($AP$9:$AP$52+$AQ$9:$AQ$52*Scenario_Control!$M$19)=R$3))</f>
        <v>3</v>
      </c>
      <c r="S75" s="18" t="n">
        <f aca="false">SUMPRODUCT($AO$9:$AO$52*(($AP$9:$AP$52+$AQ$9:$AQ$52*Scenario_Control!$M$19)=S$3))</f>
        <v>2</v>
      </c>
      <c r="T75" s="18" t="n">
        <f aca="false">SUMPRODUCT($AO$9:$AO$52*(($AP$9:$AP$52+$AQ$9:$AQ$52*Scenario_Control!$M$19)=T$3))</f>
        <v>1</v>
      </c>
      <c r="U75" s="18" t="n">
        <f aca="false">SUMPRODUCT($AO$9:$AO$52*(($AP$9:$AP$52+$AQ$9:$AQ$52*Scenario_Control!$M$19)=U$3))</f>
        <v>1</v>
      </c>
      <c r="V75" s="18" t="n">
        <f aca="false">SUMPRODUCT($AO$9:$AO$52*(($AP$9:$AP$52+$AQ$9:$AQ$52*Scenario_Control!$M$19)=V$3))</f>
        <v>1</v>
      </c>
      <c r="W75" s="18" t="n">
        <f aca="false">SUMPRODUCT($AO$9:$AO$52*(($AP$9:$AP$52+$AQ$9:$AQ$52*Scenario_Control!$M$19)=W$3))</f>
        <v>2</v>
      </c>
      <c r="X75" s="18" t="n">
        <f aca="false">SUMPRODUCT($AO$9:$AO$52*(($AP$9:$AP$52+$AQ$9:$AQ$52*Scenario_Control!$M$19)=X$3))</f>
        <v>1</v>
      </c>
      <c r="Y75" s="18" t="n">
        <f aca="false">SUMPRODUCT($AO$9:$AO$52*(($AP$9:$AP$52+$AQ$9:$AQ$52*Scenario_Control!$M$19)=Y$3))</f>
        <v>2</v>
      </c>
      <c r="Z75" s="18" t="n">
        <f aca="false">SUMPRODUCT($AO$9:$AO$52*(($AP$9:$AP$52+$AQ$9:$AQ$52*Scenario_Control!$M$19)=Z$3))</f>
        <v>0</v>
      </c>
      <c r="AA75" s="18" t="n">
        <f aca="false">SUMPRODUCT($AO$9:$AO$52*(($AP$9:$AP$52+$AQ$9:$AQ$52*Scenario_Control!$M$19)=AA$3))</f>
        <v>2</v>
      </c>
      <c r="AB75" s="18" t="n">
        <f aca="false">SUMPRODUCT($AO$9:$AO$52*(($AP$9:$AP$52+$AQ$9:$AQ$52*Scenario_Control!$M$19)=AB$3))</f>
        <v>1</v>
      </c>
      <c r="AC75" s="18" t="n">
        <f aca="false">SUMPRODUCT($AO$9:$AO$52*(($AP$9:$AP$52+$AQ$9:$AQ$52*Scenario_Control!$M$19)=AC$3))</f>
        <v>0</v>
      </c>
      <c r="AD75" s="18" t="n">
        <f aca="false">SUMPRODUCT($AO$9:$AO$52*(($AP$9:$AP$52+$AQ$9:$AQ$52*Scenario_Control!$M$19)=AD$3))</f>
        <v>3</v>
      </c>
      <c r="AE75" s="18" t="n">
        <f aca="false">SUMPRODUCT($AO$9:$AO$52*(($AP$9:$AP$52+$AQ$9:$AQ$52*Scenario_Control!$M$19)=AE$3))</f>
        <v>2</v>
      </c>
      <c r="AF75" s="18" t="n">
        <f aca="false">SUMPRODUCT($AO$9:$AO$52*(($AP$9:$AP$52+$AQ$9:$AQ$52*Scenario_Control!$M$19)=AF$3))</f>
        <v>0</v>
      </c>
      <c r="AG75" s="18" t="n">
        <f aca="false">SUMPRODUCT($AO$9:$AO$52*(($AP$9:$AP$52+$AQ$9:$AQ$52*Scenario_Control!$M$19)=AG$3))</f>
        <v>0</v>
      </c>
      <c r="AH75" s="18" t="n">
        <f aca="false">SUMPRODUCT($AO$9:$AO$52*(($AP$9:$AP$52+$AQ$9:$AQ$52*Scenario_Control!$M$19)=AH$3))</f>
        <v>0</v>
      </c>
      <c r="AI75" s="18" t="n">
        <f aca="false">SUMPRODUCT($AO$9:$AO$52*(($AP$9:$AP$52+$AQ$9:$AQ$52*Scenario_Control!$M$19)=AI$3))</f>
        <v>0</v>
      </c>
      <c r="AJ75" s="18" t="n">
        <f aca="false">SUMPRODUCT($AO$9:$AO$52*(($AP$9:$AP$52+$AQ$9:$AQ$52*Scenario_Control!$M$19)=AJ$3))</f>
        <v>0</v>
      </c>
      <c r="AK75" s="18" t="n">
        <f aca="false">SUMPRODUCT($AO$9:$AO$52*(($AP$9:$AP$52+$AQ$9:$AQ$52*Scenario_Control!$M$19)=AK$3))</f>
        <v>0</v>
      </c>
      <c r="AL75" s="18" t="n">
        <f aca="false">SUMPRODUCT($AO$9:$AO$52*(($AP$9:$AP$52+$AQ$9:$AQ$52*Scenario_Control!$M$19)=AL$3))</f>
        <v>0</v>
      </c>
      <c r="AM75" s="18" t="n">
        <f aca="false">SUMPRODUCT($AO$9:$AO$52*(($AP$9:$AP$52+$AQ$9:$AQ$52*Scenario_Control!$M$19)=AM$3))</f>
        <v>0</v>
      </c>
    </row>
    <row r="76" customFormat="false" ht="15" hidden="false" customHeight="true" outlineLevel="0" collapsed="false">
      <c r="A76" s="5" t="s">
        <v>1030</v>
      </c>
      <c r="B76" s="10" t="s">
        <v>64</v>
      </c>
      <c r="C76" s="12" t="n">
        <f aca="false">SUM(D76:AM76)</f>
        <v>828600</v>
      </c>
      <c r="D76" s="11" t="n">
        <f aca="false">Assumptions!$D$153*SUMPRODUCT($AO$9:$AO$52*$AR$9:$AR$52*$AS$9:$AS$52*(($AP$9:$AP$52+$AQ$9:$AQ$52*Scenario_Control!$M$19)=D$3))</f>
        <v>0</v>
      </c>
      <c r="E76" s="11" t="n">
        <f aca="false">Assumptions!$D$153*SUMPRODUCT($AO$9:$AO$52*$AR$9:$AR$52*$AS$9:$AS$52*(($AP$9:$AP$52+$AQ$9:$AQ$52*Scenario_Control!$M$19)=E$3))</f>
        <v>0</v>
      </c>
      <c r="F76" s="11" t="n">
        <f aca="false">Assumptions!$D$153*SUMPRODUCT($AO$9:$AO$52*$AR$9:$AR$52*$AS$9:$AS$52*(($AP$9:$AP$52+$AQ$9:$AQ$52*Scenario_Control!$M$19)=F$3))</f>
        <v>23400</v>
      </c>
      <c r="G76" s="11" t="n">
        <f aca="false">Assumptions!$D$153*SUMPRODUCT($AO$9:$AO$52*$AR$9:$AR$52*$AS$9:$AS$52*(($AP$9:$AP$52+$AQ$9:$AQ$52*Scenario_Control!$M$19)=G$3))</f>
        <v>18600</v>
      </c>
      <c r="H76" s="11" t="n">
        <f aca="false">Assumptions!$D$153*SUMPRODUCT($AO$9:$AO$52*$AR$9:$AR$52*$AS$9:$AS$52*(($AP$9:$AP$52+$AQ$9:$AQ$52*Scenario_Control!$M$19)=H$3))</f>
        <v>40800</v>
      </c>
      <c r="I76" s="11" t="n">
        <f aca="false">Assumptions!$D$153*SUMPRODUCT($AO$9:$AO$52*$AR$9:$AR$52*$AS$9:$AS$52*(($AP$9:$AP$52+$AQ$9:$AQ$52*Scenario_Control!$M$19)=I$3))</f>
        <v>57000</v>
      </c>
      <c r="J76" s="11" t="n">
        <f aca="false">Assumptions!$D$153*SUMPRODUCT($AO$9:$AO$52*$AR$9:$AR$52*$AS$9:$AS$52*(($AP$9:$AP$52+$AQ$9:$AQ$52*Scenario_Control!$M$19)=J$3))</f>
        <v>0</v>
      </c>
      <c r="K76" s="11" t="n">
        <f aca="false">Assumptions!$D$153*SUMPRODUCT($AO$9:$AO$52*$AR$9:$AR$52*$AS$9:$AS$52*(($AP$9:$AP$52+$AQ$9:$AQ$52*Scenario_Control!$M$19)=K$3))</f>
        <v>57600</v>
      </c>
      <c r="L76" s="11" t="n">
        <f aca="false">Assumptions!$D$153*SUMPRODUCT($AO$9:$AO$52*$AR$9:$AR$52*$AS$9:$AS$52*(($AP$9:$AP$52+$AQ$9:$AQ$52*Scenario_Control!$M$19)=L$3))</f>
        <v>64800</v>
      </c>
      <c r="M76" s="11" t="n">
        <f aca="false">Assumptions!$D$153*SUMPRODUCT($AO$9:$AO$52*$AR$9:$AR$52*$AS$9:$AS$52*(($AP$9:$AP$52+$AQ$9:$AQ$52*Scenario_Control!$M$19)=M$3))</f>
        <v>64200</v>
      </c>
      <c r="N76" s="11" t="n">
        <f aca="false">Assumptions!$D$153*SUMPRODUCT($AO$9:$AO$52*$AR$9:$AR$52*$AS$9:$AS$52*(($AP$9:$AP$52+$AQ$9:$AQ$52*Scenario_Control!$M$19)=N$3))</f>
        <v>30600</v>
      </c>
      <c r="O76" s="11" t="n">
        <f aca="false">Assumptions!$D$153*SUMPRODUCT($AO$9:$AO$52*$AR$9:$AR$52*$AS$9:$AS$52*(($AP$9:$AP$52+$AQ$9:$AQ$52*Scenario_Control!$M$19)=O$3))</f>
        <v>70800</v>
      </c>
      <c r="P76" s="11" t="n">
        <f aca="false">Assumptions!$D$153*SUMPRODUCT($AO$9:$AO$52*$AR$9:$AR$52*$AS$9:$AS$52*(($AP$9:$AP$52+$AQ$9:$AQ$52*Scenario_Control!$M$19)=P$3))</f>
        <v>32400</v>
      </c>
      <c r="Q76" s="11" t="n">
        <f aca="false">Assumptions!$D$153*SUMPRODUCT($AO$9:$AO$52*$AR$9:$AR$52*$AS$9:$AS$52*(($AP$9:$AP$52+$AQ$9:$AQ$52*Scenario_Control!$M$19)=Q$3))</f>
        <v>23400</v>
      </c>
      <c r="R76" s="11" t="n">
        <f aca="false">Assumptions!$D$153*SUMPRODUCT($AO$9:$AO$52*$AR$9:$AR$52*$AS$9:$AS$52*(($AP$9:$AP$52+$AQ$9:$AQ$52*Scenario_Control!$M$19)=R$3))</f>
        <v>54000</v>
      </c>
      <c r="S76" s="11" t="n">
        <f aca="false">Assumptions!$D$153*SUMPRODUCT($AO$9:$AO$52*$AR$9:$AR$52*$AS$9:$AS$52*(($AP$9:$AP$52+$AQ$9:$AQ$52*Scenario_Control!$M$19)=S$3))</f>
        <v>25800</v>
      </c>
      <c r="T76" s="11" t="n">
        <f aca="false">Assumptions!$D$153*SUMPRODUCT($AO$9:$AO$52*$AR$9:$AR$52*$AS$9:$AS$52*(($AP$9:$AP$52+$AQ$9:$AQ$52*Scenario_Control!$M$19)=T$3))</f>
        <v>10800</v>
      </c>
      <c r="U76" s="11" t="n">
        <f aca="false">Assumptions!$D$153*SUMPRODUCT($AO$9:$AO$52*$AR$9:$AR$52*$AS$9:$AS$52*(($AP$9:$AP$52+$AQ$9:$AQ$52*Scenario_Control!$M$19)=U$3))</f>
        <v>21000</v>
      </c>
      <c r="V76" s="11" t="n">
        <f aca="false">Assumptions!$D$153*SUMPRODUCT($AO$9:$AO$52*$AR$9:$AR$52*$AS$9:$AS$52*(($AP$9:$AP$52+$AQ$9:$AQ$52*Scenario_Control!$M$19)=V$3))</f>
        <v>13800</v>
      </c>
      <c r="W76" s="11" t="n">
        <f aca="false">Assumptions!$D$153*SUMPRODUCT($AO$9:$AO$52*$AR$9:$AR$52*$AS$9:$AS$52*(($AP$9:$AP$52+$AQ$9:$AQ$52*Scenario_Control!$M$19)=W$3))</f>
        <v>36600</v>
      </c>
      <c r="X76" s="11" t="n">
        <f aca="false">Assumptions!$D$153*SUMPRODUCT($AO$9:$AO$52*$AR$9:$AR$52*$AS$9:$AS$52*(($AP$9:$AP$52+$AQ$9:$AQ$52*Scenario_Control!$M$19)=X$3))</f>
        <v>13200</v>
      </c>
      <c r="Y76" s="11" t="n">
        <f aca="false">Assumptions!$D$153*SUMPRODUCT($AO$9:$AO$52*$AR$9:$AR$52*$AS$9:$AS$52*(($AP$9:$AP$52+$AQ$9:$AQ$52*Scenario_Control!$M$19)=Y$3))</f>
        <v>30600</v>
      </c>
      <c r="Z76" s="11" t="n">
        <f aca="false">Assumptions!$D$153*SUMPRODUCT($AO$9:$AO$52*$AR$9:$AR$52*$AS$9:$AS$52*(($AP$9:$AP$52+$AQ$9:$AQ$52*Scenario_Control!$M$19)=Z$3))</f>
        <v>0</v>
      </c>
      <c r="AA76" s="11" t="n">
        <f aca="false">Assumptions!$D$153*SUMPRODUCT($AO$9:$AO$52*$AR$9:$AR$52*$AS$9:$AS$52*(($AP$9:$AP$52+$AQ$9:$AQ$52*Scenario_Control!$M$19)=AA$3))</f>
        <v>37800</v>
      </c>
      <c r="AB76" s="11" t="n">
        <f aca="false">Assumptions!$D$153*SUMPRODUCT($AO$9:$AO$52*$AR$9:$AR$52*$AS$9:$AS$52*(($AP$9:$AP$52+$AQ$9:$AQ$52*Scenario_Control!$M$19)=AB$3))</f>
        <v>24000</v>
      </c>
      <c r="AC76" s="11" t="n">
        <f aca="false">Assumptions!$D$153*SUMPRODUCT($AO$9:$AO$52*$AR$9:$AR$52*$AS$9:$AS$52*(($AP$9:$AP$52+$AQ$9:$AQ$52*Scenario_Control!$M$19)=AC$3))</f>
        <v>0</v>
      </c>
      <c r="AD76" s="11" t="n">
        <f aca="false">Assumptions!$D$153*SUMPRODUCT($AO$9:$AO$52*$AR$9:$AR$52*$AS$9:$AS$52*(($AP$9:$AP$52+$AQ$9:$AQ$52*Scenario_Control!$M$19)=AD$3))</f>
        <v>55800</v>
      </c>
      <c r="AE76" s="11" t="n">
        <f aca="false">Assumptions!$D$153*SUMPRODUCT($AO$9:$AO$52*$AR$9:$AR$52*$AS$9:$AS$52*(($AP$9:$AP$52+$AQ$9:$AQ$52*Scenario_Control!$M$19)=AE$3))</f>
        <v>21600</v>
      </c>
      <c r="AF76" s="11" t="n">
        <f aca="false">Assumptions!$D$153*SUMPRODUCT($AO$9:$AO$52*$AR$9:$AR$52*$AS$9:$AS$52*(($AP$9:$AP$52+$AQ$9:$AQ$52*Scenario_Control!$M$19)=AF$3))</f>
        <v>0</v>
      </c>
      <c r="AG76" s="11" t="n">
        <f aca="false">Assumptions!$D$153*SUMPRODUCT($AO$9:$AO$52*$AR$9:$AR$52*$AS$9:$AS$52*(($AP$9:$AP$52+$AQ$9:$AQ$52*Scenario_Control!$M$19)=AG$3))</f>
        <v>0</v>
      </c>
      <c r="AH76" s="11" t="n">
        <f aca="false">Assumptions!$D$153*SUMPRODUCT($AO$9:$AO$52*$AR$9:$AR$52*$AS$9:$AS$52*(($AP$9:$AP$52+$AQ$9:$AQ$52*Scenario_Control!$M$19)=AH$3))</f>
        <v>0</v>
      </c>
      <c r="AI76" s="11" t="n">
        <f aca="false">Assumptions!$D$153*SUMPRODUCT($AO$9:$AO$52*$AR$9:$AR$52*$AS$9:$AS$52*(($AP$9:$AP$52+$AQ$9:$AQ$52*Scenario_Control!$M$19)=AI$3))</f>
        <v>0</v>
      </c>
      <c r="AJ76" s="11" t="n">
        <f aca="false">Assumptions!$D$153*SUMPRODUCT($AO$9:$AO$52*$AR$9:$AR$52*$AS$9:$AS$52*(($AP$9:$AP$52+$AQ$9:$AQ$52*Scenario_Control!$M$19)=AJ$3))</f>
        <v>0</v>
      </c>
      <c r="AK76" s="11" t="n">
        <f aca="false">Assumptions!$D$153*SUMPRODUCT($AO$9:$AO$52*$AR$9:$AR$52*$AS$9:$AS$52*(($AP$9:$AP$52+$AQ$9:$AQ$52*Scenario_Control!$M$19)=AK$3))</f>
        <v>0</v>
      </c>
      <c r="AL76" s="11" t="n">
        <f aca="false">Assumptions!$D$153*SUMPRODUCT($AO$9:$AO$52*$AR$9:$AR$52*$AS$9:$AS$52*(($AP$9:$AP$52+$AQ$9:$AQ$52*Scenario_Control!$M$19)=AL$3))</f>
        <v>0</v>
      </c>
      <c r="AM76" s="11" t="n">
        <f aca="false">Assumptions!$D$153*SUMPRODUCT($AO$9:$AO$52*$AR$9:$AR$52*$AS$9:$AS$52*(($AP$9:$AP$52+$AQ$9:$AQ$52*Scenario_Control!$M$19)=AM$3))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9"/>
    <col collapsed="false" customWidth="true" hidden="false" outlineLevel="0" max="3" min="3" style="1" width="15"/>
    <col collapsed="false" customWidth="true" hidden="false" outlineLevel="0" max="39" min="4" style="1" width="11.5"/>
  </cols>
  <sheetData>
    <row r="1" customFormat="false" ht="17.25" hidden="false" customHeight="true" outlineLevel="0" collapsed="false">
      <c r="A1" s="2" t="s">
        <v>1031</v>
      </c>
    </row>
    <row r="2" customFormat="false" ht="15" hidden="false" customHeight="true" outlineLevel="0" collapsed="false">
      <c r="A2" s="3" t="s">
        <v>57</v>
      </c>
      <c r="B2" s="3" t="str">
        <f aca="false">Scenario_Control!$E$3</f>
        <v>Base</v>
      </c>
    </row>
    <row r="3" customFormat="false" ht="15" hidden="false" customHeight="true" outlineLevel="0" collapsed="false">
      <c r="A3" s="3" t="s">
        <v>770</v>
      </c>
      <c r="D3" s="6" t="n">
        <v>1</v>
      </c>
      <c r="E3" s="6" t="n">
        <f aca="false">D3+1</f>
        <v>2</v>
      </c>
      <c r="F3" s="6" t="n">
        <f aca="false">E3+1</f>
        <v>3</v>
      </c>
      <c r="G3" s="6" t="n">
        <f aca="false">F3+1</f>
        <v>4</v>
      </c>
      <c r="H3" s="6" t="n">
        <f aca="false">G3+1</f>
        <v>5</v>
      </c>
      <c r="I3" s="6" t="n">
        <f aca="false">H3+1</f>
        <v>6</v>
      </c>
      <c r="J3" s="6" t="n">
        <f aca="false">I3+1</f>
        <v>7</v>
      </c>
      <c r="K3" s="6" t="n">
        <f aca="false">J3+1</f>
        <v>8</v>
      </c>
      <c r="L3" s="6" t="n">
        <f aca="false">K3+1</f>
        <v>9</v>
      </c>
      <c r="M3" s="6" t="n">
        <f aca="false">L3+1</f>
        <v>10</v>
      </c>
      <c r="N3" s="6" t="n">
        <f aca="false">M3+1</f>
        <v>11</v>
      </c>
      <c r="O3" s="6" t="n">
        <f aca="false">N3+1</f>
        <v>12</v>
      </c>
      <c r="P3" s="6" t="n">
        <f aca="false">O3+1</f>
        <v>13</v>
      </c>
      <c r="Q3" s="6" t="n">
        <f aca="false">P3+1</f>
        <v>14</v>
      </c>
      <c r="R3" s="6" t="n">
        <f aca="false">Q3+1</f>
        <v>15</v>
      </c>
      <c r="S3" s="6" t="n">
        <f aca="false">R3+1</f>
        <v>16</v>
      </c>
      <c r="T3" s="6" t="n">
        <f aca="false">S3+1</f>
        <v>17</v>
      </c>
      <c r="U3" s="6" t="n">
        <f aca="false">T3+1</f>
        <v>18</v>
      </c>
      <c r="V3" s="6" t="n">
        <f aca="false">U3+1</f>
        <v>19</v>
      </c>
      <c r="W3" s="6" t="n">
        <f aca="false">V3+1</f>
        <v>20</v>
      </c>
      <c r="X3" s="6" t="n">
        <f aca="false">W3+1</f>
        <v>21</v>
      </c>
      <c r="Y3" s="6" t="n">
        <f aca="false">X3+1</f>
        <v>22</v>
      </c>
      <c r="Z3" s="6" t="n">
        <f aca="false">Y3+1</f>
        <v>23</v>
      </c>
      <c r="AA3" s="6" t="n">
        <f aca="false">Z3+1</f>
        <v>24</v>
      </c>
      <c r="AB3" s="6" t="n">
        <f aca="false">AA3+1</f>
        <v>25</v>
      </c>
      <c r="AC3" s="6" t="n">
        <f aca="false">AB3+1</f>
        <v>26</v>
      </c>
      <c r="AD3" s="6" t="n">
        <f aca="false">AC3+1</f>
        <v>27</v>
      </c>
      <c r="AE3" s="6" t="n">
        <f aca="false">AD3+1</f>
        <v>28</v>
      </c>
      <c r="AF3" s="6" t="n">
        <f aca="false">AE3+1</f>
        <v>29</v>
      </c>
      <c r="AG3" s="6" t="n">
        <f aca="false">AF3+1</f>
        <v>30</v>
      </c>
      <c r="AH3" s="6" t="n">
        <f aca="false">AG3+1</f>
        <v>31</v>
      </c>
      <c r="AI3" s="6" t="n">
        <f aca="false">AH3+1</f>
        <v>32</v>
      </c>
      <c r="AJ3" s="6" t="n">
        <f aca="false">AI3+1</f>
        <v>33</v>
      </c>
      <c r="AK3" s="6" t="n">
        <f aca="false">AJ3+1</f>
        <v>34</v>
      </c>
      <c r="AL3" s="6" t="n">
        <f aca="false">AK3+1</f>
        <v>35</v>
      </c>
      <c r="AM3" s="6" t="n">
        <f aca="false">AL3+1</f>
        <v>36</v>
      </c>
    </row>
    <row r="4" customFormat="false" ht="15" hidden="false" customHeight="true" outlineLevel="0" collapsed="false">
      <c r="A4" s="3" t="s">
        <v>771</v>
      </c>
      <c r="D4" s="54" t="n">
        <f aca="false">EDATE(Assumptions!$D$6,D3-1)</f>
        <v>46327</v>
      </c>
      <c r="E4" s="54" t="n">
        <f aca="false">EDATE(Assumptions!$D$6,E3-1)</f>
        <v>46357</v>
      </c>
      <c r="F4" s="54" t="n">
        <f aca="false">EDATE(Assumptions!$D$6,F3-1)</f>
        <v>46388</v>
      </c>
      <c r="G4" s="54" t="n">
        <f aca="false">EDATE(Assumptions!$D$6,G3-1)</f>
        <v>46419</v>
      </c>
      <c r="H4" s="54" t="n">
        <f aca="false">EDATE(Assumptions!$D$6,H3-1)</f>
        <v>46447</v>
      </c>
      <c r="I4" s="54" t="n">
        <f aca="false">EDATE(Assumptions!$D$6,I3-1)</f>
        <v>46478</v>
      </c>
      <c r="J4" s="54" t="n">
        <f aca="false">EDATE(Assumptions!$D$6,J3-1)</f>
        <v>46508</v>
      </c>
      <c r="K4" s="54" t="n">
        <f aca="false">EDATE(Assumptions!$D$6,K3-1)</f>
        <v>46539</v>
      </c>
      <c r="L4" s="54" t="n">
        <f aca="false">EDATE(Assumptions!$D$6,L3-1)</f>
        <v>46569</v>
      </c>
      <c r="M4" s="54" t="n">
        <f aca="false">EDATE(Assumptions!$D$6,M3-1)</f>
        <v>46600</v>
      </c>
      <c r="N4" s="54" t="n">
        <f aca="false">EDATE(Assumptions!$D$6,N3-1)</f>
        <v>46631</v>
      </c>
      <c r="O4" s="54" t="n">
        <f aca="false">EDATE(Assumptions!$D$6,O3-1)</f>
        <v>46661</v>
      </c>
      <c r="P4" s="54" t="n">
        <f aca="false">EDATE(Assumptions!$D$6,P3-1)</f>
        <v>46692</v>
      </c>
      <c r="Q4" s="54" t="n">
        <f aca="false">EDATE(Assumptions!$D$6,Q3-1)</f>
        <v>46722</v>
      </c>
      <c r="R4" s="54" t="n">
        <f aca="false">EDATE(Assumptions!$D$6,R3-1)</f>
        <v>46753</v>
      </c>
      <c r="S4" s="54" t="n">
        <f aca="false">EDATE(Assumptions!$D$6,S3-1)</f>
        <v>46784</v>
      </c>
      <c r="T4" s="54" t="n">
        <f aca="false">EDATE(Assumptions!$D$6,T3-1)</f>
        <v>46813</v>
      </c>
      <c r="U4" s="54" t="n">
        <f aca="false">EDATE(Assumptions!$D$6,U3-1)</f>
        <v>46844</v>
      </c>
      <c r="V4" s="54" t="n">
        <f aca="false">EDATE(Assumptions!$D$6,V3-1)</f>
        <v>46874</v>
      </c>
      <c r="W4" s="54" t="n">
        <f aca="false">EDATE(Assumptions!$D$6,W3-1)</f>
        <v>46905</v>
      </c>
      <c r="X4" s="54" t="n">
        <f aca="false">EDATE(Assumptions!$D$6,X3-1)</f>
        <v>46935</v>
      </c>
      <c r="Y4" s="54" t="n">
        <f aca="false">EDATE(Assumptions!$D$6,Y3-1)</f>
        <v>46966</v>
      </c>
      <c r="Z4" s="54" t="n">
        <f aca="false">EDATE(Assumptions!$D$6,Z3-1)</f>
        <v>46997</v>
      </c>
      <c r="AA4" s="54" t="n">
        <f aca="false">EDATE(Assumptions!$D$6,AA3-1)</f>
        <v>47027</v>
      </c>
      <c r="AB4" s="54" t="n">
        <f aca="false">EDATE(Assumptions!$D$6,AB3-1)</f>
        <v>47058</v>
      </c>
      <c r="AC4" s="54" t="n">
        <f aca="false">EDATE(Assumptions!$D$6,AC3-1)</f>
        <v>47088</v>
      </c>
      <c r="AD4" s="54" t="n">
        <f aca="false">EDATE(Assumptions!$D$6,AD3-1)</f>
        <v>47119</v>
      </c>
      <c r="AE4" s="54" t="n">
        <f aca="false">EDATE(Assumptions!$D$6,AE3-1)</f>
        <v>47150</v>
      </c>
      <c r="AF4" s="54" t="n">
        <f aca="false">EDATE(Assumptions!$D$6,AF3-1)</f>
        <v>47178</v>
      </c>
      <c r="AG4" s="54" t="n">
        <f aca="false">EDATE(Assumptions!$D$6,AG3-1)</f>
        <v>47209</v>
      </c>
      <c r="AH4" s="54" t="n">
        <f aca="false">EDATE(Assumptions!$D$6,AH3-1)</f>
        <v>47239</v>
      </c>
      <c r="AI4" s="54" t="n">
        <f aca="false">EDATE(Assumptions!$D$6,AI3-1)</f>
        <v>47270</v>
      </c>
      <c r="AJ4" s="54" t="n">
        <f aca="false">EDATE(Assumptions!$D$6,AJ3-1)</f>
        <v>47300</v>
      </c>
      <c r="AK4" s="54" t="n">
        <f aca="false">EDATE(Assumptions!$D$6,AK3-1)</f>
        <v>47331</v>
      </c>
      <c r="AL4" s="54" t="n">
        <f aca="false">EDATE(Assumptions!$D$6,AL3-1)</f>
        <v>47362</v>
      </c>
      <c r="AM4" s="54" t="n">
        <f aca="false">EDATE(Assumptions!$D$6,AM3-1)</f>
        <v>47392</v>
      </c>
    </row>
    <row r="5" customFormat="false" ht="15" hidden="false" customHeight="true" outlineLevel="0" collapsed="false">
      <c r="A5" s="3" t="s">
        <v>772</v>
      </c>
      <c r="D5" s="55" t="n">
        <f aca="false">INT((D3-1)/12)+1</f>
        <v>1</v>
      </c>
      <c r="E5" s="55" t="n">
        <f aca="false">INT((E3-1)/12)+1</f>
        <v>1</v>
      </c>
      <c r="F5" s="55" t="n">
        <f aca="false">INT((F3-1)/12)+1</f>
        <v>1</v>
      </c>
      <c r="G5" s="55" t="n">
        <f aca="false">INT((G3-1)/12)+1</f>
        <v>1</v>
      </c>
      <c r="H5" s="55" t="n">
        <f aca="false">INT((H3-1)/12)+1</f>
        <v>1</v>
      </c>
      <c r="I5" s="55" t="n">
        <f aca="false">INT((I3-1)/12)+1</f>
        <v>1</v>
      </c>
      <c r="J5" s="55" t="n">
        <f aca="false">INT((J3-1)/12)+1</f>
        <v>1</v>
      </c>
      <c r="K5" s="55" t="n">
        <f aca="false">INT((K3-1)/12)+1</f>
        <v>1</v>
      </c>
      <c r="L5" s="55" t="n">
        <f aca="false">INT((L3-1)/12)+1</f>
        <v>1</v>
      </c>
      <c r="M5" s="55" t="n">
        <f aca="false">INT((M3-1)/12)+1</f>
        <v>1</v>
      </c>
      <c r="N5" s="55" t="n">
        <f aca="false">INT((N3-1)/12)+1</f>
        <v>1</v>
      </c>
      <c r="O5" s="55" t="n">
        <f aca="false">INT((O3-1)/12)+1</f>
        <v>1</v>
      </c>
      <c r="P5" s="55" t="n">
        <f aca="false">INT((P3-1)/12)+1</f>
        <v>2</v>
      </c>
      <c r="Q5" s="55" t="n">
        <f aca="false">INT((Q3-1)/12)+1</f>
        <v>2</v>
      </c>
      <c r="R5" s="55" t="n">
        <f aca="false">INT((R3-1)/12)+1</f>
        <v>2</v>
      </c>
      <c r="S5" s="55" t="n">
        <f aca="false">INT((S3-1)/12)+1</f>
        <v>2</v>
      </c>
      <c r="T5" s="55" t="n">
        <f aca="false">INT((T3-1)/12)+1</f>
        <v>2</v>
      </c>
      <c r="U5" s="55" t="n">
        <f aca="false">INT((U3-1)/12)+1</f>
        <v>2</v>
      </c>
      <c r="V5" s="55" t="n">
        <f aca="false">INT((V3-1)/12)+1</f>
        <v>2</v>
      </c>
      <c r="W5" s="55" t="n">
        <f aca="false">INT((W3-1)/12)+1</f>
        <v>2</v>
      </c>
      <c r="X5" s="55" t="n">
        <f aca="false">INT((X3-1)/12)+1</f>
        <v>2</v>
      </c>
      <c r="Y5" s="55" t="n">
        <f aca="false">INT((Y3-1)/12)+1</f>
        <v>2</v>
      </c>
      <c r="Z5" s="55" t="n">
        <f aca="false">INT((Z3-1)/12)+1</f>
        <v>2</v>
      </c>
      <c r="AA5" s="55" t="n">
        <f aca="false">INT((AA3-1)/12)+1</f>
        <v>2</v>
      </c>
      <c r="AB5" s="55" t="n">
        <f aca="false">INT((AB3-1)/12)+1</f>
        <v>3</v>
      </c>
      <c r="AC5" s="55" t="n">
        <f aca="false">INT((AC3-1)/12)+1</f>
        <v>3</v>
      </c>
      <c r="AD5" s="55" t="n">
        <f aca="false">INT((AD3-1)/12)+1</f>
        <v>3</v>
      </c>
      <c r="AE5" s="55" t="n">
        <f aca="false">INT((AE3-1)/12)+1</f>
        <v>3</v>
      </c>
      <c r="AF5" s="55" t="n">
        <f aca="false">INT((AF3-1)/12)+1</f>
        <v>3</v>
      </c>
      <c r="AG5" s="55" t="n">
        <f aca="false">INT((AG3-1)/12)+1</f>
        <v>3</v>
      </c>
      <c r="AH5" s="55" t="n">
        <f aca="false">INT((AH3-1)/12)+1</f>
        <v>3</v>
      </c>
      <c r="AI5" s="55" t="n">
        <f aca="false">INT((AI3-1)/12)+1</f>
        <v>3</v>
      </c>
      <c r="AJ5" s="55" t="n">
        <f aca="false">INT((AJ3-1)/12)+1</f>
        <v>3</v>
      </c>
      <c r="AK5" s="55" t="n">
        <f aca="false">INT((AK3-1)/12)+1</f>
        <v>3</v>
      </c>
      <c r="AL5" s="55" t="n">
        <f aca="false">INT((AL3-1)/12)+1</f>
        <v>3</v>
      </c>
      <c r="AM5" s="55" t="n">
        <f aca="false">INT((AM3-1)/12)+1</f>
        <v>3</v>
      </c>
    </row>
    <row r="6" customFormat="false" ht="15" hidden="false" customHeight="true" outlineLevel="0" collapsed="false">
      <c r="A6" s="3" t="s">
        <v>773</v>
      </c>
      <c r="D6" s="55" t="n">
        <f aca="false">MONTH(D4)</f>
        <v>11</v>
      </c>
      <c r="E6" s="55" t="n">
        <f aca="false">MONTH(E4)</f>
        <v>12</v>
      </c>
      <c r="F6" s="55" t="n">
        <f aca="false">MONTH(F4)</f>
        <v>1</v>
      </c>
      <c r="G6" s="55" t="n">
        <f aca="false">MONTH(G4)</f>
        <v>2</v>
      </c>
      <c r="H6" s="55" t="n">
        <f aca="false">MONTH(H4)</f>
        <v>3</v>
      </c>
      <c r="I6" s="55" t="n">
        <f aca="false">MONTH(I4)</f>
        <v>4</v>
      </c>
      <c r="J6" s="55" t="n">
        <f aca="false">MONTH(J4)</f>
        <v>5</v>
      </c>
      <c r="K6" s="55" t="n">
        <f aca="false">MONTH(K4)</f>
        <v>6</v>
      </c>
      <c r="L6" s="55" t="n">
        <f aca="false">MONTH(L4)</f>
        <v>7</v>
      </c>
      <c r="M6" s="55" t="n">
        <f aca="false">MONTH(M4)</f>
        <v>8</v>
      </c>
      <c r="N6" s="55" t="n">
        <f aca="false">MONTH(N4)</f>
        <v>9</v>
      </c>
      <c r="O6" s="55" t="n">
        <f aca="false">MONTH(O4)</f>
        <v>10</v>
      </c>
      <c r="P6" s="55" t="n">
        <f aca="false">MONTH(P4)</f>
        <v>11</v>
      </c>
      <c r="Q6" s="55" t="n">
        <f aca="false">MONTH(Q4)</f>
        <v>12</v>
      </c>
      <c r="R6" s="55" t="n">
        <f aca="false">MONTH(R4)</f>
        <v>1</v>
      </c>
      <c r="S6" s="55" t="n">
        <f aca="false">MONTH(S4)</f>
        <v>2</v>
      </c>
      <c r="T6" s="55" t="n">
        <f aca="false">MONTH(T4)</f>
        <v>3</v>
      </c>
      <c r="U6" s="55" t="n">
        <f aca="false">MONTH(U4)</f>
        <v>4</v>
      </c>
      <c r="V6" s="55" t="n">
        <f aca="false">MONTH(V4)</f>
        <v>5</v>
      </c>
      <c r="W6" s="55" t="n">
        <f aca="false">MONTH(W4)</f>
        <v>6</v>
      </c>
      <c r="X6" s="55" t="n">
        <f aca="false">MONTH(X4)</f>
        <v>7</v>
      </c>
      <c r="Y6" s="55" t="n">
        <f aca="false">MONTH(Y4)</f>
        <v>8</v>
      </c>
      <c r="Z6" s="55" t="n">
        <f aca="false">MONTH(Z4)</f>
        <v>9</v>
      </c>
      <c r="AA6" s="55" t="n">
        <f aca="false">MONTH(AA4)</f>
        <v>10</v>
      </c>
      <c r="AB6" s="55" t="n">
        <f aca="false">MONTH(AB4)</f>
        <v>11</v>
      </c>
      <c r="AC6" s="55" t="n">
        <f aca="false">MONTH(AC4)</f>
        <v>12</v>
      </c>
      <c r="AD6" s="55" t="n">
        <f aca="false">MONTH(AD4)</f>
        <v>1</v>
      </c>
      <c r="AE6" s="55" t="n">
        <f aca="false">MONTH(AE4)</f>
        <v>2</v>
      </c>
      <c r="AF6" s="55" t="n">
        <f aca="false">MONTH(AF4)</f>
        <v>3</v>
      </c>
      <c r="AG6" s="55" t="n">
        <f aca="false">MONTH(AG4)</f>
        <v>4</v>
      </c>
      <c r="AH6" s="55" t="n">
        <f aca="false">MONTH(AH4)</f>
        <v>5</v>
      </c>
      <c r="AI6" s="55" t="n">
        <f aca="false">MONTH(AI4)</f>
        <v>6</v>
      </c>
      <c r="AJ6" s="55" t="n">
        <f aca="false">MONTH(AJ4)</f>
        <v>7</v>
      </c>
      <c r="AK6" s="55" t="n">
        <f aca="false">MONTH(AK4)</f>
        <v>8</v>
      </c>
      <c r="AL6" s="55" t="n">
        <f aca="false">MONTH(AL4)</f>
        <v>9</v>
      </c>
      <c r="AM6" s="55" t="n">
        <f aca="false">MONTH(AM4)</f>
        <v>10</v>
      </c>
    </row>
    <row r="7" customFormat="false" ht="15" hidden="false" customHeight="true" outlineLevel="0" collapsed="false">
      <c r="A7" s="3" t="s">
        <v>176</v>
      </c>
      <c r="D7" s="55" t="n">
        <f aca="false">INT((D3-1)/3)+1</f>
        <v>1</v>
      </c>
      <c r="E7" s="55" t="n">
        <f aca="false">INT((E3-1)/3)+1</f>
        <v>1</v>
      </c>
      <c r="F7" s="55" t="n">
        <f aca="false">INT((F3-1)/3)+1</f>
        <v>1</v>
      </c>
      <c r="G7" s="55" t="n">
        <f aca="false">INT((G3-1)/3)+1</f>
        <v>2</v>
      </c>
      <c r="H7" s="55" t="n">
        <f aca="false">INT((H3-1)/3)+1</f>
        <v>2</v>
      </c>
      <c r="I7" s="55" t="n">
        <f aca="false">INT((I3-1)/3)+1</f>
        <v>2</v>
      </c>
      <c r="J7" s="55" t="n">
        <f aca="false">INT((J3-1)/3)+1</f>
        <v>3</v>
      </c>
      <c r="K7" s="55" t="n">
        <f aca="false">INT((K3-1)/3)+1</f>
        <v>3</v>
      </c>
      <c r="L7" s="55" t="n">
        <f aca="false">INT((L3-1)/3)+1</f>
        <v>3</v>
      </c>
      <c r="M7" s="55" t="n">
        <f aca="false">INT((M3-1)/3)+1</f>
        <v>4</v>
      </c>
      <c r="N7" s="55" t="n">
        <f aca="false">INT((N3-1)/3)+1</f>
        <v>4</v>
      </c>
      <c r="O7" s="55" t="n">
        <f aca="false">INT((O3-1)/3)+1</f>
        <v>4</v>
      </c>
      <c r="P7" s="55" t="n">
        <f aca="false">INT((P3-1)/3)+1</f>
        <v>5</v>
      </c>
      <c r="Q7" s="55" t="n">
        <f aca="false">INT((Q3-1)/3)+1</f>
        <v>5</v>
      </c>
      <c r="R7" s="55" t="n">
        <f aca="false">INT((R3-1)/3)+1</f>
        <v>5</v>
      </c>
      <c r="S7" s="55" t="n">
        <f aca="false">INT((S3-1)/3)+1</f>
        <v>6</v>
      </c>
      <c r="T7" s="55" t="n">
        <f aca="false">INT((T3-1)/3)+1</f>
        <v>6</v>
      </c>
      <c r="U7" s="55" t="n">
        <f aca="false">INT((U3-1)/3)+1</f>
        <v>6</v>
      </c>
      <c r="V7" s="55" t="n">
        <f aca="false">INT((V3-1)/3)+1</f>
        <v>7</v>
      </c>
      <c r="W7" s="55" t="n">
        <f aca="false">INT((W3-1)/3)+1</f>
        <v>7</v>
      </c>
      <c r="X7" s="55" t="n">
        <f aca="false">INT((X3-1)/3)+1</f>
        <v>7</v>
      </c>
      <c r="Y7" s="55" t="n">
        <f aca="false">INT((Y3-1)/3)+1</f>
        <v>8</v>
      </c>
      <c r="Z7" s="55" t="n">
        <f aca="false">INT((Z3-1)/3)+1</f>
        <v>8</v>
      </c>
      <c r="AA7" s="55" t="n">
        <f aca="false">INT((AA3-1)/3)+1</f>
        <v>8</v>
      </c>
      <c r="AB7" s="55" t="n">
        <f aca="false">INT((AB3-1)/3)+1</f>
        <v>9</v>
      </c>
      <c r="AC7" s="55" t="n">
        <f aca="false">INT((AC3-1)/3)+1</f>
        <v>9</v>
      </c>
      <c r="AD7" s="55" t="n">
        <f aca="false">INT((AD3-1)/3)+1</f>
        <v>9</v>
      </c>
      <c r="AE7" s="55" t="n">
        <f aca="false">INT((AE3-1)/3)+1</f>
        <v>10</v>
      </c>
      <c r="AF7" s="55" t="n">
        <f aca="false">INT((AF3-1)/3)+1</f>
        <v>10</v>
      </c>
      <c r="AG7" s="55" t="n">
        <f aca="false">INT((AG3-1)/3)+1</f>
        <v>10</v>
      </c>
      <c r="AH7" s="55" t="n">
        <f aca="false">INT((AH3-1)/3)+1</f>
        <v>11</v>
      </c>
      <c r="AI7" s="55" t="n">
        <f aca="false">INT((AI3-1)/3)+1</f>
        <v>11</v>
      </c>
      <c r="AJ7" s="55" t="n">
        <f aca="false">INT((AJ3-1)/3)+1</f>
        <v>11</v>
      </c>
      <c r="AK7" s="55" t="n">
        <f aca="false">INT((AK3-1)/3)+1</f>
        <v>12</v>
      </c>
      <c r="AL7" s="55" t="n">
        <f aca="false">INT((AL3-1)/3)+1</f>
        <v>12</v>
      </c>
      <c r="AM7" s="55" t="n">
        <f aca="false">INT((AM3-1)/3)+1</f>
        <v>12</v>
      </c>
    </row>
    <row r="8" customFormat="false" ht="15" hidden="false" customHeight="true" outlineLevel="0" collapsed="false">
      <c r="A8" s="44"/>
      <c r="B8" s="44" t="s">
        <v>60</v>
      </c>
      <c r="C8" s="44" t="s">
        <v>774</v>
      </c>
      <c r="D8" s="56" t="str">
        <f aca="false">"M"&amp;D3</f>
        <v>M1</v>
      </c>
      <c r="E8" s="56" t="str">
        <f aca="false">"M"&amp;E3</f>
        <v>M2</v>
      </c>
      <c r="F8" s="56" t="str">
        <f aca="false">"M"&amp;F3</f>
        <v>M3</v>
      </c>
      <c r="G8" s="56" t="str">
        <f aca="false">"M"&amp;G3</f>
        <v>M4</v>
      </c>
      <c r="H8" s="56" t="str">
        <f aca="false">"M"&amp;H3</f>
        <v>M5</v>
      </c>
      <c r="I8" s="56" t="str">
        <f aca="false">"M"&amp;I3</f>
        <v>M6</v>
      </c>
      <c r="J8" s="56" t="str">
        <f aca="false">"M"&amp;J3</f>
        <v>M7</v>
      </c>
      <c r="K8" s="56" t="str">
        <f aca="false">"M"&amp;K3</f>
        <v>M8</v>
      </c>
      <c r="L8" s="56" t="str">
        <f aca="false">"M"&amp;L3</f>
        <v>M9</v>
      </c>
      <c r="M8" s="56" t="str">
        <f aca="false">"M"&amp;M3</f>
        <v>M10</v>
      </c>
      <c r="N8" s="56" t="str">
        <f aca="false">"M"&amp;N3</f>
        <v>M11</v>
      </c>
      <c r="O8" s="56" t="str">
        <f aca="false">"M"&amp;O3</f>
        <v>M12</v>
      </c>
      <c r="P8" s="56" t="str">
        <f aca="false">"M"&amp;P3</f>
        <v>M13</v>
      </c>
      <c r="Q8" s="56" t="str">
        <f aca="false">"M"&amp;Q3</f>
        <v>M14</v>
      </c>
      <c r="R8" s="56" t="str">
        <f aca="false">"M"&amp;R3</f>
        <v>M15</v>
      </c>
      <c r="S8" s="56" t="str">
        <f aca="false">"M"&amp;S3</f>
        <v>M16</v>
      </c>
      <c r="T8" s="56" t="str">
        <f aca="false">"M"&amp;T3</f>
        <v>M17</v>
      </c>
      <c r="U8" s="56" t="str">
        <f aca="false">"M"&amp;U3</f>
        <v>M18</v>
      </c>
      <c r="V8" s="56" t="str">
        <f aca="false">"M"&amp;V3</f>
        <v>M19</v>
      </c>
      <c r="W8" s="56" t="str">
        <f aca="false">"M"&amp;W3</f>
        <v>M20</v>
      </c>
      <c r="X8" s="56" t="str">
        <f aca="false">"M"&amp;X3</f>
        <v>M21</v>
      </c>
      <c r="Y8" s="56" t="str">
        <f aca="false">"M"&amp;Y3</f>
        <v>M22</v>
      </c>
      <c r="Z8" s="56" t="str">
        <f aca="false">"M"&amp;Z3</f>
        <v>M23</v>
      </c>
      <c r="AA8" s="56" t="str">
        <f aca="false">"M"&amp;AA3</f>
        <v>M24</v>
      </c>
      <c r="AB8" s="56" t="str">
        <f aca="false">"M"&amp;AB3</f>
        <v>M25</v>
      </c>
      <c r="AC8" s="56" t="str">
        <f aca="false">"M"&amp;AC3</f>
        <v>M26</v>
      </c>
      <c r="AD8" s="56" t="str">
        <f aca="false">"M"&amp;AD3</f>
        <v>M27</v>
      </c>
      <c r="AE8" s="56" t="str">
        <f aca="false">"M"&amp;AE3</f>
        <v>M28</v>
      </c>
      <c r="AF8" s="56" t="str">
        <f aca="false">"M"&amp;AF3</f>
        <v>M29</v>
      </c>
      <c r="AG8" s="56" t="str">
        <f aca="false">"M"&amp;AG3</f>
        <v>M30</v>
      </c>
      <c r="AH8" s="56" t="str">
        <f aca="false">"M"&amp;AH3</f>
        <v>M31</v>
      </c>
      <c r="AI8" s="56" t="str">
        <f aca="false">"M"&amp;AI3</f>
        <v>M32</v>
      </c>
      <c r="AJ8" s="56" t="str">
        <f aca="false">"M"&amp;AJ3</f>
        <v>M33</v>
      </c>
      <c r="AK8" s="56" t="str">
        <f aca="false">"M"&amp;AK3</f>
        <v>M34</v>
      </c>
      <c r="AL8" s="56" t="str">
        <f aca="false">"M"&amp;AL3</f>
        <v>M35</v>
      </c>
      <c r="AM8" s="56" t="str">
        <f aca="false">"M"&amp;AM3</f>
        <v>M36</v>
      </c>
    </row>
    <row r="9" customFormat="false" ht="15" hidden="false" customHeight="true" outlineLevel="0" collapsed="false">
      <c r="A9" s="8" t="s">
        <v>1032</v>
      </c>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row>
    <row r="10" customFormat="false" ht="15" hidden="false" customHeight="true" outlineLevel="0" collapsed="false">
      <c r="A10" s="5" t="s">
        <v>1033</v>
      </c>
      <c r="B10" s="10" t="s">
        <v>64</v>
      </c>
      <c r="C10" s="12" t="n">
        <f aca="false">SUM(D10:AM10)</f>
        <v>269607.897837759</v>
      </c>
      <c r="D10" s="11" t="n">
        <f aca="false">Revenue!D132</f>
        <v>125.333396875</v>
      </c>
      <c r="E10" s="11" t="n">
        <f aca="false">Revenue!E132</f>
        <v>195.854191375</v>
      </c>
      <c r="F10" s="11" t="n">
        <f aca="false">Revenue!F132</f>
        <v>539.675252315</v>
      </c>
      <c r="G10" s="11" t="n">
        <f aca="false">Revenue!G132</f>
        <v>745.6300302548</v>
      </c>
      <c r="H10" s="11" t="n">
        <f aca="false">Revenue!H132</f>
        <v>919.667117209416</v>
      </c>
      <c r="I10" s="11" t="n">
        <f aca="false">Revenue!I132</f>
        <v>1038.20376345766</v>
      </c>
      <c r="J10" s="11" t="n">
        <f aca="false">Revenue!J132</f>
        <v>1103.54103300605</v>
      </c>
      <c r="K10" s="11" t="n">
        <f aca="false">Revenue!K132</f>
        <v>1167.92926349057</v>
      </c>
      <c r="L10" s="11" t="n">
        <f aca="false">Revenue!L132</f>
        <v>1306.64441616132</v>
      </c>
      <c r="M10" s="11" t="n">
        <f aca="false">Revenue!M132</f>
        <v>1867.88230536841</v>
      </c>
      <c r="N10" s="11" t="n">
        <f aca="false">Revenue!N132</f>
        <v>2460.02217718894</v>
      </c>
      <c r="O10" s="11" t="n">
        <f aca="false">Revenue!O132</f>
        <v>2631.53061551383</v>
      </c>
      <c r="P10" s="11" t="n">
        <f aca="false">Revenue!P132</f>
        <v>2953.75626723626</v>
      </c>
      <c r="Q10" s="11" t="n">
        <f aca="false">Revenue!Q132</f>
        <v>3104.57134461257</v>
      </c>
      <c r="R10" s="11" t="n">
        <f aca="false">Revenue!R132</f>
        <v>4142.70167782481</v>
      </c>
      <c r="S10" s="11" t="n">
        <f aca="false">Revenue!S132</f>
        <v>4738.53970131237</v>
      </c>
      <c r="T10" s="11" t="n">
        <f aca="false">Revenue!T132</f>
        <v>5234.86525244696</v>
      </c>
      <c r="U10" s="11" t="n">
        <f aca="false">Revenue!U132</f>
        <v>5555.53108218871</v>
      </c>
      <c r="V10" s="11" t="n">
        <f aca="false">Revenue!V132</f>
        <v>5708.13740497819</v>
      </c>
      <c r="W10" s="11" t="n">
        <f aca="false">Revenue!W132</f>
        <v>5861.44034848619</v>
      </c>
      <c r="X10" s="11" t="n">
        <f aca="false">Revenue!X132</f>
        <v>6258.03007863333</v>
      </c>
      <c r="Y10" s="11" t="n">
        <f aca="false">Revenue!Y132</f>
        <v>8020.47001009267</v>
      </c>
      <c r="Z10" s="11" t="n">
        <f aca="false">Revenue!Z132</f>
        <v>9881.10943667067</v>
      </c>
      <c r="AA10" s="11" t="n">
        <f aca="false">Revenue!AA132</f>
        <v>10382.6695885599</v>
      </c>
      <c r="AB10" s="11" t="n">
        <f aca="false">Revenue!AB132</f>
        <v>10771.0890333632</v>
      </c>
      <c r="AC10" s="11" t="n">
        <f aca="false">Revenue!AC132</f>
        <v>10872.730763228</v>
      </c>
      <c r="AD10" s="11" t="n">
        <f aca="false">Revenue!AD132</f>
        <v>12529.4585542478</v>
      </c>
      <c r="AE10" s="11" t="n">
        <f aca="false">Revenue!AE132</f>
        <v>13422.101388671</v>
      </c>
      <c r="AF10" s="11" t="n">
        <f aca="false">Revenue!AF132</f>
        <v>14148.9065986347</v>
      </c>
      <c r="AG10" s="11" t="n">
        <f aca="false">Revenue!AG132</f>
        <v>14577.2905625876</v>
      </c>
      <c r="AH10" s="11" t="n">
        <f aca="false">Revenue!AH132</f>
        <v>14720.8420934504</v>
      </c>
      <c r="AI10" s="11" t="n">
        <f aca="false">Revenue!AI132</f>
        <v>14873.479275365</v>
      </c>
      <c r="AJ10" s="11" t="n">
        <f aca="false">Revenue!AJ132</f>
        <v>15456.5998206301</v>
      </c>
      <c r="AK10" s="11" t="n">
        <f aca="false">Revenue!AK132</f>
        <v>18421.1070241047</v>
      </c>
      <c r="AL10" s="11" t="n">
        <f aca="false">Revenue!AL132</f>
        <v>21553.2886686815</v>
      </c>
      <c r="AM10" s="11" t="n">
        <f aca="false">Revenue!AM132</f>
        <v>22317.2682995359</v>
      </c>
    </row>
    <row r="11" customFormat="false" ht="15" hidden="false" customHeight="true" outlineLevel="0" collapsed="false">
      <c r="A11" s="5" t="s">
        <v>1034</v>
      </c>
      <c r="B11" s="10" t="s">
        <v>64</v>
      </c>
      <c r="C11" s="12" t="n">
        <f aca="false">SUM(D11:AM11)</f>
        <v>2486813.83793333</v>
      </c>
      <c r="D11" s="11" t="n">
        <f aca="false">Revenue!D133</f>
        <v>0</v>
      </c>
      <c r="E11" s="11" t="n">
        <f aca="false">Revenue!E133</f>
        <v>0</v>
      </c>
      <c r="F11" s="11" t="n">
        <f aca="false">Revenue!F133</f>
        <v>400</v>
      </c>
      <c r="G11" s="11" t="n">
        <f aca="false">Revenue!G133</f>
        <v>733.333333333333</v>
      </c>
      <c r="H11" s="11" t="n">
        <f aca="false">Revenue!H133</f>
        <v>1541.66666666667</v>
      </c>
      <c r="I11" s="11" t="n">
        <f aca="false">Revenue!I133</f>
        <v>2381.94444444444</v>
      </c>
      <c r="J11" s="11" t="n">
        <f aca="false">Revenue!J133</f>
        <v>3627.77777777778</v>
      </c>
      <c r="K11" s="11" t="n">
        <f aca="false">Revenue!K133</f>
        <v>5041.66666666667</v>
      </c>
      <c r="L11" s="11" t="n">
        <f aca="false">Revenue!L133</f>
        <v>7061.11111111111</v>
      </c>
      <c r="M11" s="11" t="n">
        <f aca="false">Revenue!M133</f>
        <v>9027.77777777778</v>
      </c>
      <c r="N11" s="11" t="n">
        <f aca="false">Revenue!N133</f>
        <v>10819.4444444444</v>
      </c>
      <c r="O11" s="11" t="n">
        <f aca="false">Revenue!O133</f>
        <v>12298.6111111111</v>
      </c>
      <c r="P11" s="11" t="n">
        <f aca="false">Revenue!P133</f>
        <v>13690.2777777778</v>
      </c>
      <c r="Q11" s="11" t="n">
        <f aca="false">Revenue!Q133</f>
        <v>15152.7777777778</v>
      </c>
      <c r="R11" s="11" t="n">
        <f aca="false">Revenue!R133</f>
        <v>17291.6666666667</v>
      </c>
      <c r="S11" s="11" t="n">
        <f aca="false">Revenue!S133</f>
        <v>19277.7777777778</v>
      </c>
      <c r="T11" s="11" t="n">
        <f aca="false">Revenue!T133</f>
        <v>22997</v>
      </c>
      <c r="U11" s="11" t="n">
        <f aca="false">Revenue!U133</f>
        <v>26327.8333333333</v>
      </c>
      <c r="V11" s="11" t="n">
        <f aca="false">Revenue!V133</f>
        <v>33191.3888888889</v>
      </c>
      <c r="W11" s="11" t="n">
        <f aca="false">Revenue!W133</f>
        <v>40474.5833333333</v>
      </c>
      <c r="X11" s="11" t="n">
        <f aca="false">Revenue!X133</f>
        <v>50999.6888888889</v>
      </c>
      <c r="Y11" s="11" t="n">
        <f aca="false">Revenue!Y133</f>
        <v>62060.6888888889</v>
      </c>
      <c r="Z11" s="11" t="n">
        <f aca="false">Revenue!Z133</f>
        <v>74334.2222222222</v>
      </c>
      <c r="AA11" s="11" t="n">
        <f aca="false">Revenue!AA133</f>
        <v>86255.3888888889</v>
      </c>
      <c r="AB11" s="11" t="n">
        <f aca="false">Revenue!AB133</f>
        <v>97289.4222222222</v>
      </c>
      <c r="AC11" s="11" t="n">
        <f aca="false">Revenue!AC133</f>
        <v>107276.472222222</v>
      </c>
      <c r="AD11" s="11" t="n">
        <f aca="false">Revenue!AD133</f>
        <v>115579.816666667</v>
      </c>
      <c r="AE11" s="11" t="n">
        <f aca="false">Revenue!AE133</f>
        <v>122539.888888889</v>
      </c>
      <c r="AF11" s="11" t="n">
        <f aca="false">Revenue!AF133</f>
        <v>131108.429333333</v>
      </c>
      <c r="AG11" s="11" t="n">
        <f aca="false">Revenue!AG133</f>
        <v>139124.176</v>
      </c>
      <c r="AH11" s="11" t="n">
        <f aca="false">Revenue!AH133</f>
        <v>154379.047777778</v>
      </c>
      <c r="AI11" s="11" t="n">
        <f aca="false">Revenue!AI133</f>
        <v>170063.188333333</v>
      </c>
      <c r="AJ11" s="11" t="n">
        <f aca="false">Revenue!AJ133</f>
        <v>193077.715911111</v>
      </c>
      <c r="AK11" s="11" t="n">
        <f aca="false">Revenue!AK133</f>
        <v>217823.055911111</v>
      </c>
      <c r="AL11" s="11" t="n">
        <f aca="false">Revenue!AL133</f>
        <v>247001.195111111</v>
      </c>
      <c r="AM11" s="11" t="n">
        <f aca="false">Revenue!AM133</f>
        <v>276564.801777778</v>
      </c>
    </row>
    <row r="12" customFormat="false" ht="15" hidden="false" customHeight="true" outlineLevel="0" collapsed="false">
      <c r="A12" s="5" t="s">
        <v>1035</v>
      </c>
      <c r="B12" s="10" t="s">
        <v>64</v>
      </c>
      <c r="C12" s="12" t="n">
        <f aca="false">SUM(D12:AM12)</f>
        <v>2605000</v>
      </c>
      <c r="D12" s="11" t="n">
        <f aca="false">Revenue!D134</f>
        <v>0</v>
      </c>
      <c r="E12" s="11" t="n">
        <f aca="false">Revenue!E134</f>
        <v>2000</v>
      </c>
      <c r="F12" s="11" t="n">
        <f aca="false">Revenue!F134</f>
        <v>3666.66666666667</v>
      </c>
      <c r="G12" s="11" t="n">
        <f aca="false">Revenue!G134</f>
        <v>5166.66666666667</v>
      </c>
      <c r="H12" s="11" t="n">
        <f aca="false">Revenue!H134</f>
        <v>7250</v>
      </c>
      <c r="I12" s="11" t="n">
        <f aca="false">Revenue!I134</f>
        <v>9166.66666666667</v>
      </c>
      <c r="J12" s="11" t="n">
        <f aca="false">Revenue!J134</f>
        <v>11583.3333333333</v>
      </c>
      <c r="K12" s="11" t="n">
        <f aca="false">Revenue!K134</f>
        <v>13333.3333333333</v>
      </c>
      <c r="L12" s="11" t="n">
        <f aca="false">Revenue!L134</f>
        <v>14166.6666666667</v>
      </c>
      <c r="M12" s="11" t="n">
        <f aca="false">Revenue!M134</f>
        <v>11833.3333333333</v>
      </c>
      <c r="N12" s="11" t="n">
        <f aca="false">Revenue!N134</f>
        <v>7916.66666666667</v>
      </c>
      <c r="O12" s="11" t="n">
        <f aca="false">Revenue!O134</f>
        <v>5250</v>
      </c>
      <c r="P12" s="11" t="n">
        <f aca="false">Revenue!P134</f>
        <v>4583.33333333333</v>
      </c>
      <c r="Q12" s="11" t="n">
        <f aca="false">Revenue!Q134</f>
        <v>13500</v>
      </c>
      <c r="R12" s="11" t="n">
        <f aca="false">Revenue!R134</f>
        <v>20541.6666666667</v>
      </c>
      <c r="S12" s="11" t="n">
        <f aca="false">Revenue!S134</f>
        <v>32583.3333333333</v>
      </c>
      <c r="T12" s="11" t="n">
        <f aca="false">Revenue!T134</f>
        <v>46875</v>
      </c>
      <c r="U12" s="11" t="n">
        <f aca="false">Revenue!U134</f>
        <v>62333.3333333333</v>
      </c>
      <c r="V12" s="11" t="n">
        <f aca="false">Revenue!V134</f>
        <v>81416.6666666667</v>
      </c>
      <c r="W12" s="11" t="n">
        <f aca="false">Revenue!W134</f>
        <v>95916.6666666667</v>
      </c>
      <c r="X12" s="11" t="n">
        <f aca="false">Revenue!X134</f>
        <v>107208.333333333</v>
      </c>
      <c r="Y12" s="11" t="n">
        <f aca="false">Revenue!Y134</f>
        <v>100041.666666667</v>
      </c>
      <c r="Z12" s="11" t="n">
        <f aca="false">Revenue!Z134</f>
        <v>82708.3333333333</v>
      </c>
      <c r="AA12" s="11" t="n">
        <f aca="false">Revenue!AA134</f>
        <v>64625</v>
      </c>
      <c r="AB12" s="11" t="n">
        <f aca="false">Revenue!AB134</f>
        <v>52916.6666666667</v>
      </c>
      <c r="AC12" s="11" t="n">
        <f aca="false">Revenue!AC134</f>
        <v>58000</v>
      </c>
      <c r="AD12" s="11" t="n">
        <f aca="false">Revenue!AD134</f>
        <v>61791.6666666667</v>
      </c>
      <c r="AE12" s="11" t="n">
        <f aca="false">Revenue!AE134</f>
        <v>83750</v>
      </c>
      <c r="AF12" s="11" t="n">
        <f aca="false">Revenue!AF134</f>
        <v>111625</v>
      </c>
      <c r="AG12" s="11" t="n">
        <f aca="false">Revenue!AG134</f>
        <v>147000</v>
      </c>
      <c r="AH12" s="11" t="n">
        <f aca="false">Revenue!AH134</f>
        <v>189750</v>
      </c>
      <c r="AI12" s="11" t="n">
        <f aca="false">Revenue!AI134</f>
        <v>224750</v>
      </c>
      <c r="AJ12" s="11" t="n">
        <f aca="false">Revenue!AJ134</f>
        <v>254125</v>
      </c>
      <c r="AK12" s="11" t="n">
        <f aca="false">Revenue!AK134</f>
        <v>242625</v>
      </c>
      <c r="AL12" s="11" t="n">
        <f aca="false">Revenue!AL134</f>
        <v>208125</v>
      </c>
      <c r="AM12" s="11" t="n">
        <f aca="false">Revenue!AM134</f>
        <v>166875</v>
      </c>
    </row>
    <row r="13" customFormat="false" ht="15" hidden="false" customHeight="true" outlineLevel="0" collapsed="false">
      <c r="A13" s="5" t="s">
        <v>1036</v>
      </c>
      <c r="B13" s="10" t="s">
        <v>64</v>
      </c>
      <c r="C13" s="12" t="n">
        <f aca="false">SUM(D13:AM13)</f>
        <v>85950.3590182756</v>
      </c>
      <c r="D13" s="11" t="n">
        <f aca="false">Revenue!D135</f>
        <v>3.4033359375</v>
      </c>
      <c r="E13" s="11" t="n">
        <f aca="false">Revenue!E135</f>
        <v>5.35004409375</v>
      </c>
      <c r="F13" s="11" t="n">
        <f aca="false">Revenue!F135</f>
        <v>15.2553720745833</v>
      </c>
      <c r="G13" s="11" t="n">
        <f aca="false">Revenue!G135</f>
        <v>21.4153247030611</v>
      </c>
      <c r="H13" s="11" t="n">
        <f aca="false">Revenue!H135</f>
        <v>28.6648106219551</v>
      </c>
      <c r="I13" s="11" t="n">
        <f aca="false">Revenue!I135</f>
        <v>34.2700497312265</v>
      </c>
      <c r="J13" s="11" t="n">
        <f aca="false">Revenue!J135</f>
        <v>39.8404034992561</v>
      </c>
      <c r="K13" s="11" t="n">
        <f aca="false">Revenue!K135</f>
        <v>45.8254577408434</v>
      </c>
      <c r="L13" s="11" t="n">
        <f aca="false">Revenue!L135</f>
        <v>60.5708435361593</v>
      </c>
      <c r="M13" s="11" t="n">
        <f aca="false">Revenue!M135</f>
        <v>86.3279257338221</v>
      </c>
      <c r="N13" s="11" t="n">
        <f aca="false">Revenue!N135</f>
        <v>116.648442825116</v>
      </c>
      <c r="O13" s="11" t="n">
        <f aca="false">Revenue!O135</f>
        <v>135.905544475496</v>
      </c>
      <c r="P13" s="11" t="n">
        <f aca="false">Revenue!P135</f>
        <v>360.598730978142</v>
      </c>
      <c r="Q13" s="11" t="n">
        <f aca="false">Revenue!Q135</f>
        <v>411.184591625064</v>
      </c>
      <c r="R13" s="11" t="n">
        <f aca="false">Revenue!R135</f>
        <v>515.1081570811</v>
      </c>
      <c r="S13" s="11" t="n">
        <f aca="false">Revenue!S135</f>
        <v>594.342449511731</v>
      </c>
      <c r="T13" s="11" t="n">
        <f aca="false">Revenue!T135</f>
        <v>681.852022667667</v>
      </c>
      <c r="U13" s="11" t="n">
        <f aca="false">Revenue!U135</f>
        <v>743.995252521059</v>
      </c>
      <c r="V13" s="11" t="n">
        <f aca="false">Revenue!V135</f>
        <v>856.967982509305</v>
      </c>
      <c r="W13" s="11" t="n">
        <f aca="false">Revenue!W135</f>
        <v>974.343391596547</v>
      </c>
      <c r="X13" s="11" t="n">
        <f aca="false">Revenue!X135</f>
        <v>1175.3080720408</v>
      </c>
      <c r="Y13" s="11" t="n">
        <f aca="false">Revenue!Y135</f>
        <v>1459.64498738032</v>
      </c>
      <c r="Z13" s="11" t="n">
        <f aca="false">Revenue!Z135</f>
        <v>1806.99653470496</v>
      </c>
      <c r="AA13" s="11" t="n">
        <f aca="false">Revenue!AA135</f>
        <v>2093.75338741155</v>
      </c>
      <c r="AB13" s="11" t="n">
        <f aca="false">Revenue!AB135</f>
        <v>3635.83681695319</v>
      </c>
      <c r="AC13" s="11" t="n">
        <f aca="false">Revenue!AC135</f>
        <v>4027.43163810214</v>
      </c>
      <c r="AD13" s="11" t="n">
        <f aca="false">Revenue!AD135</f>
        <v>4467.78562398189</v>
      </c>
      <c r="AE13" s="11" t="n">
        <f aca="false">Revenue!AE135</f>
        <v>4809.34416680244</v>
      </c>
      <c r="AF13" s="11" t="n">
        <f aca="false">Revenue!AF135</f>
        <v>5127.73695596894</v>
      </c>
      <c r="AG13" s="11" t="n">
        <f aca="false">Revenue!AG135</f>
        <v>5380.37147899114</v>
      </c>
      <c r="AH13" s="11" t="n">
        <f aca="false">Revenue!AH135</f>
        <v>5819.94527039199</v>
      </c>
      <c r="AI13" s="11" t="n">
        <f aca="false">Revenue!AI135</f>
        <v>6267.20417859577</v>
      </c>
      <c r="AJ13" s="11" t="n">
        <f aca="false">Revenue!AJ135</f>
        <v>6983.03131343082</v>
      </c>
      <c r="AK13" s="11" t="n">
        <f aca="false">Revenue!AK135</f>
        <v>7920.04666204191</v>
      </c>
      <c r="AL13" s="11" t="n">
        <f aca="false">Revenue!AL135</f>
        <v>9090.40269220619</v>
      </c>
      <c r="AM13" s="11" t="n">
        <f aca="false">Revenue!AM135</f>
        <v>10153.6491058082</v>
      </c>
    </row>
    <row r="14" customFormat="false" ht="15" hidden="false" customHeight="true" outlineLevel="0" collapsed="false">
      <c r="A14" s="5" t="s">
        <v>1037</v>
      </c>
      <c r="B14" s="10" t="s">
        <v>64</v>
      </c>
      <c r="C14" s="12" t="n">
        <f aca="false">SUM(D14:AM14)</f>
        <v>131654.761106461</v>
      </c>
      <c r="D14" s="11" t="n">
        <f aca="false">Revenue!D136</f>
        <v>0</v>
      </c>
      <c r="E14" s="11" t="n">
        <f aca="false">Revenue!E136</f>
        <v>0</v>
      </c>
      <c r="F14" s="11" t="n">
        <f aca="false">Revenue!F136</f>
        <v>0</v>
      </c>
      <c r="G14" s="11" t="n">
        <f aca="false">Revenue!G136</f>
        <v>0</v>
      </c>
      <c r="H14" s="11" t="n">
        <f aca="false">Revenue!H136</f>
        <v>0</v>
      </c>
      <c r="I14" s="11" t="n">
        <f aca="false">Revenue!I136</f>
        <v>0</v>
      </c>
      <c r="J14" s="11" t="n">
        <f aca="false">Revenue!J136</f>
        <v>0</v>
      </c>
      <c r="K14" s="11" t="n">
        <f aca="false">Revenue!K136</f>
        <v>0</v>
      </c>
      <c r="L14" s="11" t="n">
        <f aca="false">Revenue!L136</f>
        <v>0</v>
      </c>
      <c r="M14" s="11" t="n">
        <f aca="false">Revenue!M136</f>
        <v>0</v>
      </c>
      <c r="N14" s="11" t="n">
        <f aca="false">Revenue!N136</f>
        <v>0</v>
      </c>
      <c r="O14" s="11" t="n">
        <f aca="false">Revenue!O136</f>
        <v>0</v>
      </c>
      <c r="P14" s="11" t="n">
        <f aca="false">Revenue!P136</f>
        <v>0</v>
      </c>
      <c r="Q14" s="11" t="n">
        <f aca="false">Revenue!Q136</f>
        <v>0</v>
      </c>
      <c r="R14" s="11" t="n">
        <f aca="false">Revenue!R136</f>
        <v>0</v>
      </c>
      <c r="S14" s="11" t="n">
        <f aca="false">Revenue!S136</f>
        <v>0</v>
      </c>
      <c r="T14" s="11" t="n">
        <f aca="false">Revenue!T136</f>
        <v>0</v>
      </c>
      <c r="U14" s="11" t="n">
        <f aca="false">Revenue!U136</f>
        <v>0</v>
      </c>
      <c r="V14" s="11" t="n">
        <f aca="false">Revenue!V136</f>
        <v>1061.64647637451</v>
      </c>
      <c r="W14" s="11" t="n">
        <f aca="false">Revenue!W136</f>
        <v>1154.08942391532</v>
      </c>
      <c r="X14" s="11" t="n">
        <f aca="false">Revenue!X136</f>
        <v>1331.25400867815</v>
      </c>
      <c r="Y14" s="11" t="n">
        <f aca="false">Revenue!Y136</f>
        <v>1685.75652489317</v>
      </c>
      <c r="Z14" s="11" t="n">
        <f aca="false">Revenue!Z136</f>
        <v>2094.58331319228</v>
      </c>
      <c r="AA14" s="11" t="n">
        <f aca="false">Revenue!AA136</f>
        <v>2340.42402242375</v>
      </c>
      <c r="AB14" s="11" t="n">
        <f aca="false">Revenue!AB136</f>
        <v>6428.11876575276</v>
      </c>
      <c r="AC14" s="11" t="n">
        <f aca="false">Revenue!AC136</f>
        <v>6876.62374759634</v>
      </c>
      <c r="AD14" s="11" t="n">
        <f aca="false">Revenue!AD136</f>
        <v>7734.90247246353</v>
      </c>
      <c r="AE14" s="11" t="n">
        <f aca="false">Revenue!AE136</f>
        <v>8295.22586868924</v>
      </c>
      <c r="AF14" s="11" t="n">
        <f aca="false">Revenue!AF136</f>
        <v>8786.36105213299</v>
      </c>
      <c r="AG14" s="11" t="n">
        <f aca="false">Revenue!AG136</f>
        <v>9126.89379137958</v>
      </c>
      <c r="AH14" s="11" t="n">
        <f aca="false">Revenue!AH136</f>
        <v>9627.66395451036</v>
      </c>
      <c r="AI14" s="11" t="n">
        <f aca="false">Revenue!AI136</f>
        <v>10138.1788389152</v>
      </c>
      <c r="AJ14" s="11" t="n">
        <f aca="false">Revenue!AJ136</f>
        <v>11070.8925263048</v>
      </c>
      <c r="AK14" s="11" t="n">
        <f aca="false">Revenue!AK136</f>
        <v>12808.609308575</v>
      </c>
      <c r="AL14" s="11" t="n">
        <f aca="false">Revenue!AL136</f>
        <v>14859.2486241611</v>
      </c>
      <c r="AM14" s="11" t="n">
        <f aca="false">Revenue!AM136</f>
        <v>16234.2883865032</v>
      </c>
    </row>
    <row r="15" customFormat="false" ht="15" hidden="false" customHeight="true" outlineLevel="0" collapsed="false">
      <c r="A15" s="5" t="s">
        <v>1038</v>
      </c>
      <c r="B15" s="10" t="s">
        <v>64</v>
      </c>
      <c r="C15" s="12" t="n">
        <f aca="false">SUM(D15:AM15)</f>
        <v>657090</v>
      </c>
      <c r="D15" s="11" t="n">
        <f aca="false">Revenue!D137</f>
        <v>0</v>
      </c>
      <c r="E15" s="11" t="n">
        <f aca="false">Revenue!E137</f>
        <v>0</v>
      </c>
      <c r="F15" s="11" t="n">
        <f aca="false">Revenue!F137</f>
        <v>0</v>
      </c>
      <c r="G15" s="11" t="n">
        <f aca="false">Revenue!G137</f>
        <v>0</v>
      </c>
      <c r="H15" s="11" t="n">
        <f aca="false">Revenue!H137</f>
        <v>0</v>
      </c>
      <c r="I15" s="11" t="n">
        <f aca="false">Revenue!I137</f>
        <v>0</v>
      </c>
      <c r="J15" s="11" t="n">
        <f aca="false">Revenue!J137</f>
        <v>0</v>
      </c>
      <c r="K15" s="11" t="n">
        <f aca="false">Revenue!K137</f>
        <v>0</v>
      </c>
      <c r="L15" s="11" t="n">
        <f aca="false">Revenue!L137</f>
        <v>0</v>
      </c>
      <c r="M15" s="11" t="n">
        <f aca="false">Revenue!M137</f>
        <v>0</v>
      </c>
      <c r="N15" s="11" t="n">
        <f aca="false">Revenue!N137</f>
        <v>0</v>
      </c>
      <c r="O15" s="11" t="n">
        <f aca="false">Revenue!O137</f>
        <v>0</v>
      </c>
      <c r="P15" s="11" t="n">
        <f aca="false">Revenue!P137</f>
        <v>1500</v>
      </c>
      <c r="Q15" s="11" t="n">
        <f aca="false">Revenue!Q137</f>
        <v>3000</v>
      </c>
      <c r="R15" s="11" t="n">
        <f aca="false">Revenue!R137</f>
        <v>4500</v>
      </c>
      <c r="S15" s="11" t="n">
        <f aca="false">Revenue!S137</f>
        <v>6000</v>
      </c>
      <c r="T15" s="11" t="n">
        <f aca="false">Revenue!T137</f>
        <v>7500</v>
      </c>
      <c r="U15" s="11" t="n">
        <f aca="false">Revenue!U137</f>
        <v>9000</v>
      </c>
      <c r="V15" s="11" t="n">
        <f aca="false">Revenue!V137</f>
        <v>10500</v>
      </c>
      <c r="W15" s="11" t="n">
        <f aca="false">Revenue!W137</f>
        <v>12000</v>
      </c>
      <c r="X15" s="11" t="n">
        <f aca="false">Revenue!X137</f>
        <v>13500</v>
      </c>
      <c r="Y15" s="11" t="n">
        <f aca="false">Revenue!Y137</f>
        <v>15000</v>
      </c>
      <c r="Z15" s="11" t="n">
        <f aca="false">Revenue!Z137</f>
        <v>16500</v>
      </c>
      <c r="AA15" s="11" t="n">
        <f aca="false">Revenue!AA137</f>
        <v>18000</v>
      </c>
      <c r="AB15" s="11" t="n">
        <f aca="false">Revenue!AB137</f>
        <v>22155</v>
      </c>
      <c r="AC15" s="11" t="n">
        <f aca="false">Revenue!AC137</f>
        <v>26310</v>
      </c>
      <c r="AD15" s="11" t="n">
        <f aca="false">Revenue!AD137</f>
        <v>30465</v>
      </c>
      <c r="AE15" s="11" t="n">
        <f aca="false">Revenue!AE137</f>
        <v>34620</v>
      </c>
      <c r="AF15" s="11" t="n">
        <f aca="false">Revenue!AF137</f>
        <v>38775</v>
      </c>
      <c r="AG15" s="11" t="n">
        <f aca="false">Revenue!AG137</f>
        <v>42930</v>
      </c>
      <c r="AH15" s="11" t="n">
        <f aca="false">Revenue!AH137</f>
        <v>47085</v>
      </c>
      <c r="AI15" s="11" t="n">
        <f aca="false">Revenue!AI137</f>
        <v>51240</v>
      </c>
      <c r="AJ15" s="11" t="n">
        <f aca="false">Revenue!AJ137</f>
        <v>55395</v>
      </c>
      <c r="AK15" s="11" t="n">
        <f aca="false">Revenue!AK137</f>
        <v>59550</v>
      </c>
      <c r="AL15" s="11" t="n">
        <f aca="false">Revenue!AL137</f>
        <v>63705</v>
      </c>
      <c r="AM15" s="11" t="n">
        <f aca="false">Revenue!AM137</f>
        <v>67860</v>
      </c>
    </row>
    <row r="16" customFormat="false" ht="15" hidden="false" customHeight="true" outlineLevel="0" collapsed="false">
      <c r="A16" s="5" t="s">
        <v>1039</v>
      </c>
      <c r="B16" s="10" t="s">
        <v>64</v>
      </c>
      <c r="C16" s="12" t="n">
        <f aca="false">SUM(D16:AM16)</f>
        <v>25590.4058333333</v>
      </c>
      <c r="D16" s="11" t="n">
        <f aca="false">Revenue!D138</f>
        <v>0</v>
      </c>
      <c r="E16" s="11" t="n">
        <f aca="false">Revenue!E138</f>
        <v>0</v>
      </c>
      <c r="F16" s="11" t="n">
        <f aca="false">Revenue!F138</f>
        <v>0</v>
      </c>
      <c r="G16" s="11" t="n">
        <f aca="false">Revenue!G138</f>
        <v>0</v>
      </c>
      <c r="H16" s="11" t="n">
        <f aca="false">Revenue!H138</f>
        <v>0</v>
      </c>
      <c r="I16" s="11" t="n">
        <f aca="false">Revenue!I138</f>
        <v>0</v>
      </c>
      <c r="J16" s="11" t="n">
        <f aca="false">Revenue!J138</f>
        <v>0</v>
      </c>
      <c r="K16" s="11" t="n">
        <f aca="false">Revenue!K138</f>
        <v>0</v>
      </c>
      <c r="L16" s="11" t="n">
        <f aca="false">Revenue!L138</f>
        <v>0</v>
      </c>
      <c r="M16" s="11" t="n">
        <f aca="false">Revenue!M138</f>
        <v>0</v>
      </c>
      <c r="N16" s="11" t="n">
        <f aca="false">Revenue!N138</f>
        <v>0</v>
      </c>
      <c r="O16" s="11" t="n">
        <f aca="false">Revenue!O138</f>
        <v>0</v>
      </c>
      <c r="P16" s="11" t="n">
        <f aca="false">Revenue!P138</f>
        <v>36.6666666666667</v>
      </c>
      <c r="Q16" s="11" t="n">
        <f aca="false">Revenue!Q138</f>
        <v>50</v>
      </c>
      <c r="R16" s="11" t="n">
        <f aca="false">Revenue!R138</f>
        <v>65</v>
      </c>
      <c r="S16" s="11" t="n">
        <f aca="false">Revenue!S138</f>
        <v>79.1666666666667</v>
      </c>
      <c r="T16" s="11" t="n">
        <f aca="false">Revenue!T138</f>
        <v>87.5</v>
      </c>
      <c r="U16" s="11" t="n">
        <f aca="false">Revenue!U138</f>
        <v>91.6666666666667</v>
      </c>
      <c r="V16" s="11" t="n">
        <f aca="false">Revenue!V138</f>
        <v>113.75</v>
      </c>
      <c r="W16" s="11" t="n">
        <f aca="false">Revenue!W138</f>
        <v>134.375</v>
      </c>
      <c r="X16" s="11" t="n">
        <f aca="false">Revenue!X138</f>
        <v>174.6</v>
      </c>
      <c r="Y16" s="11" t="n">
        <f aca="false">Revenue!Y138</f>
        <v>215.933333333333</v>
      </c>
      <c r="Z16" s="11" t="n">
        <f aca="false">Revenue!Z138</f>
        <v>277.833333333333</v>
      </c>
      <c r="AA16" s="11" t="n">
        <f aca="false">Revenue!AA138</f>
        <v>348</v>
      </c>
      <c r="AB16" s="11" t="n">
        <f aca="false">Revenue!AB138</f>
        <v>1081.20833333333</v>
      </c>
      <c r="AC16" s="11" t="n">
        <f aca="false">Revenue!AC138</f>
        <v>1294.6875</v>
      </c>
      <c r="AD16" s="11" t="n">
        <f aca="false">Revenue!AD138</f>
        <v>1463.5625</v>
      </c>
      <c r="AE16" s="11" t="n">
        <f aca="false">Revenue!AE138</f>
        <v>1588.33333333333</v>
      </c>
      <c r="AF16" s="11" t="n">
        <f aca="false">Revenue!AF138</f>
        <v>1670</v>
      </c>
      <c r="AG16" s="11" t="n">
        <f aca="false">Revenue!AG138</f>
        <v>1742.08333333333</v>
      </c>
      <c r="AH16" s="11" t="n">
        <f aca="false">Revenue!AH138</f>
        <v>1899.125</v>
      </c>
      <c r="AI16" s="11" t="n">
        <f aca="false">Revenue!AI138</f>
        <v>2043.4375</v>
      </c>
      <c r="AJ16" s="11" t="n">
        <f aca="false">Revenue!AJ138</f>
        <v>2289.08</v>
      </c>
      <c r="AK16" s="11" t="n">
        <f aca="false">Revenue!AK138</f>
        <v>2550.81333333333</v>
      </c>
      <c r="AL16" s="11" t="n">
        <f aca="false">Revenue!AL138</f>
        <v>2930.68333333333</v>
      </c>
      <c r="AM16" s="11" t="n">
        <f aca="false">Revenue!AM138</f>
        <v>3362.9</v>
      </c>
    </row>
    <row r="17" customFormat="false" ht="15" hidden="false" customHeight="true" outlineLevel="0" collapsed="false">
      <c r="A17" s="5" t="s">
        <v>71</v>
      </c>
      <c r="B17" s="10" t="s">
        <v>64</v>
      </c>
      <c r="C17" s="12" t="n">
        <f aca="false">SUM(D17:AM17)</f>
        <v>0</v>
      </c>
      <c r="D17" s="11" t="n">
        <f aca="false">Revenue!D139</f>
        <v>-0</v>
      </c>
      <c r="E17" s="11" t="n">
        <f aca="false">Revenue!E139</f>
        <v>-0</v>
      </c>
      <c r="F17" s="11" t="n">
        <f aca="false">Revenue!F139</f>
        <v>-0</v>
      </c>
      <c r="G17" s="11" t="n">
        <f aca="false">Revenue!G139</f>
        <v>-0</v>
      </c>
      <c r="H17" s="11" t="n">
        <f aca="false">Revenue!H139</f>
        <v>-0</v>
      </c>
      <c r="I17" s="11" t="n">
        <f aca="false">Revenue!I139</f>
        <v>-0</v>
      </c>
      <c r="J17" s="11" t="n">
        <f aca="false">Revenue!J139</f>
        <v>-0</v>
      </c>
      <c r="K17" s="11" t="n">
        <f aca="false">Revenue!K139</f>
        <v>-0</v>
      </c>
      <c r="L17" s="11" t="n">
        <f aca="false">Revenue!L139</f>
        <v>-0</v>
      </c>
      <c r="M17" s="11" t="n">
        <f aca="false">Revenue!M139</f>
        <v>-0</v>
      </c>
      <c r="N17" s="11" t="n">
        <f aca="false">Revenue!N139</f>
        <v>-0</v>
      </c>
      <c r="O17" s="11" t="n">
        <f aca="false">Revenue!O139</f>
        <v>-0</v>
      </c>
      <c r="P17" s="11" t="n">
        <f aca="false">Revenue!P139</f>
        <v>-0</v>
      </c>
      <c r="Q17" s="11" t="n">
        <f aca="false">Revenue!Q139</f>
        <v>-0</v>
      </c>
      <c r="R17" s="11" t="n">
        <f aca="false">Revenue!R139</f>
        <v>-0</v>
      </c>
      <c r="S17" s="11" t="n">
        <f aca="false">Revenue!S139</f>
        <v>-0</v>
      </c>
      <c r="T17" s="11" t="n">
        <f aca="false">Revenue!T139</f>
        <v>-0</v>
      </c>
      <c r="U17" s="11" t="n">
        <f aca="false">Revenue!U139</f>
        <v>-0</v>
      </c>
      <c r="V17" s="11" t="n">
        <f aca="false">Revenue!V139</f>
        <v>-0</v>
      </c>
      <c r="W17" s="11" t="n">
        <f aca="false">Revenue!W139</f>
        <v>-0</v>
      </c>
      <c r="X17" s="11" t="n">
        <f aca="false">Revenue!X139</f>
        <v>-0</v>
      </c>
      <c r="Y17" s="11" t="n">
        <f aca="false">Revenue!Y139</f>
        <v>-0</v>
      </c>
      <c r="Z17" s="11" t="n">
        <f aca="false">Revenue!Z139</f>
        <v>-0</v>
      </c>
      <c r="AA17" s="11" t="n">
        <f aca="false">Revenue!AA139</f>
        <v>-0</v>
      </c>
      <c r="AB17" s="11" t="n">
        <f aca="false">Revenue!AB139</f>
        <v>-0</v>
      </c>
      <c r="AC17" s="11" t="n">
        <f aca="false">Revenue!AC139</f>
        <v>-0</v>
      </c>
      <c r="AD17" s="11" t="n">
        <f aca="false">Revenue!AD139</f>
        <v>-0</v>
      </c>
      <c r="AE17" s="11" t="n">
        <f aca="false">Revenue!AE139</f>
        <v>-0</v>
      </c>
      <c r="AF17" s="11" t="n">
        <f aca="false">Revenue!AF139</f>
        <v>-0</v>
      </c>
      <c r="AG17" s="11" t="n">
        <f aca="false">Revenue!AG139</f>
        <v>-0</v>
      </c>
      <c r="AH17" s="11" t="n">
        <f aca="false">Revenue!AH139</f>
        <v>-0</v>
      </c>
      <c r="AI17" s="11" t="n">
        <f aca="false">Revenue!AI139</f>
        <v>-0</v>
      </c>
      <c r="AJ17" s="11" t="n">
        <f aca="false">Revenue!AJ139</f>
        <v>-0</v>
      </c>
      <c r="AK17" s="11" t="n">
        <f aca="false">Revenue!AK139</f>
        <v>-0</v>
      </c>
      <c r="AL17" s="11" t="n">
        <f aca="false">Revenue!AL139</f>
        <v>-0</v>
      </c>
      <c r="AM17" s="11" t="n">
        <f aca="false">Revenue!AM139</f>
        <v>-0</v>
      </c>
    </row>
    <row r="18" customFormat="false" ht="15" hidden="false" customHeight="true" outlineLevel="0" collapsed="false">
      <c r="A18" s="13" t="s">
        <v>72</v>
      </c>
      <c r="B18" s="14" t="s">
        <v>64</v>
      </c>
      <c r="C18" s="15" t="n">
        <f aca="false">SUM(D18:AM18)</f>
        <v>6261707.26172916</v>
      </c>
      <c r="D18" s="15" t="n">
        <f aca="false">SUM(D10:D17)</f>
        <v>128.7367328125</v>
      </c>
      <c r="E18" s="15" t="n">
        <f aca="false">SUM(E10:E17)</f>
        <v>2201.20423546875</v>
      </c>
      <c r="F18" s="15" t="n">
        <f aca="false">SUM(F10:F17)</f>
        <v>4621.59729105625</v>
      </c>
      <c r="G18" s="15" t="n">
        <f aca="false">SUM(G10:G17)</f>
        <v>6667.04535495786</v>
      </c>
      <c r="H18" s="15" t="n">
        <f aca="false">SUM(H10:H17)</f>
        <v>9739.99859449804</v>
      </c>
      <c r="I18" s="15" t="n">
        <f aca="false">SUM(I10:I17)</f>
        <v>12621.0849243</v>
      </c>
      <c r="J18" s="15" t="n">
        <f aca="false">SUM(J10:J17)</f>
        <v>16354.4925476164</v>
      </c>
      <c r="K18" s="15" t="n">
        <f aca="false">SUM(K10:K17)</f>
        <v>19588.7547212314</v>
      </c>
      <c r="L18" s="15" t="n">
        <f aca="false">SUM(L10:L17)</f>
        <v>22594.9930374753</v>
      </c>
      <c r="M18" s="15" t="n">
        <f aca="false">SUM(M10:M17)</f>
        <v>22815.3213422134</v>
      </c>
      <c r="N18" s="15" t="n">
        <f aca="false">SUM(N10:N17)</f>
        <v>21312.7817311252</v>
      </c>
      <c r="O18" s="15" t="n">
        <f aca="false">SUM(O10:O17)</f>
        <v>20316.0472711004</v>
      </c>
      <c r="P18" s="15" t="n">
        <f aca="false">SUM(P10:P17)</f>
        <v>23124.6327759922</v>
      </c>
      <c r="Q18" s="15" t="n">
        <f aca="false">SUM(Q10:Q17)</f>
        <v>35218.5337140154</v>
      </c>
      <c r="R18" s="15" t="n">
        <f aca="false">SUM(R10:R17)</f>
        <v>47056.1431682393</v>
      </c>
      <c r="S18" s="15" t="n">
        <f aca="false">SUM(S10:S17)</f>
        <v>63273.1599286019</v>
      </c>
      <c r="T18" s="15" t="n">
        <f aca="false">SUM(T10:T17)</f>
        <v>83376.2172751146</v>
      </c>
      <c r="U18" s="15" t="n">
        <f aca="false">SUM(U10:U17)</f>
        <v>104052.359668043</v>
      </c>
      <c r="V18" s="15" t="n">
        <f aca="false">SUM(V10:V17)</f>
        <v>132848.557419418</v>
      </c>
      <c r="W18" s="15" t="n">
        <f aca="false">SUM(W10:W17)</f>
        <v>156515.498163998</v>
      </c>
      <c r="X18" s="15" t="n">
        <f aca="false">SUM(X10:X17)</f>
        <v>180647.214381574</v>
      </c>
      <c r="Y18" s="15" t="n">
        <f aca="false">SUM(Y10:Y17)</f>
        <v>188484.160411255</v>
      </c>
      <c r="Z18" s="15" t="n">
        <f aca="false">SUM(Z10:Z17)</f>
        <v>187603.078173457</v>
      </c>
      <c r="AA18" s="15" t="n">
        <f aca="false">SUM(AA10:AA17)</f>
        <v>184045.235887284</v>
      </c>
      <c r="AB18" s="15" t="n">
        <f aca="false">SUM(AB10:AB17)</f>
        <v>194277.341838291</v>
      </c>
      <c r="AC18" s="15" t="n">
        <f aca="false">SUM(AC10:AC17)</f>
        <v>214657.945871149</v>
      </c>
      <c r="AD18" s="15" t="n">
        <f aca="false">SUM(AD10:AD17)</f>
        <v>234032.192484027</v>
      </c>
      <c r="AE18" s="15" t="n">
        <f aca="false">SUM(AE10:AE17)</f>
        <v>269024.893646385</v>
      </c>
      <c r="AF18" s="15" t="n">
        <f aca="false">SUM(AF10:AF17)</f>
        <v>311241.43394007</v>
      </c>
      <c r="AG18" s="15" t="n">
        <f aca="false">SUM(AG10:AG17)</f>
        <v>359880.815166292</v>
      </c>
      <c r="AH18" s="15" t="n">
        <f aca="false">SUM(AH10:AH17)</f>
        <v>423281.624096131</v>
      </c>
      <c r="AI18" s="15" t="n">
        <f aca="false">SUM(AI10:AI17)</f>
        <v>479375.488126209</v>
      </c>
      <c r="AJ18" s="15" t="n">
        <f aca="false">SUM(AJ10:AJ17)</f>
        <v>538397.319571477</v>
      </c>
      <c r="AK18" s="15" t="n">
        <f aca="false">SUM(AK10:AK17)</f>
        <v>561698.632239166</v>
      </c>
      <c r="AL18" s="15" t="n">
        <f aca="false">SUM(AL10:AL17)</f>
        <v>567264.818429493</v>
      </c>
      <c r="AM18" s="15" t="n">
        <f aca="false">SUM(AM10:AM17)</f>
        <v>563367.907569625</v>
      </c>
    </row>
    <row r="19" customFormat="false" ht="15" hidden="false" customHeight="true" outlineLevel="0" collapsed="false">
      <c r="A19" s="5" t="s">
        <v>77</v>
      </c>
      <c r="B19" s="10" t="s">
        <v>64</v>
      </c>
      <c r="C19" s="12" t="n">
        <f aca="false">SUM(D19:AM19)</f>
        <v>-4646191.99159715</v>
      </c>
      <c r="D19" s="11" t="n">
        <f aca="false">-Costs!D33</f>
        <v>-11014.9241021667</v>
      </c>
      <c r="E19" s="11" t="n">
        <f aca="false">-Costs!E33</f>
        <v>-12478.9337440466</v>
      </c>
      <c r="F19" s="11" t="n">
        <f aca="false">-Costs!F33</f>
        <v>-14360.0881537667</v>
      </c>
      <c r="G19" s="11" t="n">
        <f aca="false">-Costs!G33</f>
        <v>-15671.0206856274</v>
      </c>
      <c r="H19" s="11" t="n">
        <f aca="false">-Costs!H33</f>
        <v>-17537.2075580388</v>
      </c>
      <c r="I19" s="11" t="n">
        <f aca="false">-Costs!I33</f>
        <v>-19170.7763009607</v>
      </c>
      <c r="J19" s="11" t="n">
        <f aca="false">-Costs!J33</f>
        <v>-21182.7981621029</v>
      </c>
      <c r="K19" s="11" t="n">
        <f aca="false">-Costs!K33</f>
        <v>-22765.2641547207</v>
      </c>
      <c r="L19" s="11" t="n">
        <f aca="false">-Costs!L33</f>
        <v>-24024.7088094713</v>
      </c>
      <c r="M19" s="11" t="n">
        <f aca="false">-Costs!M33</f>
        <v>-33264.5940110197</v>
      </c>
      <c r="N19" s="11" t="n">
        <f aca="false">-Costs!N33</f>
        <v>-43257.2777377267</v>
      </c>
      <c r="O19" s="11" t="n">
        <f aca="false">-Costs!O33</f>
        <v>-41749.7666617855</v>
      </c>
      <c r="P19" s="11" t="n">
        <f aca="false">-Costs!P33</f>
        <v>-53774.0104001853</v>
      </c>
      <c r="Q19" s="11" t="n">
        <f aca="false">-Costs!Q33</f>
        <v>-60098.5301142884</v>
      </c>
      <c r="R19" s="11" t="n">
        <f aca="false">-Costs!R33</f>
        <v>-67303.2110016084</v>
      </c>
      <c r="S19" s="11" t="n">
        <f aca="false">-Costs!S33</f>
        <v>-76199.1717965767</v>
      </c>
      <c r="T19" s="11" t="n">
        <f aca="false">-Costs!T33</f>
        <v>-96514.8726794681</v>
      </c>
      <c r="U19" s="11" t="n">
        <f aca="false">-Costs!U33</f>
        <v>-107648.543348086</v>
      </c>
      <c r="V19" s="11" t="n">
        <f aca="false">-Costs!V33</f>
        <v>-134240.433686692</v>
      </c>
      <c r="W19" s="11" t="n">
        <f aca="false">-Costs!W33</f>
        <v>-145535.194336725</v>
      </c>
      <c r="X19" s="11" t="n">
        <f aca="false">-Costs!X33</f>
        <v>-156063.156502496</v>
      </c>
      <c r="Y19" s="11" t="n">
        <f aca="false">-Costs!Y33</f>
        <v>-156826.753125451</v>
      </c>
      <c r="Z19" s="11" t="n">
        <f aca="false">-Costs!Z33</f>
        <v>-150754.149376898</v>
      </c>
      <c r="AA19" s="11" t="n">
        <f aca="false">-Costs!AA33</f>
        <v>-141338.155653064</v>
      </c>
      <c r="AB19" s="11" t="n">
        <f aca="false">-Costs!AB33</f>
        <v>-155398.673896765</v>
      </c>
      <c r="AC19" s="11" t="n">
        <f aca="false">-Costs!AC33</f>
        <v>-160928.56988808</v>
      </c>
      <c r="AD19" s="11" t="n">
        <f aca="false">-Costs!AD33</f>
        <v>-181345.364739746</v>
      </c>
      <c r="AE19" s="11" t="n">
        <f aca="false">-Costs!AE33</f>
        <v>-198005.193422792</v>
      </c>
      <c r="AF19" s="11" t="n">
        <f aca="false">-Costs!AF33</f>
        <v>-219387.386316211</v>
      </c>
      <c r="AG19" s="11" t="n">
        <f aca="false">-Costs!AG33</f>
        <v>-244412.86676917</v>
      </c>
      <c r="AH19" s="11" t="n">
        <f aca="false">-Costs!AH33</f>
        <v>-276418.93271227</v>
      </c>
      <c r="AI19" s="11" t="n">
        <f aca="false">-Costs!AI33</f>
        <v>-302834.682909027</v>
      </c>
      <c r="AJ19" s="11" t="n">
        <f aca="false">-Costs!AJ33</f>
        <v>-328697.400809405</v>
      </c>
      <c r="AK19" s="11" t="n">
        <f aca="false">-Costs!AK33</f>
        <v>-332708.24195817</v>
      </c>
      <c r="AL19" s="11" t="n">
        <f aca="false">-Costs!AL33</f>
        <v>-321991.762331929</v>
      </c>
      <c r="AM19" s="11" t="n">
        <f aca="false">-Costs!AM33</f>
        <v>-301289.373740612</v>
      </c>
    </row>
    <row r="20" customFormat="false" ht="15" hidden="false" customHeight="true" outlineLevel="0" collapsed="false">
      <c r="A20" s="13" t="s">
        <v>78</v>
      </c>
      <c r="B20" s="14" t="s">
        <v>64</v>
      </c>
      <c r="C20" s="15" t="n">
        <f aca="false">SUM(D20:AM20)</f>
        <v>1615515.27013201</v>
      </c>
      <c r="D20" s="15" t="n">
        <f aca="false">D18+D19</f>
        <v>-10886.1873693542</v>
      </c>
      <c r="E20" s="15" t="n">
        <f aca="false">E18+E19</f>
        <v>-10277.7295085779</v>
      </c>
      <c r="F20" s="15" t="n">
        <f aca="false">F18+F19</f>
        <v>-9738.49086271043</v>
      </c>
      <c r="G20" s="15" t="n">
        <f aca="false">G18+G19</f>
        <v>-9003.97533066955</v>
      </c>
      <c r="H20" s="15" t="n">
        <f aca="false">H18+H19</f>
        <v>-7797.20896354079</v>
      </c>
      <c r="I20" s="15" t="n">
        <f aca="false">I18+I19</f>
        <v>-6549.69137666069</v>
      </c>
      <c r="J20" s="15" t="n">
        <f aca="false">J18+J19</f>
        <v>-4828.30561448653</v>
      </c>
      <c r="K20" s="15" t="n">
        <f aca="false">K18+K19</f>
        <v>-3176.50943348933</v>
      </c>
      <c r="L20" s="15" t="n">
        <f aca="false">L18+L19</f>
        <v>-1429.71577199608</v>
      </c>
      <c r="M20" s="15" t="n">
        <f aca="false">M18+M19</f>
        <v>-10449.2726688064</v>
      </c>
      <c r="N20" s="15" t="n">
        <f aca="false">N18+N19</f>
        <v>-21944.4960066015</v>
      </c>
      <c r="O20" s="15" t="n">
        <f aca="false">O18+O19</f>
        <v>-21433.7193906851</v>
      </c>
      <c r="P20" s="15" t="n">
        <f aca="false">P18+P19</f>
        <v>-30649.3776241931</v>
      </c>
      <c r="Q20" s="15" t="n">
        <f aca="false">Q18+Q19</f>
        <v>-24879.996400273</v>
      </c>
      <c r="R20" s="15" t="n">
        <f aca="false">R18+R19</f>
        <v>-20247.0678333692</v>
      </c>
      <c r="S20" s="15" t="n">
        <f aca="false">S18+S19</f>
        <v>-12926.0118679748</v>
      </c>
      <c r="T20" s="15" t="n">
        <f aca="false">T18+T19</f>
        <v>-13138.6554043535</v>
      </c>
      <c r="U20" s="15" t="n">
        <f aca="false">U18+U19</f>
        <v>-3596.18368004316</v>
      </c>
      <c r="V20" s="15" t="n">
        <f aca="false">V18+V19</f>
        <v>-1391.87626727487</v>
      </c>
      <c r="W20" s="15" t="n">
        <f aca="false">W18+W19</f>
        <v>10980.3038272735</v>
      </c>
      <c r="X20" s="15" t="n">
        <f aca="false">X18+X19</f>
        <v>24584.0578790784</v>
      </c>
      <c r="Y20" s="15" t="n">
        <f aca="false">Y18+Y19</f>
        <v>31657.407285804</v>
      </c>
      <c r="Z20" s="15" t="n">
        <f aca="false">Z18+Z19</f>
        <v>36848.9287965589</v>
      </c>
      <c r="AA20" s="15" t="n">
        <f aca="false">AA18+AA19</f>
        <v>42707.0802342207</v>
      </c>
      <c r="AB20" s="15" t="n">
        <f aca="false">AB18+AB19</f>
        <v>38878.6679415268</v>
      </c>
      <c r="AC20" s="15" t="n">
        <f aca="false">AC18+AC19</f>
        <v>53729.3759830685</v>
      </c>
      <c r="AD20" s="15" t="n">
        <f aca="false">AD18+AD19</f>
        <v>52686.8277442811</v>
      </c>
      <c r="AE20" s="15" t="n">
        <f aca="false">AE18+AE19</f>
        <v>71019.7002235933</v>
      </c>
      <c r="AF20" s="15" t="n">
        <f aca="false">AF18+AF19</f>
        <v>91854.0476238588</v>
      </c>
      <c r="AG20" s="15" t="n">
        <f aca="false">AG18+AG19</f>
        <v>115467.948397122</v>
      </c>
      <c r="AH20" s="15" t="n">
        <f aca="false">AH18+AH19</f>
        <v>146862.691383861</v>
      </c>
      <c r="AI20" s="15" t="n">
        <f aca="false">AI18+AI19</f>
        <v>176540.805217182</v>
      </c>
      <c r="AJ20" s="15" t="n">
        <f aca="false">AJ18+AJ19</f>
        <v>209699.918762071</v>
      </c>
      <c r="AK20" s="15" t="n">
        <f aca="false">AK18+AK19</f>
        <v>228990.390280996</v>
      </c>
      <c r="AL20" s="15" t="n">
        <f aca="false">AL18+AL19</f>
        <v>245273.056097564</v>
      </c>
      <c r="AM20" s="15" t="n">
        <f aca="false">AM18+AM19</f>
        <v>262078.533829013</v>
      </c>
    </row>
    <row r="21" customFormat="false" ht="15" hidden="false" customHeight="true" outlineLevel="0" collapsed="false">
      <c r="A21" s="5" t="s">
        <v>1040</v>
      </c>
      <c r="B21" s="10" t="s">
        <v>74</v>
      </c>
      <c r="C21" s="17"/>
      <c r="D21" s="16" t="n">
        <f aca="false">IF(D18=0,0,D20/D18)</f>
        <v>-84.5616253537323</v>
      </c>
      <c r="E21" s="16" t="n">
        <f aca="false">IF(E18=0,0,E20/E18)</f>
        <v>-4.66913943875326</v>
      </c>
      <c r="F21" s="16" t="n">
        <f aca="false">IF(F18=0,0,F20/F18)</f>
        <v>-2.1071699348527</v>
      </c>
      <c r="G21" s="16" t="n">
        <f aca="false">IF(G18=0,0,G20/G18)</f>
        <v>-1.35051958570731</v>
      </c>
      <c r="H21" s="16" t="n">
        <f aca="false">IF(H18=0,0,H20/H18)</f>
        <v>-0.800534916703715</v>
      </c>
      <c r="I21" s="16" t="n">
        <f aca="false">IF(I18=0,0,I20/I18)</f>
        <v>-0.518948364260686</v>
      </c>
      <c r="J21" s="16" t="n">
        <f aca="false">IF(J18=0,0,J20/J18)</f>
        <v>-0.295228091023236</v>
      </c>
      <c r="K21" s="16" t="n">
        <f aca="false">IF(K18=0,0,K20/K18)</f>
        <v>-0.162159845211929</v>
      </c>
      <c r="L21" s="16" t="n">
        <f aca="false">IF(L18=0,0,L20/L18)</f>
        <v>-0.0632757783826178</v>
      </c>
      <c r="M21" s="16" t="n">
        <f aca="false">IF(M18=0,0,M20/M18)</f>
        <v>-0.45799366627692</v>
      </c>
      <c r="N21" s="16" t="n">
        <f aca="false">IF(N18=0,0,N20/N18)</f>
        <v>-1.02964016070008</v>
      </c>
      <c r="O21" s="16" t="n">
        <f aca="false">IF(O18=0,0,O20/O18)</f>
        <v>-1.05501425078758</v>
      </c>
      <c r="P21" s="16" t="n">
        <f aca="false">IF(P18=0,0,P20/P18)</f>
        <v>-1.32539953914481</v>
      </c>
      <c r="Q21" s="16" t="n">
        <f aca="false">IF(Q18=0,0,Q20/Q18)</f>
        <v>-0.706446117328611</v>
      </c>
      <c r="R21" s="16" t="n">
        <f aca="false">IF(R18=0,0,R20/R18)</f>
        <v>-0.43027469890552</v>
      </c>
      <c r="S21" s="16" t="n">
        <f aca="false">IF(S18=0,0,S20/S18)</f>
        <v>-0.2042890205351</v>
      </c>
      <c r="T21" s="16" t="n">
        <f aca="false">IF(T18=0,0,T20/T18)</f>
        <v>-0.157582771607402</v>
      </c>
      <c r="U21" s="16" t="n">
        <f aca="false">IF(U18=0,0,U20/U18)</f>
        <v>-0.034561289061738</v>
      </c>
      <c r="V21" s="16" t="n">
        <f aca="false">IF(V18=0,0,V20/V18)</f>
        <v>-0.0104771650841534</v>
      </c>
      <c r="W21" s="16" t="n">
        <f aca="false">IF(W18=0,0,W20/W18)</f>
        <v>0.0701547383874293</v>
      </c>
      <c r="X21" s="16" t="n">
        <f aca="false">IF(X18=0,0,X20/X18)</f>
        <v>0.136088773708685</v>
      </c>
      <c r="Y21" s="16" t="n">
        <f aca="false">IF(Y18=0,0,Y20/Y18)</f>
        <v>0.167957918674601</v>
      </c>
      <c r="Z21" s="16" t="n">
        <f aca="false">IF(Z18=0,0,Z20/Z18)</f>
        <v>0.196419638501286</v>
      </c>
      <c r="AA21" s="16" t="n">
        <f aca="false">IF(AA18=0,0,AA20/AA18)</f>
        <v>0.232046648903077</v>
      </c>
      <c r="AB21" s="16" t="n">
        <f aca="false">IF(AB18=0,0,AB20/AB18)</f>
        <v>0.200119414717378</v>
      </c>
      <c r="AC21" s="16" t="n">
        <f aca="false">IF(AC18=0,0,AC20/AC18)</f>
        <v>0.250302292631275</v>
      </c>
      <c r="AD21" s="16" t="n">
        <f aca="false">IF(AD18=0,0,AD20/AD18)</f>
        <v>0.225126411819934</v>
      </c>
      <c r="AE21" s="16" t="n">
        <f aca="false">IF(AE18=0,0,AE20/AE18)</f>
        <v>0.26398932552667</v>
      </c>
      <c r="AF21" s="16" t="n">
        <f aca="false">IF(AF18=0,0,AF20/AF18)</f>
        <v>0.295121528200983</v>
      </c>
      <c r="AG21" s="16" t="n">
        <f aca="false">IF(AG18=0,0,AG20/AG18)</f>
        <v>0.320850524759891</v>
      </c>
      <c r="AH21" s="16" t="n">
        <f aca="false">IF(AH18=0,0,AH20/AH18)</f>
        <v>0.346962124088115</v>
      </c>
      <c r="AI21" s="16" t="n">
        <f aca="false">IF(AI18=0,0,AI20/AI18)</f>
        <v>0.36827249116814</v>
      </c>
      <c r="AJ21" s="16" t="n">
        <f aca="false">IF(AJ18=0,0,AJ20/AJ18)</f>
        <v>0.389489158172215</v>
      </c>
      <c r="AK21" s="16" t="n">
        <f aca="false">IF(AK18=0,0,AK20/AK18)</f>
        <v>0.40767482265026</v>
      </c>
      <c r="AL21" s="16" t="n">
        <f aca="false">IF(AL18=0,0,AL20/AL18)</f>
        <v>0.432378402694912</v>
      </c>
      <c r="AM21" s="16" t="n">
        <f aca="false">IF(AM18=0,0,AM20/AM18)</f>
        <v>0.46519961522058</v>
      </c>
    </row>
    <row r="22" customFormat="false" ht="15" hidden="false" customHeight="true" outlineLevel="0" collapsed="false">
      <c r="A22" s="5" t="s">
        <v>80</v>
      </c>
      <c r="B22" s="10" t="s">
        <v>64</v>
      </c>
      <c r="C22" s="12" t="n">
        <f aca="false">SUM(D22:AM22)</f>
        <v>-11248528.2</v>
      </c>
      <c r="D22" s="11" t="n">
        <f aca="false">-(Costs!D36)</f>
        <v>-13000</v>
      </c>
      <c r="E22" s="11" t="n">
        <f aca="false">-(Costs!E36)</f>
        <v>-13000</v>
      </c>
      <c r="F22" s="11" t="n">
        <f aca="false">-(Costs!F36)</f>
        <v>-32500</v>
      </c>
      <c r="G22" s="11" t="n">
        <f aca="false">-(Costs!G36)</f>
        <v>-48000</v>
      </c>
      <c r="H22" s="11" t="n">
        <f aca="false">-(Costs!H36)</f>
        <v>-82000</v>
      </c>
      <c r="I22" s="11" t="n">
        <f aca="false">-(Costs!I36)</f>
        <v>-129500</v>
      </c>
      <c r="J22" s="11" t="n">
        <f aca="false">-(Costs!J36)</f>
        <v>-129500</v>
      </c>
      <c r="K22" s="11" t="n">
        <f aca="false">-(Costs!K36)</f>
        <v>-148500</v>
      </c>
      <c r="L22" s="11" t="n">
        <f aca="false">-(Costs!L36)</f>
        <v>-202500</v>
      </c>
      <c r="M22" s="11" t="n">
        <f aca="false">-(Costs!M36)</f>
        <v>-221500</v>
      </c>
      <c r="N22" s="11" t="n">
        <f aca="false">-(Costs!N36)</f>
        <v>-221500</v>
      </c>
      <c r="O22" s="11" t="n">
        <f aca="false">-(Costs!O36)</f>
        <v>-270500</v>
      </c>
      <c r="P22" s="11" t="n">
        <f aca="false">-(Costs!P36)</f>
        <v>-292520</v>
      </c>
      <c r="Q22" s="11" t="n">
        <f aca="false">-(Costs!Q36)</f>
        <v>-292520</v>
      </c>
      <c r="R22" s="11" t="n">
        <f aca="false">-(Costs!R36)</f>
        <v>-327540</v>
      </c>
      <c r="S22" s="11" t="n">
        <f aca="false">-(Costs!S36)</f>
        <v>-340930</v>
      </c>
      <c r="T22" s="11" t="n">
        <f aca="false">-(Costs!T36)</f>
        <v>-340930</v>
      </c>
      <c r="U22" s="11" t="n">
        <f aca="false">-(Costs!U36)</f>
        <v>-358955</v>
      </c>
      <c r="V22" s="11" t="n">
        <f aca="false">-(Costs!V36)</f>
        <v>-358955</v>
      </c>
      <c r="W22" s="11" t="n">
        <f aca="false">-(Costs!W36)</f>
        <v>-378525</v>
      </c>
      <c r="X22" s="11" t="n">
        <f aca="false">-(Costs!X36)</f>
        <v>-378525</v>
      </c>
      <c r="Y22" s="11" t="n">
        <f aca="false">-(Costs!Y36)</f>
        <v>-378525</v>
      </c>
      <c r="Z22" s="11" t="n">
        <f aca="false">-(Costs!Z36)</f>
        <v>-378525</v>
      </c>
      <c r="AA22" s="11" t="n">
        <f aca="false">-(Costs!AA36)</f>
        <v>-395520</v>
      </c>
      <c r="AB22" s="11" t="n">
        <f aca="false">-(Costs!AB36)</f>
        <v>-428603.6</v>
      </c>
      <c r="AC22" s="11" t="n">
        <f aca="false">-(Costs!AC36)</f>
        <v>-428603.6</v>
      </c>
      <c r="AD22" s="11" t="n">
        <f aca="false">-(Costs!AD36)</f>
        <v>-465735.1</v>
      </c>
      <c r="AE22" s="11" t="n">
        <f aca="false">-(Costs!AE36)</f>
        <v>-465735.1</v>
      </c>
      <c r="AF22" s="11" t="n">
        <f aca="false">-(Costs!AF36)</f>
        <v>-465735.1</v>
      </c>
      <c r="AG22" s="11" t="n">
        <f aca="false">-(Costs!AG36)</f>
        <v>-465735.1</v>
      </c>
      <c r="AH22" s="11" t="n">
        <f aca="false">-(Costs!AH36)</f>
        <v>-465735.1</v>
      </c>
      <c r="AI22" s="11" t="n">
        <f aca="false">-(Costs!AI36)</f>
        <v>-465735.1</v>
      </c>
      <c r="AJ22" s="11" t="n">
        <f aca="false">-(Costs!AJ36)</f>
        <v>-465735.1</v>
      </c>
      <c r="AK22" s="11" t="n">
        <f aca="false">-(Costs!AK36)</f>
        <v>-465735.1</v>
      </c>
      <c r="AL22" s="11" t="n">
        <f aca="false">-(Costs!AL36)</f>
        <v>-465735.1</v>
      </c>
      <c r="AM22" s="11" t="n">
        <f aca="false">-(Costs!AM36)</f>
        <v>-465735.1</v>
      </c>
    </row>
    <row r="23" customFormat="false" ht="15" hidden="false" customHeight="true" outlineLevel="0" collapsed="false">
      <c r="A23" s="5" t="s">
        <v>81</v>
      </c>
      <c r="B23" s="10" t="s">
        <v>64</v>
      </c>
      <c r="C23" s="12" t="n">
        <f aca="false">SUM(D23:AM23)</f>
        <v>-5289538.58539623</v>
      </c>
      <c r="D23" s="11" t="n">
        <f aca="false">-(Costs!D37+Costs!D39+Costs!D40+Costs!D41+Costs!D42+Costs!D43)</f>
        <v>-12691.6666666667</v>
      </c>
      <c r="E23" s="11" t="n">
        <f aca="false">-(Costs!E37+Costs!E39+Costs!E40+Costs!E41+Costs!E42+Costs!E43)</f>
        <v>-12145.8333333333</v>
      </c>
      <c r="F23" s="11" t="n">
        <f aca="false">-(Costs!F37+Costs!F39+Costs!F40+Costs!F41+Costs!F42+Costs!F43)</f>
        <v>-15118.171875</v>
      </c>
      <c r="G23" s="11" t="n">
        <f aca="false">-(Costs!G37+Costs!G39+Costs!G40+Costs!G41+Costs!G42+Costs!G43)</f>
        <v>-13907.5095486111</v>
      </c>
      <c r="H23" s="11" t="n">
        <f aca="false">-(Costs!H37+Costs!H39+Costs!H40+Costs!H41+Costs!H42+Costs!H43)</f>
        <v>-13901.8663194444</v>
      </c>
      <c r="I23" s="11" t="n">
        <f aca="false">-(Costs!I37+Costs!I39+Costs!I40+Costs!I41+Costs!I42+Costs!I43)</f>
        <v>-13494.2213541667</v>
      </c>
      <c r="J23" s="11" t="n">
        <f aca="false">-(Costs!J37+Costs!J39+Costs!J40+Costs!J41+Costs!J42+Costs!J43)</f>
        <v>-13135.2569444444</v>
      </c>
      <c r="K23" s="11" t="n">
        <f aca="false">-(Costs!K37+Costs!K39+Costs!K40+Costs!K41+Costs!K42+Costs!K43)</f>
        <v>-42108.296875</v>
      </c>
      <c r="L23" s="11" t="n">
        <f aca="false">-(Costs!L37+Costs!L39+Costs!L40+Costs!L41+Costs!L42+Costs!L43)</f>
        <v>-42661.9041666667</v>
      </c>
      <c r="M23" s="11" t="n">
        <f aca="false">-(Costs!M37+Costs!M39+Costs!M40+Costs!M41+Costs!M42+Costs!M43)</f>
        <v>-57673.3399305556</v>
      </c>
      <c r="N23" s="11" t="n">
        <f aca="false">-(Costs!N37+Costs!N39+Costs!N40+Costs!N41+Costs!N42+Costs!N43)</f>
        <v>-72152.4782986111</v>
      </c>
      <c r="O23" s="11" t="n">
        <f aca="false">-(Costs!O37+Costs!O39+Costs!O40+Costs!O41+Costs!O42+Costs!O43)</f>
        <v>-78220.6189236111</v>
      </c>
      <c r="P23" s="11" t="n">
        <f aca="false">-(Costs!P37+Costs!P39+Costs!P40+Costs!P41+Costs!P42+Costs!P43)</f>
        <v>-104524.476475694</v>
      </c>
      <c r="Q23" s="11" t="n">
        <f aca="false">-(Costs!Q37+Costs!Q39+Costs!Q40+Costs!Q41+Costs!Q42+Costs!Q43)</f>
        <v>-122392.7734375</v>
      </c>
      <c r="R23" s="11" t="n">
        <f aca="false">-(Costs!R37+Costs!R39+Costs!R40+Costs!R41+Costs!R42+Costs!R43)</f>
        <v>-144977.062760417</v>
      </c>
      <c r="S23" s="11" t="n">
        <f aca="false">-(Costs!S37+Costs!S39+Costs!S40+Costs!S41+Costs!S42+Costs!S43)</f>
        <v>-150693.828342014</v>
      </c>
      <c r="T23" s="11" t="n">
        <f aca="false">-(Costs!T37+Costs!T39+Costs!T40+Costs!T41+Costs!T42+Costs!T43)</f>
        <v>-153098.142475694</v>
      </c>
      <c r="U23" s="11" t="n">
        <f aca="false">-(Costs!U37+Costs!U39+Costs!U40+Costs!U41+Costs!U42+Costs!U43)</f>
        <v>-152951.590027778</v>
      </c>
      <c r="V23" s="11" t="n">
        <f aca="false">-(Costs!V37+Costs!V39+Costs!V40+Costs!V41+Costs!V42+Costs!V43)</f>
        <v>-153474.597361111</v>
      </c>
      <c r="W23" s="11" t="n">
        <f aca="false">-(Costs!W37+Costs!W39+Costs!W40+Costs!W41+Costs!W42+Costs!W43)</f>
        <v>-164651.813854167</v>
      </c>
      <c r="X23" s="11" t="n">
        <f aca="false">-(Costs!X37+Costs!X39+Costs!X40+Costs!X41+Costs!X42+Costs!X43)</f>
        <v>-173792.6050125</v>
      </c>
      <c r="Y23" s="11" t="n">
        <f aca="false">-(Costs!Y37+Costs!Y39+Costs!Y40+Costs!Y41+Costs!Y42+Costs!Y43)</f>
        <v>-197396.204779861</v>
      </c>
      <c r="Z23" s="11" t="n">
        <f aca="false">-(Costs!Z37+Costs!Z39+Costs!Z40+Costs!Z41+Costs!Z42+Costs!Z43)</f>
        <v>-198574.276494792</v>
      </c>
      <c r="AA23" s="11" t="n">
        <f aca="false">-(Costs!AA37+Costs!AA39+Costs!AA40+Costs!AA41+Costs!AA42+Costs!AA43)</f>
        <v>-188062.004767361</v>
      </c>
      <c r="AB23" s="11" t="n">
        <f aca="false">-(Costs!AB37+Costs!AB39+Costs!AB40+Costs!AB41+Costs!AB42+Costs!AB43)</f>
        <v>-220396.758496667</v>
      </c>
      <c r="AC23" s="11" t="n">
        <f aca="false">-(Costs!AC37+Costs!AC39+Costs!AC40+Costs!AC41+Costs!AC42+Costs!AC43)</f>
        <v>-215815.133908333</v>
      </c>
      <c r="AD23" s="11" t="n">
        <f aca="false">-(Costs!AD37+Costs!AD39+Costs!AD40+Costs!AD41+Costs!AD42+Costs!AD43)</f>
        <v>-236990.809651667</v>
      </c>
      <c r="AE23" s="11" t="n">
        <f aca="false">-(Costs!AE37+Costs!AE39+Costs!AE40+Costs!AE41+Costs!AE42+Costs!AE43)</f>
        <v>-251531.632455556</v>
      </c>
      <c r="AF23" s="11" t="n">
        <f aca="false">-(Costs!AF37+Costs!AF39+Costs!AF40+Costs!AF41+Costs!AF42+Costs!AF43)</f>
        <v>-258184.053296022</v>
      </c>
      <c r="AG23" s="11" t="n">
        <f aca="false">-(Costs!AG37+Costs!AG39+Costs!AG40+Costs!AG41+Costs!AG42+Costs!AG43)</f>
        <v>-259247.078319467</v>
      </c>
      <c r="AH23" s="11" t="n">
        <f aca="false">-(Costs!AH37+Costs!AH39+Costs!AH40+Costs!AH41+Costs!AH42+Costs!AH43)</f>
        <v>-262075.667578222</v>
      </c>
      <c r="AI23" s="11" t="n">
        <f aca="false">-(Costs!AI37+Costs!AI39+Costs!AI40+Costs!AI41+Costs!AI42+Costs!AI43)</f>
        <v>-260256.698702333</v>
      </c>
      <c r="AJ23" s="11" t="n">
        <f aca="false">-(Costs!AJ37+Costs!AJ39+Costs!AJ40+Costs!AJ41+Costs!AJ42+Costs!AJ43)</f>
        <v>-252309.936419093</v>
      </c>
      <c r="AK23" s="11" t="n">
        <f aca="false">-(Costs!AK37+Costs!AK39+Costs!AK40+Costs!AK41+Costs!AK42+Costs!AK43)</f>
        <v>-264311.461757582</v>
      </c>
      <c r="AL23" s="11" t="n">
        <f aca="false">-(Costs!AL37+Costs!AL39+Costs!AL40+Costs!AL41+Costs!AL42+Costs!AL43)</f>
        <v>-266256.635581933</v>
      </c>
      <c r="AM23" s="11" t="n">
        <f aca="false">-(Costs!AM37+Costs!AM39+Costs!AM40+Costs!AM41+Costs!AM42+Costs!AM43)</f>
        <v>-250362.179204356</v>
      </c>
    </row>
    <row r="24" customFormat="false" ht="15" hidden="false" customHeight="true" outlineLevel="0" collapsed="false">
      <c r="A24" s="5" t="s">
        <v>1041</v>
      </c>
      <c r="B24" s="10" t="s">
        <v>64</v>
      </c>
      <c r="C24" s="12" t="n">
        <f aca="false">SUM(D24:AM24)</f>
        <v>-7031498.58539623</v>
      </c>
      <c r="D24" s="11" t="n">
        <f aca="false">-(Costs!D38+Costs!D44+Costs!D45+Costs!D46+Costs!D47+Costs!D48+Costs!D49+Costs!D50)</f>
        <v>-187785.333333333</v>
      </c>
      <c r="E24" s="11" t="n">
        <f aca="false">-(Costs!E38+Costs!E44+Costs!E45+Costs!E46+Costs!E47+Costs!E48+Costs!E49+Costs!E50)</f>
        <v>-38656.1666666667</v>
      </c>
      <c r="F24" s="11" t="n">
        <f aca="false">-(Costs!F38+Costs!F44+Costs!F45+Costs!F46+Costs!F47+Costs!F48+Costs!F49+Costs!F50)</f>
        <v>-68270.3385416667</v>
      </c>
      <c r="G24" s="11" t="n">
        <f aca="false">-(Costs!G38+Costs!G44+Costs!G45+Costs!G46+Costs!G47+Costs!G48+Costs!G49+Costs!G50)</f>
        <v>-64341.5095486111</v>
      </c>
      <c r="H24" s="11" t="n">
        <f aca="false">-(Costs!H38+Costs!H44+Costs!H45+Costs!H46+Costs!H47+Costs!H48+Costs!H49+Costs!H50)</f>
        <v>-93743.6996527778</v>
      </c>
      <c r="I24" s="11" t="n">
        <f aca="false">-(Costs!I38+Costs!I44+Costs!I45+Costs!I46+Costs!I47+Costs!I48+Costs!I49+Costs!I50)</f>
        <v>-117940.721354167</v>
      </c>
      <c r="J24" s="11" t="n">
        <f aca="false">-(Costs!J38+Costs!J44+Costs!J45+Costs!J46+Costs!J47+Costs!J48+Costs!J49+Costs!J50)</f>
        <v>-47098.4236111111</v>
      </c>
      <c r="K24" s="11" t="n">
        <f aca="false">-(Costs!K38+Costs!K44+Costs!K45+Costs!K46+Costs!K47+Costs!K48+Costs!K49+Costs!K50)</f>
        <v>-122146.130208333</v>
      </c>
      <c r="L24" s="11" t="n">
        <f aca="false">-(Costs!L38+Costs!L44+Costs!L45+Costs!L46+Costs!L47+Costs!L48+Costs!L49+Costs!L50)</f>
        <v>-133366.904166667</v>
      </c>
      <c r="M24" s="11" t="n">
        <f aca="false">-(Costs!M38+Costs!M44+Costs!M45+Costs!M46+Costs!M47+Costs!M48+Costs!M49+Costs!M50)</f>
        <v>-155298.173263889</v>
      </c>
      <c r="N24" s="11" t="n">
        <f aca="false">-(Costs!N38+Costs!N44+Costs!N45+Costs!N46+Costs!N47+Costs!N48+Costs!N49+Costs!N50)</f>
        <v>-115065.978298611</v>
      </c>
      <c r="O24" s="11" t="n">
        <f aca="false">-(Costs!O38+Costs!O44+Costs!O45+Costs!O46+Costs!O47+Costs!O48+Costs!O49+Costs!O50)</f>
        <v>-169114.785590278</v>
      </c>
      <c r="P24" s="11" t="n">
        <f aca="false">-(Costs!P38+Costs!P44+Costs!P45+Costs!P46+Costs!P47+Costs!P48+Costs!P49+Costs!P50)</f>
        <v>-611396.476475694</v>
      </c>
      <c r="Q24" s="11" t="n">
        <f aca="false">-(Costs!Q38+Costs!Q44+Costs!Q45+Costs!Q46+Costs!Q47+Costs!Q48+Costs!Q49+Costs!Q50)</f>
        <v>-163202.606770833</v>
      </c>
      <c r="R24" s="11" t="n">
        <f aca="false">-(Costs!R38+Costs!R44+Costs!R45+Costs!R46+Costs!R47+Costs!R48+Costs!R49+Costs!R50)</f>
        <v>-203169.062760417</v>
      </c>
      <c r="S24" s="11" t="n">
        <f aca="false">-(Costs!S38+Costs!S44+Costs!S45+Costs!S46+Costs!S47+Costs!S48+Costs!S49+Costs!S50)</f>
        <v>-172064.495008681</v>
      </c>
      <c r="T24" s="11" t="n">
        <f aca="false">-(Costs!T38+Costs!T44+Costs!T45+Costs!T46+Costs!T47+Costs!T48+Costs!T49+Costs!T50)</f>
        <v>-154148.975809028</v>
      </c>
      <c r="U24" s="11" t="n">
        <f aca="false">-(Costs!U38+Costs!U44+Costs!U45+Costs!U46+Costs!U47+Costs!U48+Costs!U49+Costs!U50)</f>
        <v>-165921.756694444</v>
      </c>
      <c r="V24" s="11" t="n">
        <f aca="false">-(Costs!V38+Costs!V44+Costs!V45+Costs!V46+Costs!V47+Costs!V48+Costs!V49+Costs!V50)</f>
        <v>-160094.097361111</v>
      </c>
      <c r="W24" s="11" t="n">
        <f aca="false">-(Costs!W38+Costs!W44+Costs!W45+Costs!W46+Costs!W47+Costs!W48+Costs!W49+Costs!W50)</f>
        <v>-190089.1471875</v>
      </c>
      <c r="X24" s="11" t="n">
        <f aca="false">-(Costs!X38+Costs!X44+Costs!X45+Costs!X46+Costs!X47+Costs!X48+Costs!X49+Costs!X50)</f>
        <v>-163564.271679167</v>
      </c>
      <c r="Y24" s="11" t="n">
        <f aca="false">-(Costs!Y38+Costs!Y44+Costs!Y45+Costs!Y46+Costs!Y47+Costs!Y48+Costs!Y49+Costs!Y50)</f>
        <v>-200256.538113194</v>
      </c>
      <c r="Z24" s="11" t="n">
        <f aca="false">-(Costs!Z38+Costs!Z44+Costs!Z45+Costs!Z46+Costs!Z47+Costs!Z48+Costs!Z49+Costs!Z50)</f>
        <v>-161225.443161458</v>
      </c>
      <c r="AA24" s="11" t="n">
        <f aca="false">-(Costs!AA38+Costs!AA44+Costs!AA45+Costs!AA46+Costs!AA47+Costs!AA48+Costs!AA49+Costs!AA50)</f>
        <v>-225563.504767361</v>
      </c>
      <c r="AB24" s="11" t="n">
        <f aca="false">-(Costs!AB38+Costs!AB44+Costs!AB45+Costs!AB46+Costs!AB47+Costs!AB48+Costs!AB49+Costs!AB50)</f>
        <v>-250362.075163333</v>
      </c>
      <c r="AC24" s="11" t="n">
        <f aca="false">-(Costs!AC38+Costs!AC44+Costs!AC45+Costs!AC46+Costs!AC47+Costs!AC48+Costs!AC49+Costs!AC50)</f>
        <v>-504617.950575</v>
      </c>
      <c r="AD24" s="11" t="n">
        <f aca="false">-(Costs!AD38+Costs!AD44+Costs!AD45+Costs!AD46+Costs!AD47+Costs!AD48+Costs!AD49+Costs!AD50)</f>
        <v>-295024.126318333</v>
      </c>
      <c r="AE24" s="11" t="n">
        <f aca="false">-(Costs!AE38+Costs!AE44+Costs!AE45+Costs!AE46+Costs!AE47+Costs!AE48+Costs!AE49+Costs!AE50)</f>
        <v>-257335.749122222</v>
      </c>
      <c r="AF24" s="11" t="n">
        <f aca="false">-(Costs!AF38+Costs!AF44+Costs!AF45+Costs!AF46+Costs!AF47+Costs!AF48+Costs!AF49+Costs!AF50)</f>
        <v>-227795.669962689</v>
      </c>
      <c r="AG24" s="11" t="n">
        <f aca="false">-(Costs!AG38+Costs!AG44+Costs!AG45+Costs!AG46+Costs!AG47+Costs!AG48+Costs!AG49+Costs!AG50)</f>
        <v>-227558.694986133</v>
      </c>
      <c r="AH24" s="11" t="n">
        <f aca="false">-(Costs!AH38+Costs!AH44+Costs!AH45+Costs!AH46+Costs!AH47+Costs!AH48+Costs!AH49+Costs!AH50)</f>
        <v>-229087.284244889</v>
      </c>
      <c r="AI24" s="11" t="n">
        <f aca="false">-(Costs!AI38+Costs!AI44+Costs!AI45+Costs!AI46+Costs!AI47+Costs!AI48+Costs!AI49+Costs!AI50)</f>
        <v>-229105.815369</v>
      </c>
      <c r="AJ24" s="11" t="n">
        <f aca="false">-(Costs!AJ38+Costs!AJ44+Costs!AJ45+Costs!AJ46+Costs!AJ47+Costs!AJ48+Costs!AJ49+Costs!AJ50)</f>
        <v>-230459.05308576</v>
      </c>
      <c r="AK24" s="11" t="n">
        <f aca="false">-(Costs!AK38+Costs!AK44+Costs!AK45+Costs!AK46+Costs!AK47+Costs!AK48+Costs!AK49+Costs!AK50)</f>
        <v>-231460.578424249</v>
      </c>
      <c r="AL24" s="11" t="n">
        <f aca="false">-(Costs!AL38+Costs!AL44+Costs!AL45+Costs!AL46+Costs!AL47+Costs!AL48+Costs!AL49+Costs!AL50)</f>
        <v>-232868.2522486</v>
      </c>
      <c r="AM24" s="11" t="n">
        <f aca="false">-(Costs!AM38+Costs!AM44+Costs!AM45+Costs!AM46+Costs!AM47+Costs!AM48+Costs!AM49+Costs!AM50)</f>
        <v>-232298.795871022</v>
      </c>
    </row>
    <row r="25" customFormat="false" ht="15" hidden="false" customHeight="true" outlineLevel="0" collapsed="false">
      <c r="A25" s="5" t="s">
        <v>83</v>
      </c>
      <c r="B25" s="10" t="s">
        <v>64</v>
      </c>
      <c r="C25" s="12" t="n">
        <f aca="false">SUM(D25:AM25)</f>
        <v>0</v>
      </c>
      <c r="D25" s="11" t="n">
        <f aca="false">-Costs!D51</f>
        <v>-0</v>
      </c>
      <c r="E25" s="11" t="n">
        <f aca="false">-Costs!E51</f>
        <v>-0</v>
      </c>
      <c r="F25" s="11" t="n">
        <f aca="false">-Costs!F51</f>
        <v>-0</v>
      </c>
      <c r="G25" s="11" t="n">
        <f aca="false">-Costs!G51</f>
        <v>-0</v>
      </c>
      <c r="H25" s="11" t="n">
        <f aca="false">-Costs!H51</f>
        <v>-0</v>
      </c>
      <c r="I25" s="11" t="n">
        <f aca="false">-Costs!I51</f>
        <v>-0</v>
      </c>
      <c r="J25" s="11" t="n">
        <f aca="false">-Costs!J51</f>
        <v>-0</v>
      </c>
      <c r="K25" s="11" t="n">
        <f aca="false">-Costs!K51</f>
        <v>-0</v>
      </c>
      <c r="L25" s="11" t="n">
        <f aca="false">-Costs!L51</f>
        <v>-0</v>
      </c>
      <c r="M25" s="11" t="n">
        <f aca="false">-Costs!M51</f>
        <v>-0</v>
      </c>
      <c r="N25" s="11" t="n">
        <f aca="false">-Costs!N51</f>
        <v>-0</v>
      </c>
      <c r="O25" s="11" t="n">
        <f aca="false">-Costs!O51</f>
        <v>-0</v>
      </c>
      <c r="P25" s="11" t="n">
        <f aca="false">-Costs!P51</f>
        <v>-0</v>
      </c>
      <c r="Q25" s="11" t="n">
        <f aca="false">-Costs!Q51</f>
        <v>-0</v>
      </c>
      <c r="R25" s="11" t="n">
        <f aca="false">-Costs!R51</f>
        <v>-0</v>
      </c>
      <c r="S25" s="11" t="n">
        <f aca="false">-Costs!S51</f>
        <v>-0</v>
      </c>
      <c r="T25" s="11" t="n">
        <f aca="false">-Costs!T51</f>
        <v>-0</v>
      </c>
      <c r="U25" s="11" t="n">
        <f aca="false">-Costs!U51</f>
        <v>-0</v>
      </c>
      <c r="V25" s="11" t="n">
        <f aca="false">-Costs!V51</f>
        <v>-0</v>
      </c>
      <c r="W25" s="11" t="n">
        <f aca="false">-Costs!W51</f>
        <v>-0</v>
      </c>
      <c r="X25" s="11" t="n">
        <f aca="false">-Costs!X51</f>
        <v>-0</v>
      </c>
      <c r="Y25" s="11" t="n">
        <f aca="false">-Costs!Y51</f>
        <v>-0</v>
      </c>
      <c r="Z25" s="11" t="n">
        <f aca="false">-Costs!Z51</f>
        <v>-0</v>
      </c>
      <c r="AA25" s="11" t="n">
        <f aca="false">-Costs!AA51</f>
        <v>-0</v>
      </c>
      <c r="AB25" s="11" t="n">
        <f aca="false">-Costs!AB51</f>
        <v>-0</v>
      </c>
      <c r="AC25" s="11" t="n">
        <f aca="false">-Costs!AC51</f>
        <v>-0</v>
      </c>
      <c r="AD25" s="11" t="n">
        <f aca="false">-Costs!AD51</f>
        <v>-0</v>
      </c>
      <c r="AE25" s="11" t="n">
        <f aca="false">-Costs!AE51</f>
        <v>-0</v>
      </c>
      <c r="AF25" s="11" t="n">
        <f aca="false">-Costs!AF51</f>
        <v>-0</v>
      </c>
      <c r="AG25" s="11" t="n">
        <f aca="false">-Costs!AG51</f>
        <v>-0</v>
      </c>
      <c r="AH25" s="11" t="n">
        <f aca="false">-Costs!AH51</f>
        <v>-0</v>
      </c>
      <c r="AI25" s="11" t="n">
        <f aca="false">-Costs!AI51</f>
        <v>-0</v>
      </c>
      <c r="AJ25" s="11" t="n">
        <f aca="false">-Costs!AJ51</f>
        <v>-0</v>
      </c>
      <c r="AK25" s="11" t="n">
        <f aca="false">-Costs!AK51</f>
        <v>-0</v>
      </c>
      <c r="AL25" s="11" t="n">
        <f aca="false">-Costs!AL51</f>
        <v>-0</v>
      </c>
      <c r="AM25" s="11" t="n">
        <f aca="false">-Costs!AM51</f>
        <v>-0</v>
      </c>
    </row>
    <row r="26" customFormat="false" ht="15" hidden="false" customHeight="true" outlineLevel="0" collapsed="false">
      <c r="A26" s="5" t="s">
        <v>1042</v>
      </c>
      <c r="B26" s="10" t="s">
        <v>64</v>
      </c>
      <c r="C26" s="12" t="n">
        <f aca="false">SUM(D26:AM26)</f>
        <v>0</v>
      </c>
      <c r="D26" s="11" t="n">
        <f aca="false">Scenario_Control!$M$24*IF(D$3=Assumptions!$D$167+2+Assumptions!$D$176,Assumptions!$D$226,0)</f>
        <v>0</v>
      </c>
      <c r="E26" s="11" t="n">
        <f aca="false">Scenario_Control!$M$24*IF(E$3=Assumptions!$D$167+2+Assumptions!$D$176,Assumptions!$D$226,0)</f>
        <v>0</v>
      </c>
      <c r="F26" s="11" t="n">
        <f aca="false">Scenario_Control!$M$24*IF(F$3=Assumptions!$D$167+2+Assumptions!$D$176,Assumptions!$D$226,0)</f>
        <v>0</v>
      </c>
      <c r="G26" s="11" t="n">
        <f aca="false">Scenario_Control!$M$24*IF(G$3=Assumptions!$D$167+2+Assumptions!$D$176,Assumptions!$D$226,0)</f>
        <v>0</v>
      </c>
      <c r="H26" s="11" t="n">
        <f aca="false">Scenario_Control!$M$24*IF(H$3=Assumptions!$D$167+2+Assumptions!$D$176,Assumptions!$D$226,0)</f>
        <v>0</v>
      </c>
      <c r="I26" s="11" t="n">
        <f aca="false">Scenario_Control!$M$24*IF(I$3=Assumptions!$D$167+2+Assumptions!$D$176,Assumptions!$D$226,0)</f>
        <v>0</v>
      </c>
      <c r="J26" s="11" t="n">
        <f aca="false">Scenario_Control!$M$24*IF(J$3=Assumptions!$D$167+2+Assumptions!$D$176,Assumptions!$D$226,0)</f>
        <v>0</v>
      </c>
      <c r="K26" s="11" t="n">
        <f aca="false">Scenario_Control!$M$24*IF(K$3=Assumptions!$D$167+2+Assumptions!$D$176,Assumptions!$D$226,0)</f>
        <v>0</v>
      </c>
      <c r="L26" s="11" t="n">
        <f aca="false">Scenario_Control!$M$24*IF(L$3=Assumptions!$D$167+2+Assumptions!$D$176,Assumptions!$D$226,0)</f>
        <v>0</v>
      </c>
      <c r="M26" s="11" t="n">
        <f aca="false">Scenario_Control!$M$24*IF(M$3=Assumptions!$D$167+2+Assumptions!$D$176,Assumptions!$D$226,0)</f>
        <v>0</v>
      </c>
      <c r="N26" s="11" t="n">
        <f aca="false">Scenario_Control!$M$24*IF(N$3=Assumptions!$D$167+2+Assumptions!$D$176,Assumptions!$D$226,0)</f>
        <v>0</v>
      </c>
      <c r="O26" s="11" t="n">
        <f aca="false">Scenario_Control!$M$24*IF(O$3=Assumptions!$D$167+2+Assumptions!$D$176,Assumptions!$D$226,0)</f>
        <v>0</v>
      </c>
      <c r="P26" s="11" t="n">
        <f aca="false">Scenario_Control!$M$24*IF(P$3=Assumptions!$D$167+2+Assumptions!$D$176,Assumptions!$D$226,0)</f>
        <v>0</v>
      </c>
      <c r="Q26" s="11" t="n">
        <f aca="false">Scenario_Control!$M$24*IF(Q$3=Assumptions!$D$167+2+Assumptions!$D$176,Assumptions!$D$226,0)</f>
        <v>0</v>
      </c>
      <c r="R26" s="11" t="n">
        <f aca="false">Scenario_Control!$M$24*IF(R$3=Assumptions!$D$167+2+Assumptions!$D$176,Assumptions!$D$226,0)</f>
        <v>0</v>
      </c>
      <c r="S26" s="11" t="n">
        <f aca="false">Scenario_Control!$M$24*IF(S$3=Assumptions!$D$167+2+Assumptions!$D$176,Assumptions!$D$226,0)</f>
        <v>0</v>
      </c>
      <c r="T26" s="11" t="n">
        <f aca="false">Scenario_Control!$M$24*IF(T$3=Assumptions!$D$167+2+Assumptions!$D$176,Assumptions!$D$226,0)</f>
        <v>0</v>
      </c>
      <c r="U26" s="11" t="n">
        <f aca="false">Scenario_Control!$M$24*IF(U$3=Assumptions!$D$167+2+Assumptions!$D$176,Assumptions!$D$226,0)</f>
        <v>0</v>
      </c>
      <c r="V26" s="11" t="n">
        <f aca="false">Scenario_Control!$M$24*IF(V$3=Assumptions!$D$167+2+Assumptions!$D$176,Assumptions!$D$226,0)</f>
        <v>0</v>
      </c>
      <c r="W26" s="11" t="n">
        <f aca="false">Scenario_Control!$M$24*IF(W$3=Assumptions!$D$167+2+Assumptions!$D$176,Assumptions!$D$226,0)</f>
        <v>0</v>
      </c>
      <c r="X26" s="11" t="n">
        <f aca="false">Scenario_Control!$M$24*IF(X$3=Assumptions!$D$167+2+Assumptions!$D$176,Assumptions!$D$226,0)</f>
        <v>0</v>
      </c>
      <c r="Y26" s="11" t="n">
        <f aca="false">Scenario_Control!$M$24*IF(Y$3=Assumptions!$D$167+2+Assumptions!$D$176,Assumptions!$D$226,0)</f>
        <v>0</v>
      </c>
      <c r="Z26" s="11" t="n">
        <f aca="false">Scenario_Control!$M$24*IF(Z$3=Assumptions!$D$167+2+Assumptions!$D$176,Assumptions!$D$226,0)</f>
        <v>0</v>
      </c>
      <c r="AA26" s="11" t="n">
        <f aca="false">Scenario_Control!$M$24*IF(AA$3=Assumptions!$D$167+2+Assumptions!$D$176,Assumptions!$D$226,0)</f>
        <v>0</v>
      </c>
      <c r="AB26" s="11" t="n">
        <f aca="false">Scenario_Control!$M$24*IF(AB$3=Assumptions!$D$167+2+Assumptions!$D$176,Assumptions!$D$226,0)</f>
        <v>0</v>
      </c>
      <c r="AC26" s="11" t="n">
        <f aca="false">Scenario_Control!$M$24*IF(AC$3=Assumptions!$D$167+2+Assumptions!$D$176,Assumptions!$D$226,0)</f>
        <v>0</v>
      </c>
      <c r="AD26" s="11" t="n">
        <f aca="false">Scenario_Control!$M$24*IF(AD$3=Assumptions!$D$167+2+Assumptions!$D$176,Assumptions!$D$226,0)</f>
        <v>0</v>
      </c>
      <c r="AE26" s="11" t="n">
        <f aca="false">Scenario_Control!$M$24*IF(AE$3=Assumptions!$D$167+2+Assumptions!$D$176,Assumptions!$D$226,0)</f>
        <v>0</v>
      </c>
      <c r="AF26" s="11" t="n">
        <f aca="false">Scenario_Control!$M$24*IF(AF$3=Assumptions!$D$167+2+Assumptions!$D$176,Assumptions!$D$226,0)</f>
        <v>0</v>
      </c>
      <c r="AG26" s="11" t="n">
        <f aca="false">Scenario_Control!$M$24*IF(AG$3=Assumptions!$D$167+2+Assumptions!$D$176,Assumptions!$D$226,0)</f>
        <v>0</v>
      </c>
      <c r="AH26" s="11" t="n">
        <f aca="false">Scenario_Control!$M$24*IF(AH$3=Assumptions!$D$167+2+Assumptions!$D$176,Assumptions!$D$226,0)</f>
        <v>0</v>
      </c>
      <c r="AI26" s="11" t="n">
        <f aca="false">Scenario_Control!$M$24*IF(AI$3=Assumptions!$D$167+2+Assumptions!$D$176,Assumptions!$D$226,0)</f>
        <v>0</v>
      </c>
      <c r="AJ26" s="11" t="n">
        <f aca="false">Scenario_Control!$M$24*IF(AJ$3=Assumptions!$D$167+2+Assumptions!$D$176,Assumptions!$D$226,0)</f>
        <v>0</v>
      </c>
      <c r="AK26" s="11" t="n">
        <f aca="false">Scenario_Control!$M$24*IF(AK$3=Assumptions!$D$167+2+Assumptions!$D$176,Assumptions!$D$226,0)</f>
        <v>0</v>
      </c>
      <c r="AL26" s="11" t="n">
        <f aca="false">Scenario_Control!$M$24*IF(AL$3=Assumptions!$D$167+2+Assumptions!$D$176,Assumptions!$D$226,0)</f>
        <v>0</v>
      </c>
      <c r="AM26" s="11" t="n">
        <f aca="false">Scenario_Control!$M$24*IF(AM$3=Assumptions!$D$167+2+Assumptions!$D$176,Assumptions!$D$226,0)</f>
        <v>0</v>
      </c>
    </row>
    <row r="27" customFormat="false" ht="15" hidden="false" customHeight="true" outlineLevel="0" collapsed="false">
      <c r="A27" s="13" t="s">
        <v>1043</v>
      </c>
      <c r="B27" s="14" t="s">
        <v>64</v>
      </c>
      <c r="C27" s="15" t="n">
        <f aca="false">SUM(D27:AM27)</f>
        <v>-21954050.1006605</v>
      </c>
      <c r="D27" s="15" t="n">
        <f aca="false">D20+D22+D23+D24+D25+D26</f>
        <v>-224363.187369354</v>
      </c>
      <c r="E27" s="15" t="n">
        <f aca="false">E20+E22+E23+E24+E25+E26</f>
        <v>-74079.7295085779</v>
      </c>
      <c r="F27" s="15" t="n">
        <f aca="false">F20+F22+F23+F24+F25+F26</f>
        <v>-125627.001279377</v>
      </c>
      <c r="G27" s="15" t="n">
        <f aca="false">G20+G22+G23+G24+G25+G26</f>
        <v>-135252.994427892</v>
      </c>
      <c r="H27" s="15" t="n">
        <f aca="false">H20+H22+H23+H24+H25+H26</f>
        <v>-197442.774935763</v>
      </c>
      <c r="I27" s="15" t="n">
        <f aca="false">I20+I22+I23+I24+I25+I26</f>
        <v>-267484.634084994</v>
      </c>
      <c r="J27" s="15" t="n">
        <f aca="false">J20+J22+J23+J24+J25+J26</f>
        <v>-194561.986170042</v>
      </c>
      <c r="K27" s="15" t="n">
        <f aca="false">K20+K22+K23+K24+K25+K26</f>
        <v>-315930.936516823</v>
      </c>
      <c r="L27" s="15" t="n">
        <f aca="false">L20+L22+L23+L24+L25+L26</f>
        <v>-379958.524105329</v>
      </c>
      <c r="M27" s="15" t="n">
        <f aca="false">M20+M22+M23+M24+M25+M26</f>
        <v>-444920.785863251</v>
      </c>
      <c r="N27" s="15" t="n">
        <f aca="false">N20+N22+N23+N24+N25+N26</f>
        <v>-430662.952603824</v>
      </c>
      <c r="O27" s="15" t="n">
        <f aca="false">O20+O22+O23+O24+O25+O26</f>
        <v>-539269.123904574</v>
      </c>
      <c r="P27" s="15" t="n">
        <f aca="false">P20+P22+P23+P24+P25+P26</f>
        <v>-1039090.33057558</v>
      </c>
      <c r="Q27" s="15" t="n">
        <f aca="false">Q20+Q22+Q23+Q24+Q25+Q26</f>
        <v>-602995.376608606</v>
      </c>
      <c r="R27" s="15" t="n">
        <f aca="false">R20+R22+R23+R24+R25+R26</f>
        <v>-695933.193354203</v>
      </c>
      <c r="S27" s="15" t="n">
        <f aca="false">S20+S22+S23+S24+S25+S26</f>
        <v>-676614.335218669</v>
      </c>
      <c r="T27" s="15" t="n">
        <f aca="false">T20+T22+T23+T24+T25+T26</f>
        <v>-661315.773689076</v>
      </c>
      <c r="U27" s="15" t="n">
        <f aca="false">U20+U22+U23+U24+U25+U26</f>
        <v>-681424.530402265</v>
      </c>
      <c r="V27" s="15" t="n">
        <f aca="false">V20+V22+V23+V24+V25+V26</f>
        <v>-673915.570989497</v>
      </c>
      <c r="W27" s="15" t="n">
        <f aca="false">W20+W22+W23+W24+W25+W26</f>
        <v>-722285.657214393</v>
      </c>
      <c r="X27" s="15" t="n">
        <f aca="false">X20+X22+X23+X24+X25+X26</f>
        <v>-691297.818812588</v>
      </c>
      <c r="Y27" s="15" t="n">
        <f aca="false">Y20+Y22+Y23+Y24+Y25+Y26</f>
        <v>-744520.335607252</v>
      </c>
      <c r="Z27" s="15" t="n">
        <f aca="false">Z20+Z22+Z23+Z24+Z25+Z26</f>
        <v>-701475.790859691</v>
      </c>
      <c r="AA27" s="15" t="n">
        <f aca="false">AA20+AA22+AA23+AA24+AA25+AA26</f>
        <v>-766438.429300502</v>
      </c>
      <c r="AB27" s="15" t="n">
        <f aca="false">AB20+AB22+AB23+AB24+AB25+AB26</f>
        <v>-860483.765718473</v>
      </c>
      <c r="AC27" s="15" t="n">
        <f aca="false">AC20+AC22+AC23+AC24+AC25+AC26</f>
        <v>-1095307.30850026</v>
      </c>
      <c r="AD27" s="15" t="n">
        <f aca="false">AD20+AD22+AD23+AD24+AD25+AD26</f>
        <v>-945063.208225719</v>
      </c>
      <c r="AE27" s="15" t="n">
        <f aca="false">AE20+AE22+AE23+AE24+AE25+AE26</f>
        <v>-903582.781354185</v>
      </c>
      <c r="AF27" s="15" t="n">
        <f aca="false">AF20+AF22+AF23+AF24+AF25+AF26</f>
        <v>-859860.775634852</v>
      </c>
      <c r="AG27" s="15" t="n">
        <f aca="false">AG20+AG22+AG23+AG24+AG25+AG26</f>
        <v>-837072.924908478</v>
      </c>
      <c r="AH27" s="15" t="n">
        <f aca="false">AH20+AH22+AH23+AH24+AH25+AH26</f>
        <v>-810035.360439251</v>
      </c>
      <c r="AI27" s="15" t="n">
        <f aca="false">AI20+AI22+AI23+AI24+AI25+AI26</f>
        <v>-778556.808854151</v>
      </c>
      <c r="AJ27" s="15" t="n">
        <f aca="false">AJ20+AJ22+AJ23+AJ24+AJ25+AJ26</f>
        <v>-738804.170742782</v>
      </c>
      <c r="AK27" s="15" t="n">
        <f aca="false">AK20+AK22+AK23+AK24+AK25+AK26</f>
        <v>-732516.749900836</v>
      </c>
      <c r="AL27" s="15" t="n">
        <f aca="false">AL20+AL22+AL23+AL24+AL25+AL26</f>
        <v>-719586.93173297</v>
      </c>
      <c r="AM27" s="15" t="n">
        <f aca="false">AM20+AM22+AM23+AM24+AM25+AM26</f>
        <v>-686317.541246365</v>
      </c>
    </row>
    <row r="28" customFormat="false" ht="15" hidden="false" customHeight="true" outlineLevel="0" collapsed="false">
      <c r="A28" s="5" t="s">
        <v>86</v>
      </c>
      <c r="B28" s="10" t="s">
        <v>74</v>
      </c>
      <c r="C28" s="17"/>
      <c r="D28" s="16" t="n">
        <f aca="false">IF(D18=0,0,D27/D18)</f>
        <v>-1742.80628743414</v>
      </c>
      <c r="E28" s="16" t="n">
        <f aca="false">IF(E18=0,0,E27/E18)</f>
        <v>-33.6541827036792</v>
      </c>
      <c r="F28" s="16" t="n">
        <f aca="false">IF(F18=0,0,F27/F18)</f>
        <v>-27.1825936722119</v>
      </c>
      <c r="G28" s="16" t="n">
        <f aca="false">IF(G18=0,0,G27/G18)</f>
        <v>-20.2867968083212</v>
      </c>
      <c r="H28" s="16" t="n">
        <f aca="false">IF(H18=0,0,H27/H18)</f>
        <v>-20.2713350541236</v>
      </c>
      <c r="I28" s="16" t="n">
        <f aca="false">IF(I18=0,0,I27/I18)</f>
        <v>-21.1934739120559</v>
      </c>
      <c r="J28" s="16" t="n">
        <f aca="false">IF(J18=0,0,J27/J18)</f>
        <v>-11.8965468114386</v>
      </c>
      <c r="K28" s="16" t="n">
        <f aca="false">IF(K18=0,0,K27/K18)</f>
        <v>-16.1281786929722</v>
      </c>
      <c r="L28" s="16" t="n">
        <f aca="false">IF(L18=0,0,L27/L18)</f>
        <v>-16.8160496210441</v>
      </c>
      <c r="M28" s="16" t="n">
        <f aca="false">IF(M18=0,0,M27/M18)</f>
        <v>-19.5009651273265</v>
      </c>
      <c r="N28" s="16" t="n">
        <f aca="false">IF(N18=0,0,N27/N18)</f>
        <v>-20.2067922449975</v>
      </c>
      <c r="O28" s="16" t="n">
        <f aca="false">IF(O18=0,0,O27/O18)</f>
        <v>-26.5439982841389</v>
      </c>
      <c r="P28" s="16" t="n">
        <f aca="false">IF(P18=0,0,P27/P18)</f>
        <v>-44.9343494723236</v>
      </c>
      <c r="Q28" s="16" t="n">
        <f aca="false">IF(Q18=0,0,Q27/Q18)</f>
        <v>-17.1215355387905</v>
      </c>
      <c r="R28" s="16" t="n">
        <f aca="false">IF(R18=0,0,R27/R18)</f>
        <v>-14.7894227299088</v>
      </c>
      <c r="S28" s="16" t="n">
        <f aca="false">IF(S18=0,0,S27/S18)</f>
        <v>-10.693544245019</v>
      </c>
      <c r="T28" s="16" t="n">
        <f aca="false">IF(T18=0,0,T27/T18)</f>
        <v>-7.9317075696412</v>
      </c>
      <c r="U28" s="16" t="n">
        <f aca="false">IF(U18=0,0,U27/U18)</f>
        <v>-6.54886186700816</v>
      </c>
      <c r="V28" s="16" t="n">
        <f aca="false">IF(V18=0,0,V27/V18)</f>
        <v>-5.07281060540139</v>
      </c>
      <c r="W28" s="16" t="n">
        <f aca="false">IF(W18=0,0,W27/W18)</f>
        <v>-4.61478681464233</v>
      </c>
      <c r="X28" s="16" t="n">
        <f aca="false">IF(X18=0,0,X27/X18)</f>
        <v>-3.82678371863728</v>
      </c>
      <c r="Y28" s="16" t="n">
        <f aca="false">IF(Y18=0,0,Y27/Y18)</f>
        <v>-3.95004192385597</v>
      </c>
      <c r="Z28" s="16" t="n">
        <f aca="false">IF(Z18=0,0,Z27/Z18)</f>
        <v>-3.73914861999818</v>
      </c>
      <c r="AA28" s="16" t="n">
        <f aca="false">IF(AA18=0,0,AA27/AA18)</f>
        <v>-4.16440243946274</v>
      </c>
      <c r="AB28" s="16" t="n">
        <f aca="false">IF(AB18=0,0,AB27/AB18)</f>
        <v>-4.42915142639076</v>
      </c>
      <c r="AC28" s="16" t="n">
        <f aca="false">IF(AC18=0,0,AC27/AC18)</f>
        <v>-5.10257052938417</v>
      </c>
      <c r="AD28" s="16" t="n">
        <f aca="false">IF(AD18=0,0,AD27/AD18)</f>
        <v>-4.0381761081447</v>
      </c>
      <c r="AE28" s="16" t="n">
        <f aca="false">IF(AE18=0,0,AE27/AE18)</f>
        <v>-3.35873297488181</v>
      </c>
      <c r="AF28" s="16" t="n">
        <f aca="false">IF(AF18=0,0,AF27/AF18)</f>
        <v>-2.76268093469978</v>
      </c>
      <c r="AG28" s="16" t="n">
        <f aca="false">IF(AG18=0,0,AG27/AG18)</f>
        <v>-2.32597262658108</v>
      </c>
      <c r="AH28" s="16" t="n">
        <f aca="false">IF(AH18=0,0,AH27/AH18)</f>
        <v>-1.9137031100015</v>
      </c>
      <c r="AI28" s="16" t="n">
        <f aca="false">IF(AI18=0,0,AI27/AI18)</f>
        <v>-1.62410642208133</v>
      </c>
      <c r="AJ28" s="16" t="n">
        <f aca="false">IF(AJ18=0,0,AJ27/AJ18)</f>
        <v>-1.37222854551136</v>
      </c>
      <c r="AK28" s="16" t="n">
        <f aca="false">IF(AK18=0,0,AK27/AK18)</f>
        <v>-1.30410990495155</v>
      </c>
      <c r="AL28" s="16" t="n">
        <f aca="false">IF(AL18=0,0,AL27/AL18)</f>
        <v>-1.2685202895628</v>
      </c>
      <c r="AM28" s="16" t="n">
        <f aca="false">IF(AM18=0,0,AM27/AM18)</f>
        <v>-1.21824039322216</v>
      </c>
    </row>
    <row r="30" customFormat="false" ht="15" hidden="false" customHeight="true" outlineLevel="0" collapsed="false">
      <c r="A30" s="8" t="s">
        <v>1044</v>
      </c>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row>
    <row r="31" customFormat="false" ht="15" hidden="false" customHeight="true" outlineLevel="0" collapsed="false">
      <c r="A31" s="5" t="s">
        <v>1045</v>
      </c>
      <c r="B31" s="10" t="s">
        <v>64</v>
      </c>
      <c r="C31" s="12" t="n">
        <f aca="false">SUM(D31:AM31)</f>
        <v>375656.09239519</v>
      </c>
      <c r="D31" s="11" t="n">
        <f aca="false">Revenue!D36</f>
        <v>561.605265</v>
      </c>
      <c r="E31" s="11" t="n">
        <f aca="false">Revenue!E36</f>
        <v>676.493567742188</v>
      </c>
      <c r="F31" s="11" t="n">
        <f aca="false">Revenue!F36</f>
        <v>1830.47715831938</v>
      </c>
      <c r="G31" s="11" t="n">
        <f aca="false">Revenue!G36</f>
        <v>2044.23313497945</v>
      </c>
      <c r="H31" s="11" t="n">
        <f aca="false">Revenue!H36</f>
        <v>1737.99182871453</v>
      </c>
      <c r="I31" s="11" t="n">
        <f aca="false">Revenue!I36</f>
        <v>1525.63633864362</v>
      </c>
      <c r="J31" s="11" t="n">
        <f aca="false">Revenue!J36</f>
        <v>1228.425069039</v>
      </c>
      <c r="K31" s="11" t="n">
        <f aca="false">Revenue!K36</f>
        <v>1129.37395456338</v>
      </c>
      <c r="L31" s="11" t="n">
        <f aca="false">Revenue!L36</f>
        <v>1478.66397839581</v>
      </c>
      <c r="M31" s="11" t="n">
        <f aca="false">Revenue!M36</f>
        <v>3603.32241906196</v>
      </c>
      <c r="N31" s="11" t="n">
        <f aca="false">Revenue!N36</f>
        <v>5025.631707072</v>
      </c>
      <c r="O31" s="11" t="n">
        <f aca="false">Revenue!O36</f>
        <v>3588.85565598062</v>
      </c>
      <c r="P31" s="11" t="n">
        <f aca="false">Revenue!P36</f>
        <v>3895.33718861384</v>
      </c>
      <c r="Q31" s="11" t="n">
        <f aca="false">Revenue!Q36</f>
        <v>3723.70469607838</v>
      </c>
      <c r="R31" s="11" t="n">
        <f aca="false">Revenue!R36</f>
        <v>8238.15074770274</v>
      </c>
      <c r="S31" s="11" t="n">
        <f aca="false">Revenue!S36</f>
        <v>8983.48997035907</v>
      </c>
      <c r="T31" s="11" t="n">
        <f aca="false">Revenue!T36</f>
        <v>7661.63304046711</v>
      </c>
      <c r="U31" s="11" t="n">
        <f aca="false">Revenue!U36</f>
        <v>6732.82050788359</v>
      </c>
      <c r="V31" s="11" t="n">
        <f aca="false">Revenue!V36</f>
        <v>5479.41068259168</v>
      </c>
      <c r="W31" s="11" t="n">
        <f aca="false">Revenue!W36</f>
        <v>5030.4413375251</v>
      </c>
      <c r="X31" s="11" t="n">
        <f aca="false">Revenue!X36</f>
        <v>6377.23213957782</v>
      </c>
      <c r="Y31" s="11" t="n">
        <f aca="false">Revenue!Y36</f>
        <v>14801.3589138972</v>
      </c>
      <c r="Z31" s="11" t="n">
        <f aca="false">Revenue!Z36</f>
        <v>20379.3252770245</v>
      </c>
      <c r="AA31" s="11" t="n">
        <f aca="false">Revenue!AA36</f>
        <v>14532.9174818152</v>
      </c>
      <c r="AB31" s="11" t="n">
        <f aca="false">Revenue!AB36</f>
        <v>11573.9022994009</v>
      </c>
      <c r="AC31" s="11" t="n">
        <f aca="false">Revenue!AC36</f>
        <v>10007.4008880749</v>
      </c>
      <c r="AD31" s="11" t="n">
        <f aca="false">Revenue!AD36</f>
        <v>19681.4318601886</v>
      </c>
      <c r="AE31" s="11" t="n">
        <f aca="false">Revenue!AE36</f>
        <v>21086.3851946415</v>
      </c>
      <c r="AF31" s="11" t="n">
        <f aca="false">Revenue!AF36</f>
        <v>17997.578509566</v>
      </c>
      <c r="AG31" s="11" t="n">
        <f aca="false">Revenue!AG36</f>
        <v>15807.3296855928</v>
      </c>
      <c r="AH31" s="11" t="n">
        <f aca="false">Revenue!AH36</f>
        <v>12940.456485064</v>
      </c>
      <c r="AI31" s="11" t="n">
        <f aca="false">Revenue!AI36</f>
        <v>11858.6243714905</v>
      </c>
      <c r="AJ31" s="11" t="n">
        <f aca="false">Revenue!AJ36</f>
        <v>14705.7517544546</v>
      </c>
      <c r="AK31" s="11" t="n">
        <f aca="false">Revenue!AK36</f>
        <v>32961.9784663758</v>
      </c>
      <c r="AL31" s="11" t="n">
        <f aca="false">Revenue!AL36</f>
        <v>44895.349870943</v>
      </c>
      <c r="AM31" s="11" t="n">
        <f aca="false">Revenue!AM36</f>
        <v>31873.370948349</v>
      </c>
    </row>
    <row r="32" customFormat="false" ht="15" hidden="false" customHeight="true" outlineLevel="0" collapsed="false">
      <c r="A32" s="5" t="s">
        <v>1046</v>
      </c>
      <c r="B32" s="10" t="s">
        <v>64</v>
      </c>
      <c r="C32" s="12" t="n">
        <f aca="false">SUM(D32:AM32)</f>
        <v>6493570.20475456</v>
      </c>
      <c r="D32" s="11" t="n">
        <f aca="false">Revenue!D153</f>
        <v>123.75</v>
      </c>
      <c r="E32" s="11" t="n">
        <f aca="false">Revenue!E153</f>
        <v>721.875</v>
      </c>
      <c r="F32" s="11" t="n">
        <f aca="false">Revenue!F153</f>
        <v>1884.32578125</v>
      </c>
      <c r="G32" s="11" t="n">
        <f aca="false">Revenue!G153</f>
        <v>3704.426171875</v>
      </c>
      <c r="H32" s="11" t="n">
        <f aca="false">Revenue!H153</f>
        <v>6256.580859375</v>
      </c>
      <c r="I32" s="11" t="n">
        <f aca="false">Revenue!I153</f>
        <v>9489.094140625</v>
      </c>
      <c r="J32" s="11" t="n">
        <f aca="false">Revenue!J153</f>
        <v>13292.46875</v>
      </c>
      <c r="K32" s="11" t="n">
        <f aca="false">Revenue!K153</f>
        <v>17061.958203125</v>
      </c>
      <c r="L32" s="11" t="n">
        <f aca="false">Revenue!L153</f>
        <v>20790.415078125</v>
      </c>
      <c r="M32" s="11" t="n">
        <f aca="false">Revenue!M153</f>
        <v>25053.972109375</v>
      </c>
      <c r="N32" s="11" t="n">
        <f aca="false">Revenue!N153</f>
        <v>28831.205390625</v>
      </c>
      <c r="O32" s="11" t="n">
        <f aca="false">Revenue!O153</f>
        <v>30504.61046875</v>
      </c>
      <c r="P32" s="11" t="n">
        <f aca="false">Revenue!P153</f>
        <v>32534.7064453125</v>
      </c>
      <c r="Q32" s="11" t="n">
        <f aca="false">Revenue!Q153</f>
        <v>41489.2762109375</v>
      </c>
      <c r="R32" s="11" t="n">
        <f aca="false">Revenue!R153</f>
        <v>56664.2076171875</v>
      </c>
      <c r="S32" s="11" t="n">
        <f aca="false">Revenue!S153</f>
        <v>70604.3131835937</v>
      </c>
      <c r="T32" s="11" t="n">
        <f aca="false">Revenue!T153</f>
        <v>82927.1681648437</v>
      </c>
      <c r="U32" s="11" t="n">
        <f aca="false">Revenue!U153</f>
        <v>97916.031090625</v>
      </c>
      <c r="V32" s="11" t="n">
        <f aca="false">Revenue!V153</f>
        <v>116274.139291406</v>
      </c>
      <c r="W32" s="11" t="n">
        <f aca="false">Revenue!W153</f>
        <v>139785.829932031</v>
      </c>
      <c r="X32" s="11" t="n">
        <f aca="false">Revenue!X153</f>
        <v>168508.126644688</v>
      </c>
      <c r="Y32" s="11" t="n">
        <f aca="false">Revenue!Y153</f>
        <v>195306.296669688</v>
      </c>
      <c r="Z32" s="11" t="n">
        <f aca="false">Revenue!Z153</f>
        <v>215909.795273906</v>
      </c>
      <c r="AA32" s="11" t="n">
        <f aca="false">Revenue!AA153</f>
        <v>233006.553764531</v>
      </c>
      <c r="AB32" s="11" t="n">
        <f aca="false">Revenue!AB153</f>
        <v>253918.037357875</v>
      </c>
      <c r="AC32" s="11" t="n">
        <f aca="false">Revenue!AC153</f>
        <v>284085.046332656</v>
      </c>
      <c r="AD32" s="11" t="n">
        <f aca="false">Revenue!AD153</f>
        <v>312644.380116406</v>
      </c>
      <c r="AE32" s="11" t="n">
        <f aca="false">Revenue!AE153</f>
        <v>323367.326194687</v>
      </c>
      <c r="AF32" s="11" t="n">
        <f aca="false">Revenue!AF153</f>
        <v>323270.08308606</v>
      </c>
      <c r="AG32" s="11" t="n">
        <f aca="false">Revenue!AG153</f>
        <v>331394.84372291</v>
      </c>
      <c r="AH32" s="11" t="n">
        <f aca="false">Revenue!AH153</f>
        <v>355522.97949223</v>
      </c>
      <c r="AI32" s="11" t="n">
        <f aca="false">Revenue!AI153</f>
        <v>405072.00731998</v>
      </c>
      <c r="AJ32" s="11" t="n">
        <f aca="false">Revenue!AJ153</f>
        <v>476746.291476972</v>
      </c>
      <c r="AK32" s="11" t="n">
        <f aca="false">Revenue!AK153</f>
        <v>546402.365927352</v>
      </c>
      <c r="AL32" s="11" t="n">
        <f aca="false">Revenue!AL153</f>
        <v>606049.604221776</v>
      </c>
      <c r="AM32" s="11" t="n">
        <f aca="false">Revenue!AM153</f>
        <v>666456.113263776</v>
      </c>
    </row>
    <row r="33" customFormat="false" ht="15" hidden="false" customHeight="true" outlineLevel="0" collapsed="false">
      <c r="A33" s="5" t="s">
        <v>1047</v>
      </c>
      <c r="B33" s="10" t="s">
        <v>64</v>
      </c>
      <c r="C33" s="12" t="n">
        <f aca="false">SUM(D33:AM33)</f>
        <v>131654.761106461</v>
      </c>
      <c r="D33" s="11" t="n">
        <f aca="false">Revenue!D129</f>
        <v>0</v>
      </c>
      <c r="E33" s="11" t="n">
        <f aca="false">Revenue!E129</f>
        <v>0</v>
      </c>
      <c r="F33" s="11" t="n">
        <f aca="false">Revenue!F129</f>
        <v>0</v>
      </c>
      <c r="G33" s="11" t="n">
        <f aca="false">Revenue!G129</f>
        <v>0</v>
      </c>
      <c r="H33" s="11" t="n">
        <f aca="false">Revenue!H129</f>
        <v>0</v>
      </c>
      <c r="I33" s="11" t="n">
        <f aca="false">Revenue!I129</f>
        <v>0</v>
      </c>
      <c r="J33" s="11" t="n">
        <f aca="false">Revenue!J129</f>
        <v>0</v>
      </c>
      <c r="K33" s="11" t="n">
        <f aca="false">Revenue!K129</f>
        <v>0</v>
      </c>
      <c r="L33" s="11" t="n">
        <f aca="false">Revenue!L129</f>
        <v>0</v>
      </c>
      <c r="M33" s="11" t="n">
        <f aca="false">Revenue!M129</f>
        <v>0</v>
      </c>
      <c r="N33" s="11" t="n">
        <f aca="false">Revenue!N129</f>
        <v>0</v>
      </c>
      <c r="O33" s="11" t="n">
        <f aca="false">Revenue!O129</f>
        <v>0</v>
      </c>
      <c r="P33" s="11" t="n">
        <f aca="false">Revenue!P129</f>
        <v>0</v>
      </c>
      <c r="Q33" s="11" t="n">
        <f aca="false">Revenue!Q129</f>
        <v>0</v>
      </c>
      <c r="R33" s="11" t="n">
        <f aca="false">Revenue!R129</f>
        <v>0</v>
      </c>
      <c r="S33" s="11" t="n">
        <f aca="false">Revenue!S129</f>
        <v>0</v>
      </c>
      <c r="T33" s="11" t="n">
        <f aca="false">Revenue!T129</f>
        <v>0</v>
      </c>
      <c r="U33" s="11" t="n">
        <f aca="false">Revenue!U129</f>
        <v>0</v>
      </c>
      <c r="V33" s="11" t="n">
        <f aca="false">Revenue!V129</f>
        <v>1061.64647637451</v>
      </c>
      <c r="W33" s="11" t="n">
        <f aca="false">Revenue!W129</f>
        <v>1154.08942391532</v>
      </c>
      <c r="X33" s="11" t="n">
        <f aca="false">Revenue!X129</f>
        <v>1331.25400867815</v>
      </c>
      <c r="Y33" s="11" t="n">
        <f aca="false">Revenue!Y129</f>
        <v>1685.75652489317</v>
      </c>
      <c r="Z33" s="11" t="n">
        <f aca="false">Revenue!Z129</f>
        <v>2094.58331319228</v>
      </c>
      <c r="AA33" s="11" t="n">
        <f aca="false">Revenue!AA129</f>
        <v>2340.42402242375</v>
      </c>
      <c r="AB33" s="11" t="n">
        <f aca="false">Revenue!AB129</f>
        <v>6428.11876575276</v>
      </c>
      <c r="AC33" s="11" t="n">
        <f aca="false">Revenue!AC129</f>
        <v>6876.62374759634</v>
      </c>
      <c r="AD33" s="11" t="n">
        <f aca="false">Revenue!AD129</f>
        <v>7734.90247246353</v>
      </c>
      <c r="AE33" s="11" t="n">
        <f aca="false">Revenue!AE129</f>
        <v>8295.22586868924</v>
      </c>
      <c r="AF33" s="11" t="n">
        <f aca="false">Revenue!AF129</f>
        <v>8786.36105213299</v>
      </c>
      <c r="AG33" s="11" t="n">
        <f aca="false">Revenue!AG129</f>
        <v>9126.89379137958</v>
      </c>
      <c r="AH33" s="11" t="n">
        <f aca="false">Revenue!AH129</f>
        <v>9627.66395451036</v>
      </c>
      <c r="AI33" s="11" t="n">
        <f aca="false">Revenue!AI129</f>
        <v>10138.1788389152</v>
      </c>
      <c r="AJ33" s="11" t="n">
        <f aca="false">Revenue!AJ129</f>
        <v>11070.8925263048</v>
      </c>
      <c r="AK33" s="11" t="n">
        <f aca="false">Revenue!AK129</f>
        <v>12808.609308575</v>
      </c>
      <c r="AL33" s="11" t="n">
        <f aca="false">Revenue!AL129</f>
        <v>14859.2486241611</v>
      </c>
      <c r="AM33" s="11" t="n">
        <f aca="false">Revenue!AM129</f>
        <v>16234.2883865032</v>
      </c>
    </row>
    <row r="34" customFormat="false" ht="15" hidden="false" customHeight="true" outlineLevel="0" collapsed="false">
      <c r="A34" s="5" t="s">
        <v>1048</v>
      </c>
      <c r="B34" s="10" t="s">
        <v>64</v>
      </c>
      <c r="C34" s="12" t="n">
        <f aca="false">SUM(D34:AM34)</f>
        <v>0</v>
      </c>
      <c r="D34" s="11" t="n">
        <f aca="false">Revenue!D139</f>
        <v>-0</v>
      </c>
      <c r="E34" s="11" t="n">
        <f aca="false">Revenue!E139</f>
        <v>-0</v>
      </c>
      <c r="F34" s="11" t="n">
        <f aca="false">Revenue!F139</f>
        <v>-0</v>
      </c>
      <c r="G34" s="11" t="n">
        <f aca="false">Revenue!G139</f>
        <v>-0</v>
      </c>
      <c r="H34" s="11" t="n">
        <f aca="false">Revenue!H139</f>
        <v>-0</v>
      </c>
      <c r="I34" s="11" t="n">
        <f aca="false">Revenue!I139</f>
        <v>-0</v>
      </c>
      <c r="J34" s="11" t="n">
        <f aca="false">Revenue!J139</f>
        <v>-0</v>
      </c>
      <c r="K34" s="11" t="n">
        <f aca="false">Revenue!K139</f>
        <v>-0</v>
      </c>
      <c r="L34" s="11" t="n">
        <f aca="false">Revenue!L139</f>
        <v>-0</v>
      </c>
      <c r="M34" s="11" t="n">
        <f aca="false">Revenue!M139</f>
        <v>-0</v>
      </c>
      <c r="N34" s="11" t="n">
        <f aca="false">Revenue!N139</f>
        <v>-0</v>
      </c>
      <c r="O34" s="11" t="n">
        <f aca="false">Revenue!O139</f>
        <v>-0</v>
      </c>
      <c r="P34" s="11" t="n">
        <f aca="false">Revenue!P139</f>
        <v>-0</v>
      </c>
      <c r="Q34" s="11" t="n">
        <f aca="false">Revenue!Q139</f>
        <v>-0</v>
      </c>
      <c r="R34" s="11" t="n">
        <f aca="false">Revenue!R139</f>
        <v>-0</v>
      </c>
      <c r="S34" s="11" t="n">
        <f aca="false">Revenue!S139</f>
        <v>-0</v>
      </c>
      <c r="T34" s="11" t="n">
        <f aca="false">Revenue!T139</f>
        <v>-0</v>
      </c>
      <c r="U34" s="11" t="n">
        <f aca="false">Revenue!U139</f>
        <v>-0</v>
      </c>
      <c r="V34" s="11" t="n">
        <f aca="false">Revenue!V139</f>
        <v>-0</v>
      </c>
      <c r="W34" s="11" t="n">
        <f aca="false">Revenue!W139</f>
        <v>-0</v>
      </c>
      <c r="X34" s="11" t="n">
        <f aca="false">Revenue!X139</f>
        <v>-0</v>
      </c>
      <c r="Y34" s="11" t="n">
        <f aca="false">Revenue!Y139</f>
        <v>-0</v>
      </c>
      <c r="Z34" s="11" t="n">
        <f aca="false">Revenue!Z139</f>
        <v>-0</v>
      </c>
      <c r="AA34" s="11" t="n">
        <f aca="false">Revenue!AA139</f>
        <v>-0</v>
      </c>
      <c r="AB34" s="11" t="n">
        <f aca="false">Revenue!AB139</f>
        <v>-0</v>
      </c>
      <c r="AC34" s="11" t="n">
        <f aca="false">Revenue!AC139</f>
        <v>-0</v>
      </c>
      <c r="AD34" s="11" t="n">
        <f aca="false">Revenue!AD139</f>
        <v>-0</v>
      </c>
      <c r="AE34" s="11" t="n">
        <f aca="false">Revenue!AE139</f>
        <v>-0</v>
      </c>
      <c r="AF34" s="11" t="n">
        <f aca="false">Revenue!AF139</f>
        <v>-0</v>
      </c>
      <c r="AG34" s="11" t="n">
        <f aca="false">Revenue!AG139</f>
        <v>-0</v>
      </c>
      <c r="AH34" s="11" t="n">
        <f aca="false">Revenue!AH139</f>
        <v>-0</v>
      </c>
      <c r="AI34" s="11" t="n">
        <f aca="false">Revenue!AI139</f>
        <v>-0</v>
      </c>
      <c r="AJ34" s="11" t="n">
        <f aca="false">Revenue!AJ139</f>
        <v>-0</v>
      </c>
      <c r="AK34" s="11" t="n">
        <f aca="false">Revenue!AK139</f>
        <v>-0</v>
      </c>
      <c r="AL34" s="11" t="n">
        <f aca="false">Revenue!AL139</f>
        <v>-0</v>
      </c>
      <c r="AM34" s="11" t="n">
        <f aca="false">Revenue!AM139</f>
        <v>-0</v>
      </c>
    </row>
    <row r="35" customFormat="false" ht="15" hidden="false" customHeight="true" outlineLevel="0" collapsed="false">
      <c r="A35" s="5" t="s">
        <v>84</v>
      </c>
      <c r="B35" s="10" t="s">
        <v>64</v>
      </c>
      <c r="C35" s="12" t="n">
        <f aca="false">SUM(D35:AM35)</f>
        <v>0</v>
      </c>
      <c r="D35" s="11" t="n">
        <f aca="false">D26</f>
        <v>0</v>
      </c>
      <c r="E35" s="11" t="n">
        <f aca="false">E26</f>
        <v>0</v>
      </c>
      <c r="F35" s="11" t="n">
        <f aca="false">F26</f>
        <v>0</v>
      </c>
      <c r="G35" s="11" t="n">
        <f aca="false">G26</f>
        <v>0</v>
      </c>
      <c r="H35" s="11" t="n">
        <f aca="false">H26</f>
        <v>0</v>
      </c>
      <c r="I35" s="11" t="n">
        <f aca="false">I26</f>
        <v>0</v>
      </c>
      <c r="J35" s="11" t="n">
        <f aca="false">J26</f>
        <v>0</v>
      </c>
      <c r="K35" s="11" t="n">
        <f aca="false">K26</f>
        <v>0</v>
      </c>
      <c r="L35" s="11" t="n">
        <f aca="false">L26</f>
        <v>0</v>
      </c>
      <c r="M35" s="11" t="n">
        <f aca="false">M26</f>
        <v>0</v>
      </c>
      <c r="N35" s="11" t="n">
        <f aca="false">N26</f>
        <v>0</v>
      </c>
      <c r="O35" s="11" t="n">
        <f aca="false">O26</f>
        <v>0</v>
      </c>
      <c r="P35" s="11" t="n">
        <f aca="false">P26</f>
        <v>0</v>
      </c>
      <c r="Q35" s="11" t="n">
        <f aca="false">Q26</f>
        <v>0</v>
      </c>
      <c r="R35" s="11" t="n">
        <f aca="false">R26</f>
        <v>0</v>
      </c>
      <c r="S35" s="11" t="n">
        <f aca="false">S26</f>
        <v>0</v>
      </c>
      <c r="T35" s="11" t="n">
        <f aca="false">T26</f>
        <v>0</v>
      </c>
      <c r="U35" s="11" t="n">
        <f aca="false">U26</f>
        <v>0</v>
      </c>
      <c r="V35" s="11" t="n">
        <f aca="false">V26</f>
        <v>0</v>
      </c>
      <c r="W35" s="11" t="n">
        <f aca="false">W26</f>
        <v>0</v>
      </c>
      <c r="X35" s="11" t="n">
        <f aca="false">X26</f>
        <v>0</v>
      </c>
      <c r="Y35" s="11" t="n">
        <f aca="false">Y26</f>
        <v>0</v>
      </c>
      <c r="Z35" s="11" t="n">
        <f aca="false">Z26</f>
        <v>0</v>
      </c>
      <c r="AA35" s="11" t="n">
        <f aca="false">AA26</f>
        <v>0</v>
      </c>
      <c r="AB35" s="11" t="n">
        <f aca="false">AB26</f>
        <v>0</v>
      </c>
      <c r="AC35" s="11" t="n">
        <f aca="false">AC26</f>
        <v>0</v>
      </c>
      <c r="AD35" s="11" t="n">
        <f aca="false">AD26</f>
        <v>0</v>
      </c>
      <c r="AE35" s="11" t="n">
        <f aca="false">AE26</f>
        <v>0</v>
      </c>
      <c r="AF35" s="11" t="n">
        <f aca="false">AF26</f>
        <v>0</v>
      </c>
      <c r="AG35" s="11" t="n">
        <f aca="false">AG26</f>
        <v>0</v>
      </c>
      <c r="AH35" s="11" t="n">
        <f aca="false">AH26</f>
        <v>0</v>
      </c>
      <c r="AI35" s="11" t="n">
        <f aca="false">AI26</f>
        <v>0</v>
      </c>
      <c r="AJ35" s="11" t="n">
        <f aca="false">AJ26</f>
        <v>0</v>
      </c>
      <c r="AK35" s="11" t="n">
        <f aca="false">AK26</f>
        <v>0</v>
      </c>
      <c r="AL35" s="11" t="n">
        <f aca="false">AL26</f>
        <v>0</v>
      </c>
      <c r="AM35" s="11" t="n">
        <f aca="false">AM26</f>
        <v>0</v>
      </c>
    </row>
    <row r="36" customFormat="false" ht="15" hidden="false" customHeight="true" outlineLevel="0" collapsed="false">
      <c r="A36" s="13" t="s">
        <v>1049</v>
      </c>
      <c r="B36" s="14" t="s">
        <v>64</v>
      </c>
      <c r="C36" s="15" t="n">
        <f aca="false">SUM(D36:AM36)</f>
        <v>7000881.05825621</v>
      </c>
      <c r="D36" s="15" t="n">
        <f aca="false">SUM(D31:D35)</f>
        <v>685.355265</v>
      </c>
      <c r="E36" s="15" t="n">
        <f aca="false">SUM(E31:E35)</f>
        <v>1398.36856774219</v>
      </c>
      <c r="F36" s="15" t="n">
        <f aca="false">SUM(F31:F35)</f>
        <v>3714.80293956938</v>
      </c>
      <c r="G36" s="15" t="n">
        <f aca="false">SUM(G31:G35)</f>
        <v>5748.65930685445</v>
      </c>
      <c r="H36" s="15" t="n">
        <f aca="false">SUM(H31:H35)</f>
        <v>7994.57268808953</v>
      </c>
      <c r="I36" s="15" t="n">
        <f aca="false">SUM(I31:I35)</f>
        <v>11014.7304792686</v>
      </c>
      <c r="J36" s="15" t="n">
        <f aca="false">SUM(J31:J35)</f>
        <v>14520.893819039</v>
      </c>
      <c r="K36" s="15" t="n">
        <f aca="false">SUM(K31:K35)</f>
        <v>18191.3321576884</v>
      </c>
      <c r="L36" s="15" t="n">
        <f aca="false">SUM(L31:L35)</f>
        <v>22269.0790565208</v>
      </c>
      <c r="M36" s="15" t="n">
        <f aca="false">SUM(M31:M35)</f>
        <v>28657.294528437</v>
      </c>
      <c r="N36" s="15" t="n">
        <f aca="false">SUM(N31:N35)</f>
        <v>33856.837097697</v>
      </c>
      <c r="O36" s="15" t="n">
        <f aca="false">SUM(O31:O35)</f>
        <v>34093.4661247306</v>
      </c>
      <c r="P36" s="15" t="n">
        <f aca="false">SUM(P31:P35)</f>
        <v>36430.0436339263</v>
      </c>
      <c r="Q36" s="15" t="n">
        <f aca="false">SUM(Q31:Q35)</f>
        <v>45212.9809070159</v>
      </c>
      <c r="R36" s="15" t="n">
        <f aca="false">SUM(R31:R35)</f>
        <v>64902.3583648902</v>
      </c>
      <c r="S36" s="15" t="n">
        <f aca="false">SUM(S31:S35)</f>
        <v>79587.8031539528</v>
      </c>
      <c r="T36" s="15" t="n">
        <f aca="false">SUM(T31:T35)</f>
        <v>90588.8012053109</v>
      </c>
      <c r="U36" s="15" t="n">
        <f aca="false">SUM(U31:U35)</f>
        <v>104648.851598509</v>
      </c>
      <c r="V36" s="15" t="n">
        <f aca="false">SUM(V31:V35)</f>
        <v>122815.196450372</v>
      </c>
      <c r="W36" s="15" t="n">
        <f aca="false">SUM(W31:W35)</f>
        <v>145970.360693472</v>
      </c>
      <c r="X36" s="15" t="n">
        <f aca="false">SUM(X31:X35)</f>
        <v>176216.612792944</v>
      </c>
      <c r="Y36" s="15" t="n">
        <f aca="false">SUM(Y31:Y35)</f>
        <v>211793.412108478</v>
      </c>
      <c r="Z36" s="15" t="n">
        <f aca="false">SUM(Z31:Z35)</f>
        <v>238383.703864123</v>
      </c>
      <c r="AA36" s="15" t="n">
        <f aca="false">SUM(AA31:AA35)</f>
        <v>249879.89526877</v>
      </c>
      <c r="AB36" s="15" t="n">
        <f aca="false">SUM(AB31:AB35)</f>
        <v>271920.058423029</v>
      </c>
      <c r="AC36" s="15" t="n">
        <f aca="false">SUM(AC31:AC35)</f>
        <v>300969.070968328</v>
      </c>
      <c r="AD36" s="15" t="n">
        <f aca="false">SUM(AD31:AD35)</f>
        <v>340060.714449058</v>
      </c>
      <c r="AE36" s="15" t="n">
        <f aca="false">SUM(AE31:AE35)</f>
        <v>352748.937258018</v>
      </c>
      <c r="AF36" s="15" t="n">
        <f aca="false">SUM(AF31:AF35)</f>
        <v>350054.022647759</v>
      </c>
      <c r="AG36" s="15" t="n">
        <f aca="false">SUM(AG31:AG35)</f>
        <v>356329.067199882</v>
      </c>
      <c r="AH36" s="15" t="n">
        <f aca="false">SUM(AH31:AH35)</f>
        <v>378091.099931804</v>
      </c>
      <c r="AI36" s="15" t="n">
        <f aca="false">SUM(AI31:AI35)</f>
        <v>427068.810530386</v>
      </c>
      <c r="AJ36" s="15" t="n">
        <f aca="false">SUM(AJ31:AJ35)</f>
        <v>502522.935757732</v>
      </c>
      <c r="AK36" s="15" t="n">
        <f aca="false">SUM(AK31:AK35)</f>
        <v>592172.953702303</v>
      </c>
      <c r="AL36" s="15" t="n">
        <f aca="false">SUM(AL31:AL35)</f>
        <v>665804.20271688</v>
      </c>
      <c r="AM36" s="15" t="n">
        <f aca="false">SUM(AM31:AM35)</f>
        <v>714563.772598628</v>
      </c>
    </row>
    <row r="37" customFormat="false" ht="15" hidden="false" customHeight="true" outlineLevel="0" collapsed="false">
      <c r="A37" s="5" t="s">
        <v>1050</v>
      </c>
      <c r="B37" s="10" t="s">
        <v>64</v>
      </c>
      <c r="C37" s="12" t="n">
        <f aca="false">SUM(D37:AM37)</f>
        <v>-28134906.1769934</v>
      </c>
      <c r="D37" s="11" t="n">
        <f aca="false">-(Costs!D33+Costs!D52-Costs!D48)</f>
        <v>-224466.924102167</v>
      </c>
      <c r="E37" s="11" t="n">
        <f aca="false">-(Costs!E33+Costs!E52-Costs!E48)</f>
        <v>-76260.1004107133</v>
      </c>
      <c r="F37" s="11" t="n">
        <f aca="false">-(Costs!F33+Costs!F52-Costs!F48)</f>
        <v>-130172.0933621</v>
      </c>
      <c r="G37" s="11" t="n">
        <f aca="false">-(Costs!G33+Costs!G52-Costs!G48)</f>
        <v>-141845.863567572</v>
      </c>
      <c r="H37" s="11" t="n">
        <f aca="false">-(Costs!H33+Costs!H52-Costs!H48)</f>
        <v>-207030.907210817</v>
      </c>
      <c r="I37" s="11" t="n">
        <f aca="false">-(Costs!I33+Costs!I52-Costs!I48)</f>
        <v>-279944.830988461</v>
      </c>
      <c r="J37" s="11" t="n">
        <f aca="false">-(Costs!J33+Costs!J52-Costs!J48)</f>
        <v>-210697.888439881</v>
      </c>
      <c r="K37" s="11" t="n">
        <f aca="false">-(Costs!K33+Costs!K52-Costs!K48)</f>
        <v>-335286.394363054</v>
      </c>
      <c r="L37" s="11" t="n">
        <f aca="false">-(Costs!L33+Costs!L52-Costs!L48)</f>
        <v>-402224.946309471</v>
      </c>
      <c r="M37" s="11" t="n">
        <f aca="false">-(Costs!M33+Costs!M52-Costs!M48)</f>
        <v>-467437.767274909</v>
      </c>
      <c r="N37" s="11" t="n">
        <f aca="false">-(Costs!N33+Costs!N52-Costs!N48)</f>
        <v>-451656.589369671</v>
      </c>
      <c r="O37" s="11" t="n">
        <f aca="false">-(Costs!O33+Costs!O52-Costs!O48)</f>
        <v>-559281.21891873</v>
      </c>
      <c r="P37" s="11" t="n">
        <f aca="false">-(Costs!P33+Costs!P52-Costs!P48)</f>
        <v>-1061535.48687588</v>
      </c>
      <c r="Q37" s="11" t="n">
        <f aca="false">-(Costs!Q33+Costs!Q52-Costs!Q48)</f>
        <v>-637555.303551788</v>
      </c>
      <c r="R37" s="11" t="n">
        <f aca="false">-(Costs!R33+Costs!R52-Costs!R48)</f>
        <v>-742109.773762025</v>
      </c>
      <c r="S37" s="11" t="n">
        <f aca="false">-(Costs!S33+Costs!S52-Costs!S48)</f>
        <v>-738992.000138591</v>
      </c>
      <c r="T37" s="11" t="n">
        <f aca="false">-(Costs!T33+Costs!T52-Costs!T48)</f>
        <v>-743425.515155163</v>
      </c>
      <c r="U37" s="11" t="n">
        <f aca="false">-(Costs!U33+Costs!U52-Costs!U48)</f>
        <v>-784248.633375864</v>
      </c>
      <c r="V37" s="11" t="n">
        <f aca="false">-(Costs!V33+Costs!V52-Costs!V48)</f>
        <v>-804904.531047804</v>
      </c>
      <c r="W37" s="11" t="n">
        <f aca="false">-(Costs!W33+Costs!W52-Costs!W48)</f>
        <v>-876913.508190891</v>
      </c>
      <c r="X37" s="11" t="n">
        <f aca="false">-(Costs!X33+Costs!X52-Costs!X48)</f>
        <v>-869625.761514996</v>
      </c>
      <c r="Y37" s="11" t="n">
        <f aca="false">-(Costs!Y33+Costs!Y52-Costs!Y48)</f>
        <v>-930772.457905312</v>
      </c>
      <c r="Z37" s="11" t="n">
        <f aca="false">-(Costs!Z33+Costs!Z52-Costs!Z48)</f>
        <v>-886472.92587169</v>
      </c>
      <c r="AA37" s="11" t="n">
        <f aca="false">-(Costs!AA33+Costs!AA52-Costs!AA48)</f>
        <v>-947781.660420425</v>
      </c>
      <c r="AB37" s="11" t="n">
        <f aca="false">-(Costs!AB33+Costs!AB52-Costs!AB48)</f>
        <v>-1051301.56572676</v>
      </c>
      <c r="AC37" s="11" t="n">
        <f aca="false">-(Costs!AC33+Costs!AC52-Costs!AC48)</f>
        <v>-1306749.83712975</v>
      </c>
      <c r="AD37" s="11" t="n">
        <f aca="false">-(Costs!AD33+Costs!AD52-Costs!AD48)</f>
        <v>-1175804.30772475</v>
      </c>
      <c r="AE37" s="11" t="n">
        <f aca="false">-(Costs!AE33+Costs!AE52-Costs!AE48)</f>
        <v>-1169459.45921168</v>
      </c>
      <c r="AF37" s="11" t="n">
        <f aca="false">-(Costs!AF33+Costs!AF52-Costs!AF48)</f>
        <v>-1167401.57294557</v>
      </c>
      <c r="AG37" s="11" t="n">
        <f aca="false">-(Costs!AG33+Costs!AG52-Costs!AG48)</f>
        <v>-1193365.07842197</v>
      </c>
      <c r="AH37" s="11" t="n">
        <f aca="false">-(Costs!AH33+Costs!AH52-Costs!AH48)</f>
        <v>-1228074.73362383</v>
      </c>
      <c r="AI37" s="11" t="n">
        <f aca="false">-(Costs!AI33+Costs!AI52-Costs!AI48)</f>
        <v>-1252671.51494469</v>
      </c>
      <c r="AJ37" s="11" t="n">
        <f aca="false">-(Costs!AJ33+Costs!AJ52-Costs!AJ48)</f>
        <v>-1270774.97056183</v>
      </c>
      <c r="AK37" s="11" t="n">
        <f aca="false">-(Costs!AK33+Costs!AK52-Costs!AK48)</f>
        <v>-1287849.83704909</v>
      </c>
      <c r="AL37" s="11" t="n">
        <f aca="false">-(Costs!AL33+Costs!AL52-Costs!AL48)</f>
        <v>-1279203.5312472</v>
      </c>
      <c r="AM37" s="11" t="n">
        <f aca="false">-(Costs!AM33+Costs!AM52-Costs!AM48)</f>
        <v>-1241606.6862783</v>
      </c>
    </row>
    <row r="38" customFormat="false" ht="15" hidden="false" customHeight="true" outlineLevel="0" collapsed="false">
      <c r="A38" s="13" t="s">
        <v>1051</v>
      </c>
      <c r="B38" s="14" t="s">
        <v>64</v>
      </c>
      <c r="C38" s="15" t="n">
        <f aca="false">SUM(D38:AM38)</f>
        <v>-21134025.1187372</v>
      </c>
      <c r="D38" s="15" t="n">
        <f aca="false">D36+D37</f>
        <v>-223781.568837167</v>
      </c>
      <c r="E38" s="15" t="n">
        <f aca="false">E36+E37</f>
        <v>-74861.7318429711</v>
      </c>
      <c r="F38" s="15" t="n">
        <f aca="false">F36+F37</f>
        <v>-126457.290422531</v>
      </c>
      <c r="G38" s="15" t="n">
        <f aca="false">G36+G37</f>
        <v>-136097.204260717</v>
      </c>
      <c r="H38" s="15" t="n">
        <f aca="false">H36+H37</f>
        <v>-199036.334522727</v>
      </c>
      <c r="I38" s="15" t="n">
        <f aca="false">I36+I37</f>
        <v>-268930.100509192</v>
      </c>
      <c r="J38" s="15" t="n">
        <f aca="false">J36+J37</f>
        <v>-196176.994620842</v>
      </c>
      <c r="K38" s="15" t="n">
        <f aca="false">K36+K37</f>
        <v>-317095.062205366</v>
      </c>
      <c r="L38" s="15" t="n">
        <f aca="false">L36+L37</f>
        <v>-379955.867252951</v>
      </c>
      <c r="M38" s="15" t="n">
        <f aca="false">M36+M37</f>
        <v>-438780.472746472</v>
      </c>
      <c r="N38" s="15" t="n">
        <f aca="false">N36+N37</f>
        <v>-417799.752271974</v>
      </c>
      <c r="O38" s="15" t="n">
        <f aca="false">O36+O37</f>
        <v>-525187.752793999</v>
      </c>
      <c r="P38" s="15" t="n">
        <f aca="false">P36+P37</f>
        <v>-1025105.44324195</v>
      </c>
      <c r="Q38" s="15" t="n">
        <f aca="false">Q36+Q37</f>
        <v>-592342.322644772</v>
      </c>
      <c r="R38" s="15" t="n">
        <f aca="false">R36+R37</f>
        <v>-677207.415397135</v>
      </c>
      <c r="S38" s="15" t="n">
        <f aca="false">S36+S37</f>
        <v>-659404.196984638</v>
      </c>
      <c r="T38" s="15" t="n">
        <f aca="false">T36+T37</f>
        <v>-652836.713949852</v>
      </c>
      <c r="U38" s="15" t="n">
        <f aca="false">U36+U37</f>
        <v>-679599.781777355</v>
      </c>
      <c r="V38" s="15" t="n">
        <f aca="false">V36+V37</f>
        <v>-682089.334597431</v>
      </c>
      <c r="W38" s="15" t="n">
        <f aca="false">W36+W37</f>
        <v>-730943.14749742</v>
      </c>
      <c r="X38" s="15" t="n">
        <f aca="false">X36+X37</f>
        <v>-693409.148722053</v>
      </c>
      <c r="Y38" s="15" t="n">
        <f aca="false">Y36+Y37</f>
        <v>-718979.045796834</v>
      </c>
      <c r="Z38" s="15" t="n">
        <f aca="false">Z36+Z37</f>
        <v>-648089.222007567</v>
      </c>
      <c r="AA38" s="15" t="n">
        <f aca="false">AA36+AA37</f>
        <v>-697901.765151654</v>
      </c>
      <c r="AB38" s="15" t="n">
        <f aca="false">AB36+AB37</f>
        <v>-779381.507303736</v>
      </c>
      <c r="AC38" s="15" t="n">
        <f aca="false">AC36+AC37</f>
        <v>-1005780.76616142</v>
      </c>
      <c r="AD38" s="15" t="n">
        <f aca="false">AD36+AD37</f>
        <v>-835743.593275687</v>
      </c>
      <c r="AE38" s="15" t="n">
        <f aca="false">AE36+AE37</f>
        <v>-816710.521953662</v>
      </c>
      <c r="AF38" s="15" t="n">
        <f aca="false">AF36+AF37</f>
        <v>-817347.550297808</v>
      </c>
      <c r="AG38" s="15" t="n">
        <f aca="false">AG36+AG37</f>
        <v>-837036.011222088</v>
      </c>
      <c r="AH38" s="15" t="n">
        <f aca="false">AH36+AH37</f>
        <v>-849983.633692021</v>
      </c>
      <c r="AI38" s="15" t="n">
        <f aca="false">AI36+AI37</f>
        <v>-825602.704414308</v>
      </c>
      <c r="AJ38" s="15" t="n">
        <f aca="false">AJ36+AJ37</f>
        <v>-768252.0348041</v>
      </c>
      <c r="AK38" s="15" t="n">
        <f aca="false">AK36+AK37</f>
        <v>-695676.883346783</v>
      </c>
      <c r="AL38" s="15" t="n">
        <f aca="false">AL36+AL37</f>
        <v>-613399.328530316</v>
      </c>
      <c r="AM38" s="15" t="n">
        <f aca="false">AM36+AM37</f>
        <v>-527042.913679673</v>
      </c>
    </row>
    <row r="39" customFormat="false" ht="15" hidden="false" customHeight="true" outlineLevel="0" collapsed="false">
      <c r="A39" s="5" t="s">
        <v>1052</v>
      </c>
      <c r="B39" s="10" t="s">
        <v>64</v>
      </c>
      <c r="C39" s="12" t="n">
        <f aca="false">SUM(D39:AM39)</f>
        <v>27500000</v>
      </c>
      <c r="D39" s="11" t="n">
        <f aca="false">IF(D$3=Assumptions!$D$159,Assumptions!$D$158,0)+IF(D$3=Assumptions!$D$161,Assumptions!$D$160,0)+IF(D$3=Assumptions!$D$163,Assumptions!$D$162,0)</f>
        <v>4500000</v>
      </c>
      <c r="E39" s="11" t="n">
        <f aca="false">IF(E$3=Assumptions!$D$159,Assumptions!$D$158,0)+IF(E$3=Assumptions!$D$161,Assumptions!$D$160,0)+IF(E$3=Assumptions!$D$163,Assumptions!$D$162,0)</f>
        <v>0</v>
      </c>
      <c r="F39" s="11" t="n">
        <f aca="false">IF(F$3=Assumptions!$D$159,Assumptions!$D$158,0)+IF(F$3=Assumptions!$D$161,Assumptions!$D$160,0)+IF(F$3=Assumptions!$D$163,Assumptions!$D$162,0)</f>
        <v>0</v>
      </c>
      <c r="G39" s="11" t="n">
        <f aca="false">IF(G$3=Assumptions!$D$159,Assumptions!$D$158,0)+IF(G$3=Assumptions!$D$161,Assumptions!$D$160,0)+IF(G$3=Assumptions!$D$163,Assumptions!$D$162,0)</f>
        <v>0</v>
      </c>
      <c r="H39" s="11" t="n">
        <f aca="false">IF(H$3=Assumptions!$D$159,Assumptions!$D$158,0)+IF(H$3=Assumptions!$D$161,Assumptions!$D$160,0)+IF(H$3=Assumptions!$D$163,Assumptions!$D$162,0)</f>
        <v>0</v>
      </c>
      <c r="I39" s="11" t="n">
        <f aca="false">IF(I$3=Assumptions!$D$159,Assumptions!$D$158,0)+IF(I$3=Assumptions!$D$161,Assumptions!$D$160,0)+IF(I$3=Assumptions!$D$163,Assumptions!$D$162,0)</f>
        <v>0</v>
      </c>
      <c r="J39" s="11" t="n">
        <f aca="false">IF(J$3=Assumptions!$D$159,Assumptions!$D$158,0)+IF(J$3=Assumptions!$D$161,Assumptions!$D$160,0)+IF(J$3=Assumptions!$D$163,Assumptions!$D$162,0)</f>
        <v>0</v>
      </c>
      <c r="K39" s="11" t="n">
        <f aca="false">IF(K$3=Assumptions!$D$159,Assumptions!$D$158,0)+IF(K$3=Assumptions!$D$161,Assumptions!$D$160,0)+IF(K$3=Assumptions!$D$163,Assumptions!$D$162,0)</f>
        <v>0</v>
      </c>
      <c r="L39" s="11" t="n">
        <f aca="false">IF(L$3=Assumptions!$D$159,Assumptions!$D$158,0)+IF(L$3=Assumptions!$D$161,Assumptions!$D$160,0)+IF(L$3=Assumptions!$D$163,Assumptions!$D$162,0)</f>
        <v>0</v>
      </c>
      <c r="M39" s="11" t="n">
        <f aca="false">IF(M$3=Assumptions!$D$159,Assumptions!$D$158,0)+IF(M$3=Assumptions!$D$161,Assumptions!$D$160,0)+IF(M$3=Assumptions!$D$163,Assumptions!$D$162,0)</f>
        <v>0</v>
      </c>
      <c r="N39" s="11" t="n">
        <f aca="false">IF(N$3=Assumptions!$D$159,Assumptions!$D$158,0)+IF(N$3=Assumptions!$D$161,Assumptions!$D$160,0)+IF(N$3=Assumptions!$D$163,Assumptions!$D$162,0)</f>
        <v>0</v>
      </c>
      <c r="O39" s="11" t="n">
        <f aca="false">IF(O$3=Assumptions!$D$159,Assumptions!$D$158,0)+IF(O$3=Assumptions!$D$161,Assumptions!$D$160,0)+IF(O$3=Assumptions!$D$163,Assumptions!$D$162,0)</f>
        <v>0</v>
      </c>
      <c r="P39" s="11" t="n">
        <f aca="false">IF(P$3=Assumptions!$D$159,Assumptions!$D$158,0)+IF(P$3=Assumptions!$D$161,Assumptions!$D$160,0)+IF(P$3=Assumptions!$D$163,Assumptions!$D$162,0)</f>
        <v>14000000</v>
      </c>
      <c r="Q39" s="11" t="n">
        <f aca="false">IF(Q$3=Assumptions!$D$159,Assumptions!$D$158,0)+IF(Q$3=Assumptions!$D$161,Assumptions!$D$160,0)+IF(Q$3=Assumptions!$D$163,Assumptions!$D$162,0)</f>
        <v>0</v>
      </c>
      <c r="R39" s="11" t="n">
        <f aca="false">IF(R$3=Assumptions!$D$159,Assumptions!$D$158,0)+IF(R$3=Assumptions!$D$161,Assumptions!$D$160,0)+IF(R$3=Assumptions!$D$163,Assumptions!$D$162,0)</f>
        <v>0</v>
      </c>
      <c r="S39" s="11" t="n">
        <f aca="false">IF(S$3=Assumptions!$D$159,Assumptions!$D$158,0)+IF(S$3=Assumptions!$D$161,Assumptions!$D$160,0)+IF(S$3=Assumptions!$D$163,Assumptions!$D$162,0)</f>
        <v>0</v>
      </c>
      <c r="T39" s="11" t="n">
        <f aca="false">IF(T$3=Assumptions!$D$159,Assumptions!$D$158,0)+IF(T$3=Assumptions!$D$161,Assumptions!$D$160,0)+IF(T$3=Assumptions!$D$163,Assumptions!$D$162,0)</f>
        <v>0</v>
      </c>
      <c r="U39" s="11" t="n">
        <f aca="false">IF(U$3=Assumptions!$D$159,Assumptions!$D$158,0)+IF(U$3=Assumptions!$D$161,Assumptions!$D$160,0)+IF(U$3=Assumptions!$D$163,Assumptions!$D$162,0)</f>
        <v>0</v>
      </c>
      <c r="V39" s="11" t="n">
        <f aca="false">IF(V$3=Assumptions!$D$159,Assumptions!$D$158,0)+IF(V$3=Assumptions!$D$161,Assumptions!$D$160,0)+IF(V$3=Assumptions!$D$163,Assumptions!$D$162,0)</f>
        <v>0</v>
      </c>
      <c r="W39" s="11" t="n">
        <f aca="false">IF(W$3=Assumptions!$D$159,Assumptions!$D$158,0)+IF(W$3=Assumptions!$D$161,Assumptions!$D$160,0)+IF(W$3=Assumptions!$D$163,Assumptions!$D$162,0)</f>
        <v>0</v>
      </c>
      <c r="X39" s="11" t="n">
        <f aca="false">IF(X$3=Assumptions!$D$159,Assumptions!$D$158,0)+IF(X$3=Assumptions!$D$161,Assumptions!$D$160,0)+IF(X$3=Assumptions!$D$163,Assumptions!$D$162,0)</f>
        <v>0</v>
      </c>
      <c r="Y39" s="11" t="n">
        <f aca="false">IF(Y$3=Assumptions!$D$159,Assumptions!$D$158,0)+IF(Y$3=Assumptions!$D$161,Assumptions!$D$160,0)+IF(Y$3=Assumptions!$D$163,Assumptions!$D$162,0)</f>
        <v>0</v>
      </c>
      <c r="Z39" s="11" t="n">
        <f aca="false">IF(Z$3=Assumptions!$D$159,Assumptions!$D$158,0)+IF(Z$3=Assumptions!$D$161,Assumptions!$D$160,0)+IF(Z$3=Assumptions!$D$163,Assumptions!$D$162,0)</f>
        <v>0</v>
      </c>
      <c r="AA39" s="11" t="n">
        <f aca="false">IF(AA$3=Assumptions!$D$159,Assumptions!$D$158,0)+IF(AA$3=Assumptions!$D$161,Assumptions!$D$160,0)+IF(AA$3=Assumptions!$D$163,Assumptions!$D$162,0)</f>
        <v>0</v>
      </c>
      <c r="AB39" s="11" t="n">
        <f aca="false">IF(AB$3=Assumptions!$D$159,Assumptions!$D$158,0)+IF(AB$3=Assumptions!$D$161,Assumptions!$D$160,0)+IF(AB$3=Assumptions!$D$163,Assumptions!$D$162,0)</f>
        <v>0</v>
      </c>
      <c r="AC39" s="11" t="n">
        <f aca="false">IF(AC$3=Assumptions!$D$159,Assumptions!$D$158,0)+IF(AC$3=Assumptions!$D$161,Assumptions!$D$160,0)+IF(AC$3=Assumptions!$D$163,Assumptions!$D$162,0)</f>
        <v>9000000</v>
      </c>
      <c r="AD39" s="11" t="n">
        <f aca="false">IF(AD$3=Assumptions!$D$159,Assumptions!$D$158,0)+IF(AD$3=Assumptions!$D$161,Assumptions!$D$160,0)+IF(AD$3=Assumptions!$D$163,Assumptions!$D$162,0)</f>
        <v>0</v>
      </c>
      <c r="AE39" s="11" t="n">
        <f aca="false">IF(AE$3=Assumptions!$D$159,Assumptions!$D$158,0)+IF(AE$3=Assumptions!$D$161,Assumptions!$D$160,0)+IF(AE$3=Assumptions!$D$163,Assumptions!$D$162,0)</f>
        <v>0</v>
      </c>
      <c r="AF39" s="11" t="n">
        <f aca="false">IF(AF$3=Assumptions!$D$159,Assumptions!$D$158,0)+IF(AF$3=Assumptions!$D$161,Assumptions!$D$160,0)+IF(AF$3=Assumptions!$D$163,Assumptions!$D$162,0)</f>
        <v>0</v>
      </c>
      <c r="AG39" s="11" t="n">
        <f aca="false">IF(AG$3=Assumptions!$D$159,Assumptions!$D$158,0)+IF(AG$3=Assumptions!$D$161,Assumptions!$D$160,0)+IF(AG$3=Assumptions!$D$163,Assumptions!$D$162,0)</f>
        <v>0</v>
      </c>
      <c r="AH39" s="11" t="n">
        <f aca="false">IF(AH$3=Assumptions!$D$159,Assumptions!$D$158,0)+IF(AH$3=Assumptions!$D$161,Assumptions!$D$160,0)+IF(AH$3=Assumptions!$D$163,Assumptions!$D$162,0)</f>
        <v>0</v>
      </c>
      <c r="AI39" s="11" t="n">
        <f aca="false">IF(AI$3=Assumptions!$D$159,Assumptions!$D$158,0)+IF(AI$3=Assumptions!$D$161,Assumptions!$D$160,0)+IF(AI$3=Assumptions!$D$163,Assumptions!$D$162,0)</f>
        <v>0</v>
      </c>
      <c r="AJ39" s="11" t="n">
        <f aca="false">IF(AJ$3=Assumptions!$D$159,Assumptions!$D$158,0)+IF(AJ$3=Assumptions!$D$161,Assumptions!$D$160,0)+IF(AJ$3=Assumptions!$D$163,Assumptions!$D$162,0)</f>
        <v>0</v>
      </c>
      <c r="AK39" s="11" t="n">
        <f aca="false">IF(AK$3=Assumptions!$D$159,Assumptions!$D$158,0)+IF(AK$3=Assumptions!$D$161,Assumptions!$D$160,0)+IF(AK$3=Assumptions!$D$163,Assumptions!$D$162,0)</f>
        <v>0</v>
      </c>
      <c r="AL39" s="11" t="n">
        <f aca="false">IF(AL$3=Assumptions!$D$159,Assumptions!$D$158,0)+IF(AL$3=Assumptions!$D$161,Assumptions!$D$160,0)+IF(AL$3=Assumptions!$D$163,Assumptions!$D$162,0)</f>
        <v>0</v>
      </c>
      <c r="AM39" s="11" t="n">
        <f aca="false">IF(AM$3=Assumptions!$D$159,Assumptions!$D$158,0)+IF(AM$3=Assumptions!$D$161,Assumptions!$D$160,0)+IF(AM$3=Assumptions!$D$163,Assumptions!$D$162,0)</f>
        <v>0</v>
      </c>
    </row>
    <row r="40" customFormat="false" ht="15" hidden="false" customHeight="true" outlineLevel="0" collapsed="false">
      <c r="A40" s="5" t="s">
        <v>1053</v>
      </c>
      <c r="B40" s="10" t="s">
        <v>64</v>
      </c>
      <c r="C40" s="12" t="n">
        <f aca="false">SUM(D40:AM40)</f>
        <v>6365974.88126283</v>
      </c>
      <c r="D40" s="11" t="n">
        <f aca="false">D38+D39</f>
        <v>4276218.43116283</v>
      </c>
      <c r="E40" s="11" t="n">
        <f aca="false">E38+E39</f>
        <v>-74861.7318429711</v>
      </c>
      <c r="F40" s="11" t="n">
        <f aca="false">F38+F39</f>
        <v>-126457.290422531</v>
      </c>
      <c r="G40" s="11" t="n">
        <f aca="false">G38+G39</f>
        <v>-136097.204260717</v>
      </c>
      <c r="H40" s="11" t="n">
        <f aca="false">H38+H39</f>
        <v>-199036.334522727</v>
      </c>
      <c r="I40" s="11" t="n">
        <f aca="false">I38+I39</f>
        <v>-268930.100509192</v>
      </c>
      <c r="J40" s="11" t="n">
        <f aca="false">J38+J39</f>
        <v>-196176.994620842</v>
      </c>
      <c r="K40" s="11" t="n">
        <f aca="false">K38+K39</f>
        <v>-317095.062205366</v>
      </c>
      <c r="L40" s="11" t="n">
        <f aca="false">L38+L39</f>
        <v>-379955.867252951</v>
      </c>
      <c r="M40" s="11" t="n">
        <f aca="false">M38+M39</f>
        <v>-438780.472746472</v>
      </c>
      <c r="N40" s="11" t="n">
        <f aca="false">N38+N39</f>
        <v>-417799.752271974</v>
      </c>
      <c r="O40" s="11" t="n">
        <f aca="false">O38+O39</f>
        <v>-525187.752793999</v>
      </c>
      <c r="P40" s="11" t="n">
        <f aca="false">P38+P39</f>
        <v>12974894.556758</v>
      </c>
      <c r="Q40" s="11" t="n">
        <f aca="false">Q38+Q39</f>
        <v>-592342.322644772</v>
      </c>
      <c r="R40" s="11" t="n">
        <f aca="false">R38+R39</f>
        <v>-677207.415397135</v>
      </c>
      <c r="S40" s="11" t="n">
        <f aca="false">S38+S39</f>
        <v>-659404.196984638</v>
      </c>
      <c r="T40" s="11" t="n">
        <f aca="false">T38+T39</f>
        <v>-652836.713949852</v>
      </c>
      <c r="U40" s="11" t="n">
        <f aca="false">U38+U39</f>
        <v>-679599.781777355</v>
      </c>
      <c r="V40" s="11" t="n">
        <f aca="false">V38+V39</f>
        <v>-682089.334597431</v>
      </c>
      <c r="W40" s="11" t="n">
        <f aca="false">W38+W39</f>
        <v>-730943.14749742</v>
      </c>
      <c r="X40" s="11" t="n">
        <f aca="false">X38+X39</f>
        <v>-693409.148722053</v>
      </c>
      <c r="Y40" s="11" t="n">
        <f aca="false">Y38+Y39</f>
        <v>-718979.045796834</v>
      </c>
      <c r="Z40" s="11" t="n">
        <f aca="false">Z38+Z39</f>
        <v>-648089.222007567</v>
      </c>
      <c r="AA40" s="11" t="n">
        <f aca="false">AA38+AA39</f>
        <v>-697901.765151654</v>
      </c>
      <c r="AB40" s="11" t="n">
        <f aca="false">AB38+AB39</f>
        <v>-779381.507303736</v>
      </c>
      <c r="AC40" s="11" t="n">
        <f aca="false">AC38+AC39</f>
        <v>7994219.23383858</v>
      </c>
      <c r="AD40" s="11" t="n">
        <f aca="false">AD38+AD39</f>
        <v>-835743.593275687</v>
      </c>
      <c r="AE40" s="11" t="n">
        <f aca="false">AE38+AE39</f>
        <v>-816710.521953662</v>
      </c>
      <c r="AF40" s="11" t="n">
        <f aca="false">AF38+AF39</f>
        <v>-817347.550297808</v>
      </c>
      <c r="AG40" s="11" t="n">
        <f aca="false">AG38+AG39</f>
        <v>-837036.011222088</v>
      </c>
      <c r="AH40" s="11" t="n">
        <f aca="false">AH38+AH39</f>
        <v>-849983.633692021</v>
      </c>
      <c r="AI40" s="11" t="n">
        <f aca="false">AI38+AI39</f>
        <v>-825602.704414308</v>
      </c>
      <c r="AJ40" s="11" t="n">
        <f aca="false">AJ38+AJ39</f>
        <v>-768252.0348041</v>
      </c>
      <c r="AK40" s="11" t="n">
        <f aca="false">AK38+AK39</f>
        <v>-695676.883346783</v>
      </c>
      <c r="AL40" s="11" t="n">
        <f aca="false">AL38+AL39</f>
        <v>-613399.328530316</v>
      </c>
      <c r="AM40" s="11" t="n">
        <f aca="false">AM38+AM39</f>
        <v>-527042.913679673</v>
      </c>
    </row>
    <row r="41" customFormat="false" ht="15" hidden="false" customHeight="true" outlineLevel="0" collapsed="false">
      <c r="A41" s="13" t="s">
        <v>1054</v>
      </c>
      <c r="B41" s="14" t="s">
        <v>64</v>
      </c>
      <c r="C41" s="15" t="n">
        <f aca="false">AM41</f>
        <v>6365974.88126283</v>
      </c>
      <c r="D41" s="15" t="n">
        <f aca="false">Assumptions!$D$7+D40</f>
        <v>4276218.43116283</v>
      </c>
      <c r="E41" s="15" t="n">
        <f aca="false">D41+E40</f>
        <v>4201356.69931986</v>
      </c>
      <c r="F41" s="15" t="n">
        <f aca="false">E41+F40</f>
        <v>4074899.40889733</v>
      </c>
      <c r="G41" s="15" t="n">
        <f aca="false">F41+G40</f>
        <v>3938802.20463661</v>
      </c>
      <c r="H41" s="15" t="n">
        <f aca="false">G41+H40</f>
        <v>3739765.87011389</v>
      </c>
      <c r="I41" s="15" t="n">
        <f aca="false">H41+I40</f>
        <v>3470835.76960469</v>
      </c>
      <c r="J41" s="15" t="n">
        <f aca="false">I41+J40</f>
        <v>3274658.77498385</v>
      </c>
      <c r="K41" s="15" t="n">
        <f aca="false">J41+K40</f>
        <v>2957563.71277849</v>
      </c>
      <c r="L41" s="15" t="n">
        <f aca="false">K41+L40</f>
        <v>2577607.84552554</v>
      </c>
      <c r="M41" s="15" t="n">
        <f aca="false">L41+M40</f>
        <v>2138827.37277906</v>
      </c>
      <c r="N41" s="15" t="n">
        <f aca="false">M41+N40</f>
        <v>1721027.62050709</v>
      </c>
      <c r="O41" s="15" t="n">
        <f aca="false">N41+O40</f>
        <v>1195839.86771309</v>
      </c>
      <c r="P41" s="15" t="n">
        <f aca="false">O41+P40</f>
        <v>14170734.4244711</v>
      </c>
      <c r="Q41" s="15" t="n">
        <f aca="false">P41+Q40</f>
        <v>13578392.1018264</v>
      </c>
      <c r="R41" s="15" t="n">
        <f aca="false">Q41+R40</f>
        <v>12901184.6864292</v>
      </c>
      <c r="S41" s="15" t="n">
        <f aca="false">R41+S40</f>
        <v>12241780.4894446</v>
      </c>
      <c r="T41" s="15" t="n">
        <f aca="false">S41+T40</f>
        <v>11588943.7754947</v>
      </c>
      <c r="U41" s="15" t="n">
        <f aca="false">T41+U40</f>
        <v>10909343.9937174</v>
      </c>
      <c r="V41" s="15" t="n">
        <f aca="false">U41+V40</f>
        <v>10227254.65912</v>
      </c>
      <c r="W41" s="15" t="n">
        <f aca="false">V41+W40</f>
        <v>9496311.51162253</v>
      </c>
      <c r="X41" s="15" t="n">
        <f aca="false">W41+X40</f>
        <v>8802902.36290048</v>
      </c>
      <c r="Y41" s="15" t="n">
        <f aca="false">X41+Y40</f>
        <v>8083923.31710365</v>
      </c>
      <c r="Z41" s="15" t="n">
        <f aca="false">Y41+Z40</f>
        <v>7435834.09509608</v>
      </c>
      <c r="AA41" s="15" t="n">
        <f aca="false">Z41+AA40</f>
        <v>6737932.32994443</v>
      </c>
      <c r="AB41" s="15" t="n">
        <f aca="false">AA41+AB40</f>
        <v>5958550.82264069</v>
      </c>
      <c r="AC41" s="15" t="n">
        <f aca="false">AB41+AC40</f>
        <v>13952770.0564793</v>
      </c>
      <c r="AD41" s="15" t="n">
        <f aca="false">AC41+AD40</f>
        <v>13117026.4632036</v>
      </c>
      <c r="AE41" s="15" t="n">
        <f aca="false">AD41+AE40</f>
        <v>12300315.9412499</v>
      </c>
      <c r="AF41" s="15" t="n">
        <f aca="false">AE41+AF40</f>
        <v>11482968.3909521</v>
      </c>
      <c r="AG41" s="15" t="n">
        <f aca="false">AF41+AG40</f>
        <v>10645932.37973</v>
      </c>
      <c r="AH41" s="15" t="n">
        <f aca="false">AG41+AH40</f>
        <v>9795948.74603801</v>
      </c>
      <c r="AI41" s="15" t="n">
        <f aca="false">AH41+AI40</f>
        <v>8970346.0416237</v>
      </c>
      <c r="AJ41" s="15" t="n">
        <f aca="false">AI41+AJ40</f>
        <v>8202094.0068196</v>
      </c>
      <c r="AK41" s="15" t="n">
        <f aca="false">AJ41+AK40</f>
        <v>7506417.12347282</v>
      </c>
      <c r="AL41" s="15" t="n">
        <f aca="false">AK41+AL40</f>
        <v>6893017.7949425</v>
      </c>
      <c r="AM41" s="15" t="n">
        <f aca="false">AL41+AM40</f>
        <v>6365974.88126283</v>
      </c>
    </row>
    <row r="42" customFormat="false" ht="15" hidden="false" customHeight="true" outlineLevel="0" collapsed="false">
      <c r="A42" s="5" t="s">
        <v>1055</v>
      </c>
      <c r="B42" s="10" t="s">
        <v>64</v>
      </c>
      <c r="C42" s="12" t="n">
        <f aca="false">MIN(D42:AM42)</f>
        <v>-21134025.1187372</v>
      </c>
      <c r="D42" s="11" t="n">
        <f aca="false">0+D38</f>
        <v>-223781.568837167</v>
      </c>
      <c r="E42" s="11" t="n">
        <f aca="false">D42+E38</f>
        <v>-298643.300680138</v>
      </c>
      <c r="F42" s="11" t="n">
        <f aca="false">E42+F38</f>
        <v>-425100.591102668</v>
      </c>
      <c r="G42" s="11" t="n">
        <f aca="false">F42+G38</f>
        <v>-561197.795363386</v>
      </c>
      <c r="H42" s="11" t="n">
        <f aca="false">G42+H38</f>
        <v>-760234.129886113</v>
      </c>
      <c r="I42" s="11" t="n">
        <f aca="false">H42+I38</f>
        <v>-1029164.23039531</v>
      </c>
      <c r="J42" s="11" t="n">
        <f aca="false">I42+J38</f>
        <v>-1225341.22501615</v>
      </c>
      <c r="K42" s="11" t="n">
        <f aca="false">J42+K38</f>
        <v>-1542436.28722151</v>
      </c>
      <c r="L42" s="11" t="n">
        <f aca="false">K42+L38</f>
        <v>-1922392.15447446</v>
      </c>
      <c r="M42" s="11" t="n">
        <f aca="false">L42+M38</f>
        <v>-2361172.62722093</v>
      </c>
      <c r="N42" s="11" t="n">
        <f aca="false">M42+N38</f>
        <v>-2778972.37949291</v>
      </c>
      <c r="O42" s="11" t="n">
        <f aca="false">N42+O38</f>
        <v>-3304160.13228691</v>
      </c>
      <c r="P42" s="11" t="n">
        <f aca="false">O42+P38</f>
        <v>-4329265.57552886</v>
      </c>
      <c r="Q42" s="11" t="n">
        <f aca="false">P42+Q38</f>
        <v>-4921607.89817363</v>
      </c>
      <c r="R42" s="11" t="n">
        <f aca="false">Q42+R38</f>
        <v>-5598815.31357077</v>
      </c>
      <c r="S42" s="11" t="n">
        <f aca="false">R42+S38</f>
        <v>-6258219.51055541</v>
      </c>
      <c r="T42" s="11" t="n">
        <f aca="false">S42+T38</f>
        <v>-6911056.22450526</v>
      </c>
      <c r="U42" s="11" t="n">
        <f aca="false">T42+U38</f>
        <v>-7590656.00628261</v>
      </c>
      <c r="V42" s="11" t="n">
        <f aca="false">U42+V38</f>
        <v>-8272745.34088004</v>
      </c>
      <c r="W42" s="11" t="n">
        <f aca="false">V42+W38</f>
        <v>-9003688.48837746</v>
      </c>
      <c r="X42" s="11" t="n">
        <f aca="false">W42+X38</f>
        <v>-9697097.63709952</v>
      </c>
      <c r="Y42" s="11" t="n">
        <f aca="false">X42+Y38</f>
        <v>-10416076.6828964</v>
      </c>
      <c r="Z42" s="11" t="n">
        <f aca="false">Y42+Z38</f>
        <v>-11064165.9049039</v>
      </c>
      <c r="AA42" s="11" t="n">
        <f aca="false">Z42+AA38</f>
        <v>-11762067.6700556</v>
      </c>
      <c r="AB42" s="11" t="n">
        <f aca="false">AA42+AB38</f>
        <v>-12541449.1773593</v>
      </c>
      <c r="AC42" s="11" t="n">
        <f aca="false">AB42+AC38</f>
        <v>-13547229.9435207</v>
      </c>
      <c r="AD42" s="11" t="n">
        <f aca="false">AC42+AD38</f>
        <v>-14382973.5367964</v>
      </c>
      <c r="AE42" s="11" t="n">
        <f aca="false">AD42+AE38</f>
        <v>-15199684.0587501</v>
      </c>
      <c r="AF42" s="11" t="n">
        <f aca="false">AE42+AF38</f>
        <v>-16017031.6090479</v>
      </c>
      <c r="AG42" s="11" t="n">
        <f aca="false">AF42+AG38</f>
        <v>-16854067.62027</v>
      </c>
      <c r="AH42" s="11" t="n">
        <f aca="false">AG42+AH38</f>
        <v>-17704051.253962</v>
      </c>
      <c r="AI42" s="11" t="n">
        <f aca="false">AH42+AI38</f>
        <v>-18529653.9583763</v>
      </c>
      <c r="AJ42" s="11" t="n">
        <f aca="false">AI42+AJ38</f>
        <v>-19297905.9931804</v>
      </c>
      <c r="AK42" s="11" t="n">
        <f aca="false">AJ42+AK38</f>
        <v>-19993582.8765272</v>
      </c>
      <c r="AL42" s="11" t="n">
        <f aca="false">AK42+AL38</f>
        <v>-20606982.2050575</v>
      </c>
      <c r="AM42" s="11" t="n">
        <f aca="false">AL42+AM38</f>
        <v>-21134025.1187372</v>
      </c>
    </row>
    <row r="43" customFormat="false" ht="15" hidden="false" customHeight="true" outlineLevel="0" collapsed="false">
      <c r="A43" s="5" t="s">
        <v>1056</v>
      </c>
      <c r="B43" s="10" t="s">
        <v>64</v>
      </c>
      <c r="C43" s="12"/>
      <c r="D43" s="11" t="n">
        <f aca="false">-AVERAGE(D38:D38)</f>
        <v>223781.568837167</v>
      </c>
      <c r="E43" s="11" t="n">
        <f aca="false">-AVERAGE(D38:E38)</f>
        <v>149321.650340069</v>
      </c>
      <c r="F43" s="11" t="n">
        <f aca="false">-AVERAGE(D38:F38)</f>
        <v>141700.197034223</v>
      </c>
      <c r="G43" s="11" t="n">
        <f aca="false">-AVERAGE(E38:G38)</f>
        <v>112472.07550874</v>
      </c>
      <c r="H43" s="11" t="n">
        <f aca="false">-AVERAGE(F38:H38)</f>
        <v>153863.609735325</v>
      </c>
      <c r="I43" s="11" t="n">
        <f aca="false">-AVERAGE(G38:I38)</f>
        <v>201354.546430879</v>
      </c>
      <c r="J43" s="11" t="n">
        <f aca="false">-AVERAGE(H38:J38)</f>
        <v>221381.143217587</v>
      </c>
      <c r="K43" s="11" t="n">
        <f aca="false">-AVERAGE(I38:K38)</f>
        <v>260734.052445133</v>
      </c>
      <c r="L43" s="11" t="n">
        <f aca="false">-AVERAGE(J38:L38)</f>
        <v>297742.641359719</v>
      </c>
      <c r="M43" s="11" t="n">
        <f aca="false">-AVERAGE(K38:M38)</f>
        <v>378610.467401596</v>
      </c>
      <c r="N43" s="11" t="n">
        <f aca="false">-AVERAGE(L38:N38)</f>
        <v>412178.697423799</v>
      </c>
      <c r="O43" s="11" t="n">
        <f aca="false">-AVERAGE(M38:O38)</f>
        <v>460589.325937482</v>
      </c>
      <c r="P43" s="11" t="n">
        <f aca="false">-AVERAGE(N38:P38)</f>
        <v>656030.982769309</v>
      </c>
      <c r="Q43" s="11" t="n">
        <f aca="false">-AVERAGE(O38:Q38)</f>
        <v>714211.839560242</v>
      </c>
      <c r="R43" s="11" t="n">
        <f aca="false">-AVERAGE(P38:R38)</f>
        <v>764885.060427954</v>
      </c>
      <c r="S43" s="11" t="n">
        <f aca="false">-AVERAGE(Q38:S38)</f>
        <v>642984.645008848</v>
      </c>
      <c r="T43" s="11" t="n">
        <f aca="false">-AVERAGE(R38:T38)</f>
        <v>663149.442110541</v>
      </c>
      <c r="U43" s="11" t="n">
        <f aca="false">-AVERAGE(S38:U38)</f>
        <v>663946.897570615</v>
      </c>
      <c r="V43" s="11" t="n">
        <f aca="false">-AVERAGE(T38:V38)</f>
        <v>671508.610108213</v>
      </c>
      <c r="W43" s="11" t="n">
        <f aca="false">-AVERAGE(U38:W38)</f>
        <v>697544.087957402</v>
      </c>
      <c r="X43" s="11" t="n">
        <f aca="false">-AVERAGE(V38:X38)</f>
        <v>702147.210272301</v>
      </c>
      <c r="Y43" s="11" t="n">
        <f aca="false">-AVERAGE(W38:Y38)</f>
        <v>714443.780672102</v>
      </c>
      <c r="Z43" s="11" t="n">
        <f aca="false">-AVERAGE(X38:Z38)</f>
        <v>686825.805508818</v>
      </c>
      <c r="AA43" s="11" t="n">
        <f aca="false">-AVERAGE(Y38:AA38)</f>
        <v>688323.344318685</v>
      </c>
      <c r="AB43" s="11" t="n">
        <f aca="false">-AVERAGE(Z38:AB38)</f>
        <v>708457.498154319</v>
      </c>
      <c r="AC43" s="11" t="n">
        <f aca="false">-AVERAGE(AA38:AC38)</f>
        <v>827688.01287227</v>
      </c>
      <c r="AD43" s="11" t="n">
        <f aca="false">-AVERAGE(AB38:AD38)</f>
        <v>873635.288913614</v>
      </c>
      <c r="AE43" s="11" t="n">
        <f aca="false">-AVERAGE(AC38:AE38)</f>
        <v>886078.293796923</v>
      </c>
      <c r="AF43" s="11" t="n">
        <f aca="false">-AVERAGE(AD38:AF38)</f>
        <v>823267.221842386</v>
      </c>
      <c r="AG43" s="11" t="n">
        <f aca="false">-AVERAGE(AE38:AG38)</f>
        <v>823698.027824519</v>
      </c>
      <c r="AH43" s="11" t="n">
        <f aca="false">-AVERAGE(AF38:AH38)</f>
        <v>834789.065070639</v>
      </c>
      <c r="AI43" s="11" t="n">
        <f aca="false">-AVERAGE(AG38:AI38)</f>
        <v>837540.783109472</v>
      </c>
      <c r="AJ43" s="11" t="n">
        <f aca="false">-AVERAGE(AH38:AJ38)</f>
        <v>814612.790970143</v>
      </c>
      <c r="AK43" s="11" t="n">
        <f aca="false">-AVERAGE(AI38:AK38)</f>
        <v>763177.207521731</v>
      </c>
      <c r="AL43" s="11" t="n">
        <f aca="false">-AVERAGE(AJ38:AL38)</f>
        <v>692442.748893733</v>
      </c>
      <c r="AM43" s="11" t="n">
        <f aca="false">-AVERAGE(AK38:AM38)</f>
        <v>612039.708518924</v>
      </c>
    </row>
    <row r="44" customFormat="false" ht="15" hidden="false" customHeight="true" outlineLevel="0" collapsed="false">
      <c r="A44" s="5" t="s">
        <v>1057</v>
      </c>
      <c r="B44" s="10" t="s">
        <v>92</v>
      </c>
      <c r="C44" s="19"/>
      <c r="D44" s="18" t="n">
        <f aca="false">IF(D43&gt;0,D41/D43,999)</f>
        <v>19.108894684148</v>
      </c>
      <c r="E44" s="18" t="n">
        <f aca="false">IF(E43&gt;0,E41/E43,999)</f>
        <v>28.13628626359</v>
      </c>
      <c r="F44" s="18" t="n">
        <f aca="false">IF(F43&gt;0,F41/F43,999)</f>
        <v>28.7571894336405</v>
      </c>
      <c r="G44" s="18" t="n">
        <f aca="false">IF(G43&gt;0,G41/G43,999)</f>
        <v>35.020267802656</v>
      </c>
      <c r="H44" s="18" t="n">
        <f aca="false">IF(H43&gt;0,H41/H43,999)</f>
        <v>24.3057203489961</v>
      </c>
      <c r="I44" s="18" t="n">
        <f aca="false">IF(I43&gt;0,I41/I43,999)</f>
        <v>17.2374343223294</v>
      </c>
      <c r="J44" s="18" t="n">
        <f aca="false">IF(J43&gt;0,J41/J43,999)</f>
        <v>14.7919498805972</v>
      </c>
      <c r="K44" s="18" t="n">
        <f aca="false">IF(K43&gt;0,K41/K43,999)</f>
        <v>11.3432199785291</v>
      </c>
      <c r="L44" s="18" t="n">
        <f aca="false">IF(L43&gt;0,L41/L43,999)</f>
        <v>8.65716725610487</v>
      </c>
      <c r="M44" s="18" t="n">
        <f aca="false">IF(M43&gt;0,M41/M43,999)</f>
        <v>5.64915013432629</v>
      </c>
      <c r="N44" s="18" t="n">
        <f aca="false">IF(N43&gt;0,N41/N43,999)</f>
        <v>4.17544048555606</v>
      </c>
      <c r="O44" s="18" t="n">
        <f aca="false">IF(O43&gt;0,O41/O43,999)</f>
        <v>2.59632562104882</v>
      </c>
      <c r="P44" s="18" t="n">
        <f aca="false">IF(P43&gt;0,P41/P43,999)</f>
        <v>21.6007091077499</v>
      </c>
      <c r="Q44" s="18" t="n">
        <f aca="false">IF(Q43&gt;0,Q41/Q43,999)</f>
        <v>19.0117152218968</v>
      </c>
      <c r="R44" s="18" t="n">
        <f aca="false">IF(R43&gt;0,R41/R43,999)</f>
        <v>16.8668279116486</v>
      </c>
      <c r="S44" s="18" t="n">
        <f aca="false">IF(S43&gt;0,S41/S43,999)</f>
        <v>19.0389935194737</v>
      </c>
      <c r="T44" s="18" t="n">
        <f aca="false">IF(T43&gt;0,T41/T43,999)</f>
        <v>17.4756141520857</v>
      </c>
      <c r="U44" s="18" t="n">
        <f aca="false">IF(U43&gt;0,U41/U43,999)</f>
        <v>16.431048979421</v>
      </c>
      <c r="V44" s="18" t="n">
        <f aca="false">IF(V43&gt;0,V41/V43,999)</f>
        <v>15.2302658598403</v>
      </c>
      <c r="W44" s="18" t="n">
        <f aca="false">IF(W43&gt;0,W41/W43,999)</f>
        <v>13.6139230129959</v>
      </c>
      <c r="X44" s="18" t="n">
        <f aca="false">IF(X43&gt;0,X41/X43,999)</f>
        <v>12.5371179064952</v>
      </c>
      <c r="Y44" s="18" t="n">
        <f aca="false">IF(Y43&gt;0,Y41/Y43,999)</f>
        <v>11.3149887168152</v>
      </c>
      <c r="Z44" s="18" t="n">
        <f aca="false">IF(Z43&gt;0,Z41/Z43,999)</f>
        <v>10.8263755314019</v>
      </c>
      <c r="AA44" s="18" t="n">
        <f aca="false">IF(AA43&gt;0,AA41/AA43,999)</f>
        <v>9.78890573094503</v>
      </c>
      <c r="AB44" s="18" t="n">
        <f aca="false">IF(AB43&gt;0,AB41/AB43,999)</f>
        <v>8.4105974432679</v>
      </c>
      <c r="AC44" s="18" t="n">
        <f aca="false">IF(AC43&gt;0,AC41/AC43,999)</f>
        <v>16.8575234139974</v>
      </c>
      <c r="AD44" s="18" t="n">
        <f aca="false">IF(AD43&gt;0,AD41/AD43,999)</f>
        <v>15.0143047443916</v>
      </c>
      <c r="AE44" s="18" t="n">
        <f aca="false">IF(AE43&gt;0,AE41/AE43,999)</f>
        <v>13.8817484045817</v>
      </c>
      <c r="AF44" s="18" t="n">
        <f aca="false">IF(AF43&gt;0,AF41/AF43,999)</f>
        <v>13.9480451623647</v>
      </c>
      <c r="AG44" s="18" t="n">
        <f aca="false">IF(AG43&gt;0,AG41/AG43,999)</f>
        <v>12.9245573257558</v>
      </c>
      <c r="AH44" s="18" t="n">
        <f aca="false">IF(AH43&gt;0,AH41/AH43,999)</f>
        <v>11.7346395106518</v>
      </c>
      <c r="AI44" s="18" t="n">
        <f aca="false">IF(AI43&gt;0,AI41/AI43,999)</f>
        <v>10.7103393918565</v>
      </c>
      <c r="AJ44" s="18" t="n">
        <f aca="false">IF(AJ43&gt;0,AJ41/AJ43,999)</f>
        <v>10.0687026986791</v>
      </c>
      <c r="AK44" s="18" t="n">
        <f aca="false">IF(AK43&gt;0,AK41/AK43,999)</f>
        <v>9.83574594404941</v>
      </c>
      <c r="AL44" s="18" t="n">
        <f aca="false">IF(AL43&gt;0,AL41/AL43,999)</f>
        <v>9.95463929105329</v>
      </c>
      <c r="AM44" s="18" t="n">
        <f aca="false">IF(AM43&gt;0,AM41/AM43,999)</f>
        <v>10.4012448745652</v>
      </c>
    </row>
    <row r="45" customFormat="false" ht="15" hidden="false" customHeight="true" outlineLevel="0" collapsed="false">
      <c r="A45" s="5" t="s">
        <v>1058</v>
      </c>
      <c r="B45" s="10" t="s">
        <v>184</v>
      </c>
      <c r="C45" s="21" t="n">
        <f aca="false">MAX(D45:AM45)</f>
        <v>0</v>
      </c>
      <c r="D45" s="20" t="n">
        <f aca="false">IF(D41&lt;0,1,0)</f>
        <v>0</v>
      </c>
      <c r="E45" s="20" t="n">
        <f aca="false">IF(E41&lt;0,1,0)</f>
        <v>0</v>
      </c>
      <c r="F45" s="20" t="n">
        <f aca="false">IF(F41&lt;0,1,0)</f>
        <v>0</v>
      </c>
      <c r="G45" s="20" t="n">
        <f aca="false">IF(G41&lt;0,1,0)</f>
        <v>0</v>
      </c>
      <c r="H45" s="20" t="n">
        <f aca="false">IF(H41&lt;0,1,0)</f>
        <v>0</v>
      </c>
      <c r="I45" s="20" t="n">
        <f aca="false">IF(I41&lt;0,1,0)</f>
        <v>0</v>
      </c>
      <c r="J45" s="20" t="n">
        <f aca="false">IF(J41&lt;0,1,0)</f>
        <v>0</v>
      </c>
      <c r="K45" s="20" t="n">
        <f aca="false">IF(K41&lt;0,1,0)</f>
        <v>0</v>
      </c>
      <c r="L45" s="20" t="n">
        <f aca="false">IF(L41&lt;0,1,0)</f>
        <v>0</v>
      </c>
      <c r="M45" s="20" t="n">
        <f aca="false">IF(M41&lt;0,1,0)</f>
        <v>0</v>
      </c>
      <c r="N45" s="20" t="n">
        <f aca="false">IF(N41&lt;0,1,0)</f>
        <v>0</v>
      </c>
      <c r="O45" s="20" t="n">
        <f aca="false">IF(O41&lt;0,1,0)</f>
        <v>0</v>
      </c>
      <c r="P45" s="20" t="n">
        <f aca="false">IF(P41&lt;0,1,0)</f>
        <v>0</v>
      </c>
      <c r="Q45" s="20" t="n">
        <f aca="false">IF(Q41&lt;0,1,0)</f>
        <v>0</v>
      </c>
      <c r="R45" s="20" t="n">
        <f aca="false">IF(R41&lt;0,1,0)</f>
        <v>0</v>
      </c>
      <c r="S45" s="20" t="n">
        <f aca="false">IF(S41&lt;0,1,0)</f>
        <v>0</v>
      </c>
      <c r="T45" s="20" t="n">
        <f aca="false">IF(T41&lt;0,1,0)</f>
        <v>0</v>
      </c>
      <c r="U45" s="20" t="n">
        <f aca="false">IF(U41&lt;0,1,0)</f>
        <v>0</v>
      </c>
      <c r="V45" s="20" t="n">
        <f aca="false">IF(V41&lt;0,1,0)</f>
        <v>0</v>
      </c>
      <c r="W45" s="20" t="n">
        <f aca="false">IF(W41&lt;0,1,0)</f>
        <v>0</v>
      </c>
      <c r="X45" s="20" t="n">
        <f aca="false">IF(X41&lt;0,1,0)</f>
        <v>0</v>
      </c>
      <c r="Y45" s="20" t="n">
        <f aca="false">IF(Y41&lt;0,1,0)</f>
        <v>0</v>
      </c>
      <c r="Z45" s="20" t="n">
        <f aca="false">IF(Z41&lt;0,1,0)</f>
        <v>0</v>
      </c>
      <c r="AA45" s="20" t="n">
        <f aca="false">IF(AA41&lt;0,1,0)</f>
        <v>0</v>
      </c>
      <c r="AB45" s="20" t="n">
        <f aca="false">IF(AB41&lt;0,1,0)</f>
        <v>0</v>
      </c>
      <c r="AC45" s="20" t="n">
        <f aca="false">IF(AC41&lt;0,1,0)</f>
        <v>0</v>
      </c>
      <c r="AD45" s="20" t="n">
        <f aca="false">IF(AD41&lt;0,1,0)</f>
        <v>0</v>
      </c>
      <c r="AE45" s="20" t="n">
        <f aca="false">IF(AE41&lt;0,1,0)</f>
        <v>0</v>
      </c>
      <c r="AF45" s="20" t="n">
        <f aca="false">IF(AF41&lt;0,1,0)</f>
        <v>0</v>
      </c>
      <c r="AG45" s="20" t="n">
        <f aca="false">IF(AG41&lt;0,1,0)</f>
        <v>0</v>
      </c>
      <c r="AH45" s="20" t="n">
        <f aca="false">IF(AH41&lt;0,1,0)</f>
        <v>0</v>
      </c>
      <c r="AI45" s="20" t="n">
        <f aca="false">IF(AI41&lt;0,1,0)</f>
        <v>0</v>
      </c>
      <c r="AJ45" s="20" t="n">
        <f aca="false">IF(AJ41&lt;0,1,0)</f>
        <v>0</v>
      </c>
      <c r="AK45" s="20" t="n">
        <f aca="false">IF(AK41&lt;0,1,0)</f>
        <v>0</v>
      </c>
      <c r="AL45" s="20" t="n">
        <f aca="false">IF(AL41&lt;0,1,0)</f>
        <v>0</v>
      </c>
      <c r="AM45" s="20" t="n">
        <f aca="false">IF(AM41&lt;0,1,0)</f>
        <v>0</v>
      </c>
    </row>
    <row r="46" customFormat="false" ht="15" hidden="false" customHeight="true" outlineLevel="0" collapsed="false">
      <c r="A46" s="5" t="s">
        <v>1059</v>
      </c>
      <c r="B46" s="10" t="s">
        <v>184</v>
      </c>
      <c r="C46" s="21" t="n">
        <f aca="false">MAX(D46:AM46)</f>
        <v>1</v>
      </c>
      <c r="D46" s="20" t="n">
        <f aca="false">IF(AND(D43&gt;0,D41&lt;Assumptions!$D$164*D43),1,0)</f>
        <v>0</v>
      </c>
      <c r="E46" s="20" t="n">
        <f aca="false">IF(AND(E43&gt;0,E41&lt;Assumptions!$D$164*E43),1,0)</f>
        <v>0</v>
      </c>
      <c r="F46" s="20" t="n">
        <f aca="false">IF(AND(F43&gt;0,F41&lt;Assumptions!$D$164*F43),1,0)</f>
        <v>0</v>
      </c>
      <c r="G46" s="20" t="n">
        <f aca="false">IF(AND(G43&gt;0,G41&lt;Assumptions!$D$164*G43),1,0)</f>
        <v>0</v>
      </c>
      <c r="H46" s="20" t="n">
        <f aca="false">IF(AND(H43&gt;0,H41&lt;Assumptions!$D$164*H43),1,0)</f>
        <v>0</v>
      </c>
      <c r="I46" s="20" t="n">
        <f aca="false">IF(AND(I43&gt;0,I41&lt;Assumptions!$D$164*I43),1,0)</f>
        <v>0</v>
      </c>
      <c r="J46" s="20" t="n">
        <f aca="false">IF(AND(J43&gt;0,J41&lt;Assumptions!$D$164*J43),1,0)</f>
        <v>0</v>
      </c>
      <c r="K46" s="20" t="n">
        <f aca="false">IF(AND(K43&gt;0,K41&lt;Assumptions!$D$164*K43),1,0)</f>
        <v>0</v>
      </c>
      <c r="L46" s="20" t="n">
        <f aca="false">IF(AND(L43&gt;0,L41&lt;Assumptions!$D$164*L43),1,0)</f>
        <v>0</v>
      </c>
      <c r="M46" s="20" t="n">
        <f aca="false">IF(AND(M43&gt;0,M41&lt;Assumptions!$D$164*M43),1,0)</f>
        <v>1</v>
      </c>
      <c r="N46" s="20" t="n">
        <f aca="false">IF(AND(N43&gt;0,N41&lt;Assumptions!$D$164*N43),1,0)</f>
        <v>1</v>
      </c>
      <c r="O46" s="20" t="n">
        <f aca="false">IF(AND(O43&gt;0,O41&lt;Assumptions!$D$164*O43),1,0)</f>
        <v>1</v>
      </c>
      <c r="P46" s="20" t="n">
        <f aca="false">IF(AND(P43&gt;0,P41&lt;Assumptions!$D$164*P43),1,0)</f>
        <v>0</v>
      </c>
      <c r="Q46" s="20" t="n">
        <f aca="false">IF(AND(Q43&gt;0,Q41&lt;Assumptions!$D$164*Q43),1,0)</f>
        <v>0</v>
      </c>
      <c r="R46" s="20" t="n">
        <f aca="false">IF(AND(R43&gt;0,R41&lt;Assumptions!$D$164*R43),1,0)</f>
        <v>0</v>
      </c>
      <c r="S46" s="20" t="n">
        <f aca="false">IF(AND(S43&gt;0,S41&lt;Assumptions!$D$164*S43),1,0)</f>
        <v>0</v>
      </c>
      <c r="T46" s="20" t="n">
        <f aca="false">IF(AND(T43&gt;0,T41&lt;Assumptions!$D$164*T43),1,0)</f>
        <v>0</v>
      </c>
      <c r="U46" s="20" t="n">
        <f aca="false">IF(AND(U43&gt;0,U41&lt;Assumptions!$D$164*U43),1,0)</f>
        <v>0</v>
      </c>
      <c r="V46" s="20" t="n">
        <f aca="false">IF(AND(V43&gt;0,V41&lt;Assumptions!$D$164*V43),1,0)</f>
        <v>0</v>
      </c>
      <c r="W46" s="20" t="n">
        <f aca="false">IF(AND(W43&gt;0,W41&lt;Assumptions!$D$164*W43),1,0)</f>
        <v>0</v>
      </c>
      <c r="X46" s="20" t="n">
        <f aca="false">IF(AND(X43&gt;0,X41&lt;Assumptions!$D$164*X43),1,0)</f>
        <v>0</v>
      </c>
      <c r="Y46" s="20" t="n">
        <f aca="false">IF(AND(Y43&gt;0,Y41&lt;Assumptions!$D$164*Y43),1,0)</f>
        <v>0</v>
      </c>
      <c r="Z46" s="20" t="n">
        <f aca="false">IF(AND(Z43&gt;0,Z41&lt;Assumptions!$D$164*Z43),1,0)</f>
        <v>0</v>
      </c>
      <c r="AA46" s="20" t="n">
        <f aca="false">IF(AND(AA43&gt;0,AA41&lt;Assumptions!$D$164*AA43),1,0)</f>
        <v>0</v>
      </c>
      <c r="AB46" s="20" t="n">
        <f aca="false">IF(AND(AB43&gt;0,AB41&lt;Assumptions!$D$164*AB43),1,0)</f>
        <v>0</v>
      </c>
      <c r="AC46" s="20" t="n">
        <f aca="false">IF(AND(AC43&gt;0,AC41&lt;Assumptions!$D$164*AC43),1,0)</f>
        <v>0</v>
      </c>
      <c r="AD46" s="20" t="n">
        <f aca="false">IF(AND(AD43&gt;0,AD41&lt;Assumptions!$D$164*AD43),1,0)</f>
        <v>0</v>
      </c>
      <c r="AE46" s="20" t="n">
        <f aca="false">IF(AND(AE43&gt;0,AE41&lt;Assumptions!$D$164*AE43),1,0)</f>
        <v>0</v>
      </c>
      <c r="AF46" s="20" t="n">
        <f aca="false">IF(AND(AF43&gt;0,AF41&lt;Assumptions!$D$164*AF43),1,0)</f>
        <v>0</v>
      </c>
      <c r="AG46" s="20" t="n">
        <f aca="false">IF(AND(AG43&gt;0,AG41&lt;Assumptions!$D$164*AG43),1,0)</f>
        <v>0</v>
      </c>
      <c r="AH46" s="20" t="n">
        <f aca="false">IF(AND(AH43&gt;0,AH41&lt;Assumptions!$D$164*AH43),1,0)</f>
        <v>0</v>
      </c>
      <c r="AI46" s="20" t="n">
        <f aca="false">IF(AND(AI43&gt;0,AI41&lt;Assumptions!$D$164*AI43),1,0)</f>
        <v>0</v>
      </c>
      <c r="AJ46" s="20" t="n">
        <f aca="false">IF(AND(AJ43&gt;0,AJ41&lt;Assumptions!$D$164*AJ43),1,0)</f>
        <v>0</v>
      </c>
      <c r="AK46" s="20" t="n">
        <f aca="false">IF(AND(AK43&gt;0,AK41&lt;Assumptions!$D$164*AK43),1,0)</f>
        <v>0</v>
      </c>
      <c r="AL46" s="20" t="n">
        <f aca="false">IF(AND(AL43&gt;0,AL41&lt;Assumptions!$D$164*AL43),1,0)</f>
        <v>0</v>
      </c>
      <c r="AM46" s="20" t="n">
        <f aca="false">IF(AND(AM43&gt;0,AM41&lt;Assumptions!$D$164*AM43),1,0)</f>
        <v>0</v>
      </c>
    </row>
    <row r="48" customFormat="false" ht="15" hidden="false" customHeight="true" outlineLevel="0" collapsed="false">
      <c r="A48" s="8" t="s">
        <v>1060</v>
      </c>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row>
    <row r="49" customFormat="false" ht="15" hidden="false" customHeight="true" outlineLevel="0" collapsed="false">
      <c r="A49" s="5" t="s">
        <v>1061</v>
      </c>
      <c r="B49" s="10" t="s">
        <v>64</v>
      </c>
      <c r="C49" s="12" t="n">
        <f aca="false">SUM(D49:AM49)</f>
        <v>-21134025.1187372</v>
      </c>
      <c r="D49" s="11" t="n">
        <f aca="false">D27+(Revenue!D156-0)-((Revenue!D154+Revenue!D37)-0)</f>
        <v>-223781.568837167</v>
      </c>
      <c r="E49" s="11" t="n">
        <f aca="false">E27+(Revenue!E156-Revenue!D156)-((Revenue!E154+Revenue!E37)-(Revenue!D154+Revenue!D37))</f>
        <v>-74861.7318429711</v>
      </c>
      <c r="F49" s="11" t="n">
        <f aca="false">F27+(Revenue!F156-Revenue!E156)-((Revenue!F154+Revenue!F37)-(Revenue!E154+Revenue!E37))</f>
        <v>-126457.290422531</v>
      </c>
      <c r="G49" s="11" t="n">
        <f aca="false">G27+(Revenue!G156-Revenue!F156)-((Revenue!G154+Revenue!G37)-(Revenue!F154+Revenue!F37))</f>
        <v>-136097.204260717</v>
      </c>
      <c r="H49" s="11" t="n">
        <f aca="false">H27+(Revenue!H156-Revenue!G156)-((Revenue!H154+Revenue!H37)-(Revenue!G154+Revenue!G37))</f>
        <v>-199036.334522727</v>
      </c>
      <c r="I49" s="11" t="n">
        <f aca="false">I27+(Revenue!I156-Revenue!H156)-((Revenue!I154+Revenue!I37)-(Revenue!H154+Revenue!H37))</f>
        <v>-268930.100509192</v>
      </c>
      <c r="J49" s="11" t="n">
        <f aca="false">J27+(Revenue!J156-Revenue!I156)-((Revenue!J154+Revenue!J37)-(Revenue!I154+Revenue!I37))</f>
        <v>-196176.994620842</v>
      </c>
      <c r="K49" s="11" t="n">
        <f aca="false">K27+(Revenue!K156-Revenue!J156)-((Revenue!K154+Revenue!K37)-(Revenue!J154+Revenue!J37))</f>
        <v>-317095.062205366</v>
      </c>
      <c r="L49" s="11" t="n">
        <f aca="false">L27+(Revenue!L156-Revenue!K156)-((Revenue!L154+Revenue!L37)-(Revenue!K154+Revenue!K37))</f>
        <v>-379955.867252951</v>
      </c>
      <c r="M49" s="11" t="n">
        <f aca="false">M27+(Revenue!M156-Revenue!L156)-((Revenue!M154+Revenue!M37)-(Revenue!L154+Revenue!L37))</f>
        <v>-438780.472746472</v>
      </c>
      <c r="N49" s="11" t="n">
        <f aca="false">N27+(Revenue!N156-Revenue!M156)-((Revenue!N154+Revenue!N37)-(Revenue!M154+Revenue!M37))</f>
        <v>-417799.752271974</v>
      </c>
      <c r="O49" s="11" t="n">
        <f aca="false">O27+(Revenue!O156-Revenue!N156)-((Revenue!O154+Revenue!O37)-(Revenue!N154+Revenue!N37))</f>
        <v>-525187.752793999</v>
      </c>
      <c r="P49" s="11" t="n">
        <f aca="false">P27+(Revenue!P156-Revenue!O156)-((Revenue!P154+Revenue!P37)-(Revenue!O154+Revenue!O37))</f>
        <v>-1025105.44324195</v>
      </c>
      <c r="Q49" s="11" t="n">
        <f aca="false">Q27+(Revenue!Q156-Revenue!P156)-((Revenue!Q154+Revenue!Q37)-(Revenue!P154+Revenue!P37))</f>
        <v>-592342.322644773</v>
      </c>
      <c r="R49" s="11" t="n">
        <f aca="false">R27+(Revenue!R156-Revenue!Q156)-((Revenue!R154+Revenue!R37)-(Revenue!Q154+Revenue!Q37))</f>
        <v>-677207.415397135</v>
      </c>
      <c r="S49" s="11" t="n">
        <f aca="false">S27+(Revenue!S156-Revenue!R156)-((Revenue!S154+Revenue!S37)-(Revenue!R154+Revenue!R37))</f>
        <v>-659404.196984638</v>
      </c>
      <c r="T49" s="11" t="n">
        <f aca="false">T27+(Revenue!T156-Revenue!S156)-((Revenue!T154+Revenue!T37)-(Revenue!S154+Revenue!S37))</f>
        <v>-652836.713949852</v>
      </c>
      <c r="U49" s="11" t="n">
        <f aca="false">U27+(Revenue!U156-Revenue!T156)-((Revenue!U154+Revenue!U37)-(Revenue!T154+Revenue!T37))</f>
        <v>-679599.781777355</v>
      </c>
      <c r="V49" s="11" t="n">
        <f aca="false">V27+(Revenue!V156-Revenue!U156)-((Revenue!V154+Revenue!V37)-(Revenue!U154+Revenue!U37))</f>
        <v>-682089.334597431</v>
      </c>
      <c r="W49" s="11" t="n">
        <f aca="false">W27+(Revenue!W156-Revenue!V156)-((Revenue!W154+Revenue!W37)-(Revenue!V154+Revenue!V37))</f>
        <v>-730943.14749742</v>
      </c>
      <c r="X49" s="11" t="n">
        <f aca="false">X27+(Revenue!X156-Revenue!W156)-((Revenue!X154+Revenue!X37)-(Revenue!W154+Revenue!W37))</f>
        <v>-693409.148722053</v>
      </c>
      <c r="Y49" s="11" t="n">
        <f aca="false">Y27+(Revenue!Y156-Revenue!X156)-((Revenue!Y154+Revenue!Y37)-(Revenue!X154+Revenue!X37))</f>
        <v>-718979.045796834</v>
      </c>
      <c r="Z49" s="11" t="n">
        <f aca="false">Z27+(Revenue!Z156-Revenue!Y156)-((Revenue!Z154+Revenue!Z37)-(Revenue!Y154+Revenue!Y37))</f>
        <v>-648089.222007567</v>
      </c>
      <c r="AA49" s="11" t="n">
        <f aca="false">AA27+(Revenue!AA156-Revenue!Z156)-((Revenue!AA154+Revenue!AA37)-(Revenue!Z154+Revenue!Z37))</f>
        <v>-697901.765151654</v>
      </c>
      <c r="AB49" s="11" t="n">
        <f aca="false">AB27+(Revenue!AB156-Revenue!AA156)-((Revenue!AB154+Revenue!AB37)-(Revenue!AA154+Revenue!AA37))</f>
        <v>-779381.507303736</v>
      </c>
      <c r="AC49" s="11" t="n">
        <f aca="false">AC27+(Revenue!AC156-Revenue!AB156)-((Revenue!AC154+Revenue!AC37)-(Revenue!AB154+Revenue!AB37))</f>
        <v>-1005780.76616142</v>
      </c>
      <c r="AD49" s="11" t="n">
        <f aca="false">AD27+(Revenue!AD156-Revenue!AC156)-((Revenue!AD154+Revenue!AD37)-(Revenue!AC154+Revenue!AC37))</f>
        <v>-835743.593275687</v>
      </c>
      <c r="AE49" s="11" t="n">
        <f aca="false">AE27+(Revenue!AE156-Revenue!AD156)-((Revenue!AE154+Revenue!AE37)-(Revenue!AD154+Revenue!AD37))</f>
        <v>-816710.521953662</v>
      </c>
      <c r="AF49" s="11" t="n">
        <f aca="false">AF27+(Revenue!AF156-Revenue!AE156)-((Revenue!AF154+Revenue!AF37)-(Revenue!AE154+Revenue!AE37))</f>
        <v>-817347.550297808</v>
      </c>
      <c r="AG49" s="11" t="n">
        <f aca="false">AG27+(Revenue!AG156-Revenue!AF156)-((Revenue!AG154+Revenue!AG37)-(Revenue!AF154+Revenue!AF37))</f>
        <v>-837036.011222088</v>
      </c>
      <c r="AH49" s="11" t="n">
        <f aca="false">AH27+(Revenue!AH156-Revenue!AG156)-((Revenue!AH154+Revenue!AH37)-(Revenue!AG154+Revenue!AG37))</f>
        <v>-849983.633692021</v>
      </c>
      <c r="AI49" s="11" t="n">
        <f aca="false">AI27+(Revenue!AI156-Revenue!AH156)-((Revenue!AI154+Revenue!AI37)-(Revenue!AH154+Revenue!AH37))</f>
        <v>-825602.704414308</v>
      </c>
      <c r="AJ49" s="11" t="n">
        <f aca="false">AJ27+(Revenue!AJ156-Revenue!AI156)-((Revenue!AJ154+Revenue!AJ37)-(Revenue!AI154+Revenue!AI37))</f>
        <v>-768252.034804101</v>
      </c>
      <c r="AK49" s="11" t="n">
        <f aca="false">AK27+(Revenue!AK156-Revenue!AJ156)-((Revenue!AK154+Revenue!AK37)-(Revenue!AJ154+Revenue!AJ37))</f>
        <v>-695676.883346783</v>
      </c>
      <c r="AL49" s="11" t="n">
        <f aca="false">AL27+(Revenue!AL156-Revenue!AK156)-((Revenue!AL154+Revenue!AL37)-(Revenue!AK154+Revenue!AK37))</f>
        <v>-613399.328530316</v>
      </c>
      <c r="AM49" s="11" t="n">
        <f aca="false">AM27+(Revenue!AM156-Revenue!AL156)-((Revenue!AM154+Revenue!AM37)-(Revenue!AL154+Revenue!AL37))</f>
        <v>-527042.913679672</v>
      </c>
    </row>
    <row r="50" customFormat="false" ht="15" hidden="false" customHeight="true" outlineLevel="0" collapsed="false">
      <c r="A50" s="5" t="s">
        <v>1062</v>
      </c>
      <c r="B50" s="10" t="s">
        <v>64</v>
      </c>
      <c r="C50" s="12" t="n">
        <f aca="false">MAX(D50:AM50)</f>
        <v>0</v>
      </c>
      <c r="D50" s="11" t="n">
        <f aca="false">ROUND(D38-D49,2)</f>
        <v>0</v>
      </c>
      <c r="E50" s="11" t="n">
        <f aca="false">ROUND(E38-E49,2)</f>
        <v>0</v>
      </c>
      <c r="F50" s="11" t="n">
        <f aca="false">ROUND(F38-F49,2)</f>
        <v>0</v>
      </c>
      <c r="G50" s="11" t="n">
        <f aca="false">ROUND(G38-G49,2)</f>
        <v>0</v>
      </c>
      <c r="H50" s="11" t="n">
        <f aca="false">ROUND(H38-H49,2)</f>
        <v>0</v>
      </c>
      <c r="I50" s="11" t="n">
        <f aca="false">ROUND(I38-I49,2)</f>
        <v>0</v>
      </c>
      <c r="J50" s="11" t="n">
        <f aca="false">ROUND(J38-J49,2)</f>
        <v>0</v>
      </c>
      <c r="K50" s="11" t="n">
        <f aca="false">ROUND(K38-K49,2)</f>
        <v>0</v>
      </c>
      <c r="L50" s="11" t="n">
        <f aca="false">ROUND(L38-L49,2)</f>
        <v>0</v>
      </c>
      <c r="M50" s="11" t="n">
        <f aca="false">ROUND(M38-M49,2)</f>
        <v>0</v>
      </c>
      <c r="N50" s="11" t="n">
        <f aca="false">ROUND(N38-N49,2)</f>
        <v>0</v>
      </c>
      <c r="O50" s="11" t="n">
        <f aca="false">ROUND(O38-O49,2)</f>
        <v>0</v>
      </c>
      <c r="P50" s="11" t="n">
        <f aca="false">ROUND(P38-P49,2)</f>
        <v>0</v>
      </c>
      <c r="Q50" s="11" t="n">
        <f aca="false">ROUND(Q38-Q49,2)</f>
        <v>0</v>
      </c>
      <c r="R50" s="11" t="n">
        <f aca="false">ROUND(R38-R49,2)</f>
        <v>0</v>
      </c>
      <c r="S50" s="11" t="n">
        <f aca="false">ROUND(S38-S49,2)</f>
        <v>0</v>
      </c>
      <c r="T50" s="11" t="n">
        <f aca="false">ROUND(T38-T49,2)</f>
        <v>0</v>
      </c>
      <c r="U50" s="11" t="n">
        <f aca="false">ROUND(U38-U49,2)</f>
        <v>0</v>
      </c>
      <c r="V50" s="11" t="n">
        <f aca="false">ROUND(V38-V49,2)</f>
        <v>0</v>
      </c>
      <c r="W50" s="11" t="n">
        <f aca="false">ROUND(W38-W49,2)</f>
        <v>0</v>
      </c>
      <c r="X50" s="11" t="n">
        <f aca="false">ROUND(X38-X49,2)</f>
        <v>0</v>
      </c>
      <c r="Y50" s="11" t="n">
        <f aca="false">ROUND(Y38-Y49,2)</f>
        <v>0</v>
      </c>
      <c r="Z50" s="11" t="n">
        <f aca="false">ROUND(Z38-Z49,2)</f>
        <v>0</v>
      </c>
      <c r="AA50" s="11" t="n">
        <f aca="false">ROUND(AA38-AA49,2)</f>
        <v>0</v>
      </c>
      <c r="AB50" s="11" t="n">
        <f aca="false">ROUND(AB38-AB49,2)</f>
        <v>0</v>
      </c>
      <c r="AC50" s="11" t="n">
        <f aca="false">ROUND(AC38-AC49,2)</f>
        <v>0</v>
      </c>
      <c r="AD50" s="11" t="n">
        <f aca="false">ROUND(AD38-AD49,2)</f>
        <v>0</v>
      </c>
      <c r="AE50" s="11" t="n">
        <f aca="false">ROUND(AE38-AE49,2)</f>
        <v>0</v>
      </c>
      <c r="AF50" s="11" t="n">
        <f aca="false">ROUND(AF38-AF49,2)</f>
        <v>0</v>
      </c>
      <c r="AG50" s="11" t="n">
        <f aca="false">ROUND(AG38-AG49,2)</f>
        <v>0</v>
      </c>
      <c r="AH50" s="11" t="n">
        <f aca="false">ROUND(AH38-AH49,2)</f>
        <v>0</v>
      </c>
      <c r="AI50" s="11" t="n">
        <f aca="false">ROUND(AI38-AI49,2)</f>
        <v>0</v>
      </c>
      <c r="AJ50" s="11" t="n">
        <f aca="false">ROUND(AJ38-AJ49,2)</f>
        <v>0</v>
      </c>
      <c r="AK50" s="11" t="n">
        <f aca="false">ROUND(AK38-AK49,2)</f>
        <v>0</v>
      </c>
      <c r="AL50" s="11" t="n">
        <f aca="false">ROUND(AL38-AL49,2)</f>
        <v>0</v>
      </c>
      <c r="AM50" s="11" t="n">
        <f aca="false">ROUND(AM38-AM49,2)</f>
        <v>0</v>
      </c>
    </row>
    <row r="52" customFormat="false" ht="15" hidden="false" customHeight="true" outlineLevel="0" collapsed="false">
      <c r="A52" s="8" t="s">
        <v>1063</v>
      </c>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row>
    <row r="53" customFormat="false" ht="15" hidden="false" customHeight="true" outlineLevel="0" collapsed="false">
      <c r="A53" s="5" t="s">
        <v>898</v>
      </c>
      <c r="B53" s="10" t="s">
        <v>64</v>
      </c>
      <c r="C53" s="12" t="n">
        <f aca="false">AM53</f>
        <v>4339103.43019746</v>
      </c>
      <c r="D53" s="11" t="n">
        <f aca="false">Revenue!D148</f>
        <v>1544.84079375</v>
      </c>
      <c r="E53" s="11" t="n">
        <f aca="false">Revenue!E148</f>
        <v>2414.450825625</v>
      </c>
      <c r="F53" s="11" t="n">
        <f aca="false">Revenue!F148</f>
        <v>6659.167492675</v>
      </c>
      <c r="G53" s="11" t="n">
        <f aca="false">Revenue!G148</f>
        <v>9204.54425949433</v>
      </c>
      <c r="H53" s="11" t="n">
        <f aca="false">Revenue!H148</f>
        <v>13879.9831339765</v>
      </c>
      <c r="I53" s="11" t="n">
        <f aca="false">Revenue!I148</f>
        <v>17453.0190916</v>
      </c>
      <c r="J53" s="11" t="n">
        <f aca="false">Revenue!J148</f>
        <v>22053.910571397</v>
      </c>
      <c r="K53" s="11" t="n">
        <f aca="false">Revenue!K148</f>
        <v>27065.0566547769</v>
      </c>
      <c r="L53" s="11" t="n">
        <f aca="false">Revenue!L148</f>
        <v>43539.9164497031</v>
      </c>
      <c r="M53" s="11" t="n">
        <f aca="false">Revenue!M148</f>
        <v>64583.8561065602</v>
      </c>
      <c r="N53" s="11" t="n">
        <f aca="false">Revenue!N148</f>
        <v>92753.380773502</v>
      </c>
      <c r="O53" s="11" t="n">
        <f aca="false">Revenue!O148</f>
        <v>116792.567253205</v>
      </c>
      <c r="P53" s="11" t="n">
        <f aca="false">Revenue!P148</f>
        <v>166495.593311906</v>
      </c>
      <c r="Q53" s="11" t="n">
        <f aca="false">Revenue!Q148</f>
        <v>212622.404568185</v>
      </c>
      <c r="R53" s="11" t="n">
        <f aca="false">Revenue!R148</f>
        <v>272573.718018871</v>
      </c>
      <c r="S53" s="11" t="n">
        <f aca="false">Revenue!S148</f>
        <v>326277.919143223</v>
      </c>
      <c r="T53" s="11" t="n">
        <f aca="false">Revenue!T148</f>
        <v>386014.607301376</v>
      </c>
      <c r="U53" s="11" t="n">
        <f aca="false">Revenue!U148</f>
        <v>432628.316016517</v>
      </c>
      <c r="V53" s="11" t="n">
        <f aca="false">Revenue!V148</f>
        <v>511642.931316517</v>
      </c>
      <c r="W53" s="11" t="n">
        <f aca="false">Revenue!W148</f>
        <v>593336.904880993</v>
      </c>
      <c r="X53" s="11" t="n">
        <f aca="false">Revenue!X148</f>
        <v>721291.524474756</v>
      </c>
      <c r="Y53" s="11" t="n">
        <f aca="false">Revenue!Y148</f>
        <v>873080.846636342</v>
      </c>
      <c r="Z53" s="11" t="n">
        <f aca="false">Revenue!Z148</f>
        <v>1063601.93832317</v>
      </c>
      <c r="AA53" s="11" t="n">
        <f aca="false">Revenue!AA148</f>
        <v>1244957.74237832</v>
      </c>
      <c r="AB53" s="11" t="n">
        <f aca="false">Revenue!AB148</f>
        <v>1479190.67687046</v>
      </c>
      <c r="AC53" s="11" t="n">
        <f aca="false">Revenue!AC148</f>
        <v>1677375.86548263</v>
      </c>
      <c r="AD53" s="11" t="n">
        <f aca="false">Revenue!AD148</f>
        <v>1873267.48013876</v>
      </c>
      <c r="AE53" s="11" t="n">
        <f aca="false">Revenue!AE148</f>
        <v>2042956.01333235</v>
      </c>
      <c r="AF53" s="11" t="n">
        <f aca="false">Revenue!AF148</f>
        <v>2203960.87465524</v>
      </c>
      <c r="AG53" s="11" t="n">
        <f aca="false">Revenue!AG148</f>
        <v>2341047.05649895</v>
      </c>
      <c r="AH53" s="11" t="n">
        <f aca="false">Revenue!AH148</f>
        <v>2551647.52169944</v>
      </c>
      <c r="AI53" s="11" t="n">
        <f aca="false">Revenue!AI148</f>
        <v>2765847.71144753</v>
      </c>
      <c r="AJ53" s="11" t="n">
        <f aca="false">Revenue!AJ148</f>
        <v>3076817.12454206</v>
      </c>
      <c r="AK53" s="11" t="n">
        <f aca="false">Revenue!AK148</f>
        <v>3439980.27516709</v>
      </c>
      <c r="AL53" s="11" t="n">
        <f aca="false">Revenue!AL148</f>
        <v>3893366.83766399</v>
      </c>
      <c r="AM53" s="11" t="n">
        <f aca="false">Revenue!AM148</f>
        <v>4339103.43019746</v>
      </c>
    </row>
    <row r="54" customFormat="false" ht="15" hidden="false" customHeight="true" outlineLevel="0" collapsed="false">
      <c r="A54" s="5" t="s">
        <v>1064</v>
      </c>
      <c r="B54" s="10" t="s">
        <v>64</v>
      </c>
      <c r="C54" s="12" t="n">
        <f aca="false">AM54</f>
        <v>5179103.43019746</v>
      </c>
      <c r="D54" s="11" t="n">
        <f aca="false">Revenue!D149</f>
        <v>4044.84079375</v>
      </c>
      <c r="E54" s="11" t="n">
        <f aca="false">Revenue!E149</f>
        <v>6997.78415895833</v>
      </c>
      <c r="F54" s="11" t="n">
        <f aca="false">Revenue!F149</f>
        <v>14992.5008260083</v>
      </c>
      <c r="G54" s="11" t="n">
        <f aca="false">Revenue!G149</f>
        <v>21704.5442594943</v>
      </c>
      <c r="H54" s="11" t="n">
        <f aca="false">Revenue!H149</f>
        <v>29713.3164673098</v>
      </c>
      <c r="I54" s="11" t="n">
        <f aca="false">Revenue!I149</f>
        <v>37869.6857582667</v>
      </c>
      <c r="J54" s="11" t="n">
        <f aca="false">Revenue!J149</f>
        <v>46220.5772380637</v>
      </c>
      <c r="K54" s="11" t="n">
        <f aca="false">Revenue!K149</f>
        <v>54148.3899881102</v>
      </c>
      <c r="L54" s="11" t="n">
        <f aca="false">Revenue!L149</f>
        <v>68956.5831163698</v>
      </c>
      <c r="M54" s="11" t="n">
        <f aca="false">Revenue!M149</f>
        <v>85417.1894398935</v>
      </c>
      <c r="N54" s="11" t="n">
        <f aca="false">Revenue!N149</f>
        <v>107753.380773502</v>
      </c>
      <c r="O54" s="11" t="n">
        <f aca="false">Revenue!O149</f>
        <v>127209.233919872</v>
      </c>
      <c r="P54" s="11" t="n">
        <f aca="false">Revenue!P149</f>
        <v>214495.593311906</v>
      </c>
      <c r="Q54" s="11" t="n">
        <f aca="false">Revenue!Q149</f>
        <v>293330.737901518</v>
      </c>
      <c r="R54" s="11" t="n">
        <f aca="false">Revenue!R149</f>
        <v>414240.384685538</v>
      </c>
      <c r="S54" s="11" t="n">
        <f aca="false">Revenue!S149</f>
        <v>535027.919143223</v>
      </c>
      <c r="T54" s="11" t="n">
        <f aca="false">Revenue!T149</f>
        <v>672181.273968042</v>
      </c>
      <c r="U54" s="11" t="n">
        <f aca="false">Revenue!U149</f>
        <v>813461.649349851</v>
      </c>
      <c r="V54" s="11" t="n">
        <f aca="false">Revenue!V149</f>
        <v>965976.26464985</v>
      </c>
      <c r="W54" s="11" t="n">
        <f aca="false">Revenue!W149</f>
        <v>1114503.57154766</v>
      </c>
      <c r="X54" s="11" t="n">
        <f aca="false">Revenue!X149</f>
        <v>1232749.85780809</v>
      </c>
      <c r="Y54" s="11" t="n">
        <f aca="false">Revenue!Y149</f>
        <v>1329747.51330301</v>
      </c>
      <c r="Z54" s="11" t="n">
        <f aca="false">Revenue!Z149</f>
        <v>1437351.93832317</v>
      </c>
      <c r="AA54" s="11" t="n">
        <f aca="false">Revenue!AA149</f>
        <v>1545791.07571166</v>
      </c>
      <c r="AB54" s="11" t="n">
        <f aca="false">Revenue!AB149</f>
        <v>1791690.67687046</v>
      </c>
      <c r="AC54" s="11" t="n">
        <f aca="false">Revenue!AC149</f>
        <v>2003459.19881596</v>
      </c>
      <c r="AD54" s="11" t="n">
        <f aca="false">Revenue!AD149</f>
        <v>2315142.48013876</v>
      </c>
      <c r="AE54" s="11" t="n">
        <f aca="false">Revenue!AE149</f>
        <v>2630456.01333235</v>
      </c>
      <c r="AF54" s="11" t="n">
        <f aca="false">Revenue!AF149</f>
        <v>2989210.87465524</v>
      </c>
      <c r="AG54" s="11" t="n">
        <f aca="false">Revenue!AG149</f>
        <v>3361047.05649895</v>
      </c>
      <c r="AH54" s="11" t="n">
        <f aca="false">Revenue!AH149</f>
        <v>3769647.52169944</v>
      </c>
      <c r="AI54" s="11" t="n">
        <f aca="false">Revenue!AI149</f>
        <v>4166847.71144753</v>
      </c>
      <c r="AJ54" s="11" t="n">
        <f aca="false">Revenue!AJ149</f>
        <v>4458692.12454206</v>
      </c>
      <c r="AK54" s="11" t="n">
        <f aca="false">Revenue!AK149</f>
        <v>4684980.27516709</v>
      </c>
      <c r="AL54" s="11" t="n">
        <f aca="false">Revenue!AL149</f>
        <v>4924616.83766399</v>
      </c>
      <c r="AM54" s="11" t="n">
        <f aca="false">Revenue!AM149</f>
        <v>5179103.43019746</v>
      </c>
    </row>
    <row r="55" customFormat="false" ht="15" hidden="false" customHeight="true" outlineLevel="0" collapsed="false">
      <c r="A55" s="5" t="s">
        <v>44</v>
      </c>
      <c r="B55" s="10" t="s">
        <v>98</v>
      </c>
      <c r="C55" s="19" t="n">
        <f aca="false">AM55</f>
        <v>50</v>
      </c>
      <c r="D55" s="18" t="n">
        <f aca="false">Headcount!D72</f>
        <v>2</v>
      </c>
      <c r="E55" s="18" t="n">
        <f aca="false">Headcount!E72</f>
        <v>2</v>
      </c>
      <c r="F55" s="18" t="n">
        <f aca="false">Headcount!F72</f>
        <v>3</v>
      </c>
      <c r="G55" s="18" t="n">
        <f aca="false">Headcount!G72</f>
        <v>4</v>
      </c>
      <c r="H55" s="18" t="n">
        <f aca="false">Headcount!H72</f>
        <v>6</v>
      </c>
      <c r="I55" s="18" t="n">
        <f aca="false">Headcount!I72</f>
        <v>9</v>
      </c>
      <c r="J55" s="18" t="n">
        <f aca="false">Headcount!J72</f>
        <v>9</v>
      </c>
      <c r="K55" s="18" t="n">
        <f aca="false">Headcount!K72</f>
        <v>12</v>
      </c>
      <c r="L55" s="18" t="n">
        <f aca="false">Headcount!L72</f>
        <v>15</v>
      </c>
      <c r="M55" s="18" t="n">
        <f aca="false">Headcount!M72</f>
        <v>19</v>
      </c>
      <c r="N55" s="18" t="n">
        <f aca="false">Headcount!N72</f>
        <v>21</v>
      </c>
      <c r="O55" s="18" t="n">
        <f aca="false">Headcount!O72</f>
        <v>25</v>
      </c>
      <c r="P55" s="18" t="n">
        <f aca="false">Headcount!P72</f>
        <v>27</v>
      </c>
      <c r="Q55" s="18" t="n">
        <f aca="false">Headcount!Q72</f>
        <v>29</v>
      </c>
      <c r="R55" s="18" t="n">
        <f aca="false">Headcount!R72</f>
        <v>32</v>
      </c>
      <c r="S55" s="18" t="n">
        <f aca="false">Headcount!S72</f>
        <v>34</v>
      </c>
      <c r="T55" s="18" t="n">
        <f aca="false">Headcount!T72</f>
        <v>35</v>
      </c>
      <c r="U55" s="18" t="n">
        <f aca="false">Headcount!U72</f>
        <v>36</v>
      </c>
      <c r="V55" s="18" t="n">
        <f aca="false">Headcount!V72</f>
        <v>37</v>
      </c>
      <c r="W55" s="18" t="n">
        <f aca="false">Headcount!W72</f>
        <v>39</v>
      </c>
      <c r="X55" s="18" t="n">
        <f aca="false">Headcount!X72</f>
        <v>40</v>
      </c>
      <c r="Y55" s="18" t="n">
        <f aca="false">Headcount!Y72</f>
        <v>42</v>
      </c>
      <c r="Z55" s="18" t="n">
        <f aca="false">Headcount!Z72</f>
        <v>42</v>
      </c>
      <c r="AA55" s="18" t="n">
        <f aca="false">Headcount!AA72</f>
        <v>44</v>
      </c>
      <c r="AB55" s="18" t="n">
        <f aca="false">Headcount!AB72</f>
        <v>45</v>
      </c>
      <c r="AC55" s="18" t="n">
        <f aca="false">Headcount!AC72</f>
        <v>45</v>
      </c>
      <c r="AD55" s="18" t="n">
        <f aca="false">Headcount!AD72</f>
        <v>48</v>
      </c>
      <c r="AE55" s="18" t="n">
        <f aca="false">Headcount!AE72</f>
        <v>50</v>
      </c>
      <c r="AF55" s="18" t="n">
        <f aca="false">Headcount!AF72</f>
        <v>50</v>
      </c>
      <c r="AG55" s="18" t="n">
        <f aca="false">Headcount!AG72</f>
        <v>50</v>
      </c>
      <c r="AH55" s="18" t="n">
        <f aca="false">Headcount!AH72</f>
        <v>50</v>
      </c>
      <c r="AI55" s="18" t="n">
        <f aca="false">Headcount!AI72</f>
        <v>50</v>
      </c>
      <c r="AJ55" s="18" t="n">
        <f aca="false">Headcount!AJ72</f>
        <v>50</v>
      </c>
      <c r="AK55" s="18" t="n">
        <f aca="false">Headcount!AK72</f>
        <v>50</v>
      </c>
      <c r="AL55" s="18" t="n">
        <f aca="false">Headcount!AL72</f>
        <v>50</v>
      </c>
      <c r="AM55" s="18" t="n">
        <f aca="false">Headcount!AM72</f>
        <v>50</v>
      </c>
    </row>
    <row r="56" customFormat="false" ht="15" hidden="false" customHeight="true" outlineLevel="0" collapsed="false">
      <c r="A56" s="5" t="s">
        <v>99</v>
      </c>
      <c r="B56" s="10" t="s">
        <v>100</v>
      </c>
      <c r="C56" s="21" t="n">
        <f aca="false">AM56</f>
        <v>160338.650730896</v>
      </c>
      <c r="D56" s="20" t="n">
        <f aca="false">Revenue!D125</f>
        <v>390.625</v>
      </c>
      <c r="E56" s="20" t="n">
        <f aca="false">Revenue!E125</f>
        <v>605.984375</v>
      </c>
      <c r="F56" s="20" t="n">
        <f aca="false">Revenue!F125</f>
        <v>1695.27984375</v>
      </c>
      <c r="G56" s="20" t="n">
        <f aca="false">Revenue!G125</f>
        <v>2338.04254739583</v>
      </c>
      <c r="H56" s="20" t="n">
        <f aca="false">Revenue!H125</f>
        <v>2964.26123019271</v>
      </c>
      <c r="I56" s="20" t="n">
        <f aca="false">Revenue!I125</f>
        <v>3401.14712653641</v>
      </c>
      <c r="J56" s="20" t="n">
        <f aca="false">Revenue!J125</f>
        <v>3732.56654060132</v>
      </c>
      <c r="K56" s="20" t="n">
        <f aca="false">Revenue!K125</f>
        <v>4077.34944649831</v>
      </c>
      <c r="L56" s="20" t="n">
        <f aca="false">Revenue!L125</f>
        <v>4972.74832929963</v>
      </c>
      <c r="M56" s="20" t="n">
        <f aca="false">Revenue!M125</f>
        <v>7154.79543871744</v>
      </c>
      <c r="N56" s="20" t="n">
        <f aca="false">Revenue!N125</f>
        <v>9583.71834726041</v>
      </c>
      <c r="O56" s="20" t="n">
        <f aca="false">Revenue!O125</f>
        <v>10688.1687626046</v>
      </c>
      <c r="P56" s="20" t="n">
        <f aca="false">Revenue!P125</f>
        <v>12319.4054901483</v>
      </c>
      <c r="Q56" s="20" t="n">
        <f aca="false">Revenue!Q125</f>
        <v>13445.7797446234</v>
      </c>
      <c r="R56" s="20" t="n">
        <f aca="false">Revenue!R125</f>
        <v>17405.048127702</v>
      </c>
      <c r="S56" s="20" t="n">
        <f aca="false">Revenue!S125</f>
        <v>19943.4418717936</v>
      </c>
      <c r="T56" s="20" t="n">
        <f aca="false">Revenue!T125</f>
        <v>22409.7591611216</v>
      </c>
      <c r="U56" s="20" t="n">
        <f aca="false">Revenue!U125</f>
        <v>24004.9286863915</v>
      </c>
      <c r="V56" s="20" t="n">
        <f aca="false">Revenue!V125</f>
        <v>26213.4932438151</v>
      </c>
      <c r="W56" s="20" t="n">
        <f aca="false">Revenue!W125</f>
        <v>28496.0351584031</v>
      </c>
      <c r="X56" s="20" t="n">
        <f aca="false">Revenue!X125</f>
        <v>32870.4693500777</v>
      </c>
      <c r="Y56" s="20" t="n">
        <f aca="false">Revenue!Y125</f>
        <v>41623.6178985968</v>
      </c>
      <c r="Z56" s="20" t="n">
        <f aca="false">Revenue!Z125</f>
        <v>51718.1064985749</v>
      </c>
      <c r="AA56" s="20" t="n">
        <f aca="false">Revenue!AA125</f>
        <v>57788.247467253</v>
      </c>
      <c r="AB56" s="20" t="n">
        <f aca="false">Revenue!AB125</f>
        <v>63487.5927481754</v>
      </c>
      <c r="AC56" s="20" t="n">
        <f aca="false">Revenue!AC125</f>
        <v>67917.2715811984</v>
      </c>
      <c r="AD56" s="20" t="n">
        <f aca="false">Revenue!AD125</f>
        <v>76394.098493467</v>
      </c>
      <c r="AE56" s="20" t="n">
        <f aca="false">Revenue!AE125</f>
        <v>81928.156727795</v>
      </c>
      <c r="AF56" s="20" t="n">
        <f aca="false">Revenue!AF125</f>
        <v>86778.8745889678</v>
      </c>
      <c r="AG56" s="20" t="n">
        <f aca="false">Revenue!AG125</f>
        <v>90142.1609025144</v>
      </c>
      <c r="AH56" s="20" t="n">
        <f aca="false">Revenue!AH125</f>
        <v>95088.0390568924</v>
      </c>
      <c r="AI56" s="20" t="n">
        <f aca="false">Revenue!AI125</f>
        <v>100130.161372002</v>
      </c>
      <c r="AJ56" s="20" t="n">
        <f aca="false">Revenue!AJ125</f>
        <v>109342.148407949</v>
      </c>
      <c r="AK56" s="20" t="n">
        <f aca="false">Revenue!AK125</f>
        <v>126504.783294568</v>
      </c>
      <c r="AL56" s="20" t="n">
        <f aca="false">Revenue!AL125</f>
        <v>146758.011102826</v>
      </c>
      <c r="AM56" s="20" t="n">
        <f aca="false">Revenue!AM125</f>
        <v>160338.650730896</v>
      </c>
    </row>
    <row r="57" customFormat="false" ht="15" hidden="false" customHeight="true" outlineLevel="0" collapsed="false">
      <c r="A57" s="5" t="s">
        <v>909</v>
      </c>
      <c r="B57" s="10" t="s">
        <v>100</v>
      </c>
      <c r="C57" s="21" t="n">
        <f aca="false">AM57</f>
        <v>4371.04966871702</v>
      </c>
      <c r="D57" s="20" t="n">
        <f aca="false">Revenue!D23</f>
        <v>23.4375</v>
      </c>
      <c r="E57" s="20" t="n">
        <f aca="false">Revenue!E23</f>
        <v>36.84375</v>
      </c>
      <c r="F57" s="20" t="n">
        <f aca="false">Revenue!F23</f>
        <v>101.47125</v>
      </c>
      <c r="G57" s="20" t="n">
        <f aca="false">Revenue!G23</f>
        <v>140.90355</v>
      </c>
      <c r="H57" s="20" t="n">
        <f aca="false">Revenue!H23</f>
        <v>174.687516</v>
      </c>
      <c r="I57" s="20" t="n">
        <f aca="false">Revenue!I23</f>
        <v>198.34376472</v>
      </c>
      <c r="J57" s="20" t="n">
        <f aca="false">Revenue!J23</f>
        <v>212.1950135424</v>
      </c>
      <c r="K57" s="20" t="n">
        <f aca="false">Revenue!K23</f>
        <v>225.913162459008</v>
      </c>
      <c r="L57" s="20" t="n">
        <f aca="false">Revenue!L23</f>
        <v>253.571359462287</v>
      </c>
      <c r="M57" s="20" t="n">
        <f aca="false">Revenue!M23</f>
        <v>360.410650705304</v>
      </c>
      <c r="N57" s="20" t="n">
        <f aca="false">Revenue!N23</f>
        <v>473.92779864888</v>
      </c>
      <c r="O57" s="20" t="n">
        <f aca="false">Revenue!O23</f>
        <v>509.70107475697</v>
      </c>
      <c r="P57" s="20" t="n">
        <f aca="false">Revenue!P23</f>
        <v>572.569520026412</v>
      </c>
      <c r="Q57" s="20" t="n">
        <f aca="false">Revenue!Q23</f>
        <v>604.327239674299</v>
      </c>
      <c r="R57" s="20" t="n">
        <f aca="false">Revenue!R23</f>
        <v>799.418248000355</v>
      </c>
      <c r="S57" s="20" t="n">
        <f aca="false">Revenue!S23</f>
        <v>914.801819410327</v>
      </c>
      <c r="T57" s="20" t="n">
        <f aca="false">Revenue!T23</f>
        <v>1012.6936113575</v>
      </c>
      <c r="U57" s="20" t="n">
        <f aca="false">Revenue!U23</f>
        <v>1078.8787474489</v>
      </c>
      <c r="V57" s="20" t="n">
        <f aca="false">Revenue!V23</f>
        <v>1114.42313515299</v>
      </c>
      <c r="W57" s="20" t="n">
        <f aca="false">Revenue!W23</f>
        <v>1150.06522184075</v>
      </c>
      <c r="X57" s="20" t="n">
        <f aca="false">Revenue!X23</f>
        <v>1230.43391034349</v>
      </c>
      <c r="Y57" s="20" t="n">
        <f aca="false">Revenue!Y23</f>
        <v>1562.46169751601</v>
      </c>
      <c r="Z57" s="20" t="n">
        <f aca="false">Revenue!Z23</f>
        <v>1915.33257421473</v>
      </c>
      <c r="AA57" s="20" t="n">
        <f aca="false">Revenue!AA23</f>
        <v>2021.02940577755</v>
      </c>
      <c r="AB57" s="20" t="n">
        <f aca="false">Revenue!AB23</f>
        <v>2103.68025644035</v>
      </c>
      <c r="AC57" s="20" t="n">
        <f aca="false">Revenue!AC23</f>
        <v>2134.84091405012</v>
      </c>
      <c r="AD57" s="20" t="n">
        <f aca="false">Revenue!AD23</f>
        <v>2446.08535967611</v>
      </c>
      <c r="AE57" s="20" t="n">
        <f aca="false">Revenue!AE23</f>
        <v>2621.99298402702</v>
      </c>
      <c r="AF57" s="20" t="n">
        <f aca="false">Revenue!AF23</f>
        <v>2769.00713905486</v>
      </c>
      <c r="AG57" s="20" t="n">
        <f aca="false">Revenue!AG23</f>
        <v>2862.89813043047</v>
      </c>
      <c r="AH57" s="20" t="n">
        <f aca="false">Revenue!AH23</f>
        <v>2905.57174874603</v>
      </c>
      <c r="AI57" s="20" t="n">
        <f aca="false">Revenue!AI23</f>
        <v>2949.51960259635</v>
      </c>
      <c r="AJ57" s="20" t="n">
        <f aca="false">Revenue!AJ23</f>
        <v>3070.74717501364</v>
      </c>
      <c r="AK57" s="20" t="n">
        <f aca="false">Revenue!AK23</f>
        <v>3621.75615101255</v>
      </c>
      <c r="AL57" s="20" t="n">
        <f aca="false">Revenue!AL23</f>
        <v>4207.55144018155</v>
      </c>
      <c r="AM57" s="20" t="n">
        <f aca="false">Revenue!AM23</f>
        <v>4371.04966871702</v>
      </c>
    </row>
    <row r="58" customFormat="false" ht="15" hidden="false" customHeight="true" outlineLevel="0" collapsed="false">
      <c r="A58" s="5" t="s">
        <v>1065</v>
      </c>
      <c r="B58" s="10" t="s">
        <v>100</v>
      </c>
      <c r="C58" s="19" t="n">
        <f aca="false">AM58</f>
        <v>38.032</v>
      </c>
      <c r="D58" s="18" t="n">
        <f aca="false">Revenue!D77+Revenue!D92</f>
        <v>0</v>
      </c>
      <c r="E58" s="18" t="n">
        <f aca="false">Revenue!E77+Revenue!E92</f>
        <v>0</v>
      </c>
      <c r="F58" s="18" t="n">
        <f aca="false">Revenue!F77+Revenue!F92</f>
        <v>0</v>
      </c>
      <c r="G58" s="18" t="n">
        <f aca="false">Revenue!G77+Revenue!G92</f>
        <v>0</v>
      </c>
      <c r="H58" s="18" t="n">
        <f aca="false">Revenue!H77+Revenue!H92</f>
        <v>0.05</v>
      </c>
      <c r="I58" s="18" t="n">
        <f aca="false">Revenue!I77+Revenue!I92</f>
        <v>0.0916666666666667</v>
      </c>
      <c r="J58" s="18" t="n">
        <f aca="false">Revenue!J77+Revenue!J92</f>
        <v>0.166666666666667</v>
      </c>
      <c r="K58" s="18" t="n">
        <f aca="false">Revenue!K77+Revenue!K92</f>
        <v>0.25</v>
      </c>
      <c r="L58" s="18" t="n">
        <f aca="false">Revenue!L77+Revenue!L92</f>
        <v>0.466666666666667</v>
      </c>
      <c r="M58" s="18" t="n">
        <f aca="false">Revenue!M77+Revenue!M92</f>
        <v>0.683333333333333</v>
      </c>
      <c r="N58" s="18" t="n">
        <f aca="false">Revenue!N77+Revenue!N92</f>
        <v>0.983333333333333</v>
      </c>
      <c r="O58" s="18" t="n">
        <f aca="false">Revenue!O77+Revenue!O92</f>
        <v>1.29166666666667</v>
      </c>
      <c r="P58" s="18" t="n">
        <f aca="false">Revenue!P77+Revenue!P92</f>
        <v>1.60833333333333</v>
      </c>
      <c r="Q58" s="18" t="n">
        <f aca="false">Revenue!Q77+Revenue!Q92</f>
        <v>1.91666666666667</v>
      </c>
      <c r="R58" s="18" t="n">
        <f aca="false">Revenue!R77+Revenue!R92</f>
        <v>2.25</v>
      </c>
      <c r="S58" s="18" t="n">
        <f aca="false">Revenue!S77+Revenue!S92</f>
        <v>2.58333333333333</v>
      </c>
      <c r="T58" s="18" t="n">
        <f aca="false">Revenue!T77+Revenue!T92</f>
        <v>3.144</v>
      </c>
      <c r="U58" s="18" t="n">
        <f aca="false">Revenue!U77+Revenue!U92</f>
        <v>3.55566666666667</v>
      </c>
      <c r="V58" s="18" t="n">
        <f aca="false">Revenue!V77+Revenue!V92</f>
        <v>4.36333333333333</v>
      </c>
      <c r="W58" s="18" t="n">
        <f aca="false">Revenue!W77+Revenue!W92</f>
        <v>5.245</v>
      </c>
      <c r="X58" s="18" t="n">
        <f aca="false">Revenue!X77+Revenue!X92</f>
        <v>6.62893333333333</v>
      </c>
      <c r="Y58" s="18" t="n">
        <f aca="false">Revenue!Y77+Revenue!Y92</f>
        <v>8.12926666666667</v>
      </c>
      <c r="Z58" s="18" t="n">
        <f aca="false">Revenue!Z77+Revenue!Z92</f>
        <v>10.0206666666667</v>
      </c>
      <c r="AA58" s="18" t="n">
        <f aca="false">Revenue!AA77+Revenue!AA92</f>
        <v>11.9363333333333</v>
      </c>
      <c r="AB58" s="18" t="n">
        <f aca="false">Revenue!AB77+Revenue!AB92</f>
        <v>13.6020666666667</v>
      </c>
      <c r="AC58" s="18" t="n">
        <f aca="false">Revenue!AC77+Revenue!AC92</f>
        <v>14.9943333333333</v>
      </c>
      <c r="AD58" s="18" t="n">
        <f aca="false">Revenue!AD77+Revenue!AD92</f>
        <v>16.2258</v>
      </c>
      <c r="AE58" s="18" t="n">
        <f aca="false">Revenue!AE77+Revenue!AE92</f>
        <v>17.4236666666667</v>
      </c>
      <c r="AF58" s="18" t="n">
        <f aca="false">Revenue!AF77+Revenue!AF92</f>
        <v>18.76972</v>
      </c>
      <c r="AG58" s="18" t="n">
        <f aca="false">Revenue!AG77+Revenue!AG92</f>
        <v>19.8249866666667</v>
      </c>
      <c r="AH58" s="18" t="n">
        <f aca="false">Revenue!AH77+Revenue!AH92</f>
        <v>21.6928</v>
      </c>
      <c r="AI58" s="18" t="n">
        <f aca="false">Revenue!AI77+Revenue!AI92</f>
        <v>23.7086</v>
      </c>
      <c r="AJ58" s="18" t="n">
        <f aca="false">Revenue!AJ77+Revenue!AJ92</f>
        <v>26.656</v>
      </c>
      <c r="AK58" s="18" t="n">
        <f aca="false">Revenue!AK77+Revenue!AK92</f>
        <v>29.9061866666667</v>
      </c>
      <c r="AL58" s="18" t="n">
        <f aca="false">Revenue!AL77+Revenue!AL92</f>
        <v>33.9404266666667</v>
      </c>
      <c r="AM58" s="18" t="n">
        <f aca="false">Revenue!AM77+Revenue!AM92</f>
        <v>38.032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8"/>
    <col collapsed="false" customWidth="true" hidden="false" outlineLevel="0" max="2" min="2" style="1" width="22"/>
    <col collapsed="false" customWidth="true" hidden="false" outlineLevel="0" max="3" min="3" style="1" width="48"/>
    <col collapsed="false" customWidth="true" hidden="false" outlineLevel="0" max="4" min="4" style="1" width="44"/>
    <col collapsed="false" customWidth="true" hidden="false" outlineLevel="0" max="5" min="5" style="1" width="52"/>
    <col collapsed="false" customWidth="true" hidden="false" outlineLevel="0" max="6" min="6" style="1" width="34"/>
  </cols>
  <sheetData>
    <row r="1" customFormat="false" ht="17.25" hidden="false" customHeight="true" outlineLevel="0" collapsed="false">
      <c r="A1" s="2" t="s">
        <v>1066</v>
      </c>
    </row>
    <row r="2" customFormat="false" ht="15" hidden="false" customHeight="true" outlineLevel="0" collapsed="false">
      <c r="A2" s="10" t="s">
        <v>1067</v>
      </c>
    </row>
    <row r="4" customFormat="false" ht="15" hidden="false" customHeight="true" outlineLevel="0" collapsed="false">
      <c r="A4" s="44" t="s">
        <v>1068</v>
      </c>
      <c r="B4" s="44" t="s">
        <v>1069</v>
      </c>
      <c r="C4" s="44" t="s">
        <v>1070</v>
      </c>
      <c r="D4" s="44" t="s">
        <v>1071</v>
      </c>
      <c r="E4" s="44" t="s">
        <v>1072</v>
      </c>
      <c r="F4" s="44" t="s">
        <v>1073</v>
      </c>
    </row>
    <row r="5" customFormat="false" ht="15" hidden="false" customHeight="true" outlineLevel="0" collapsed="false">
      <c r="A5" s="4" t="s">
        <v>1074</v>
      </c>
      <c r="B5" s="4" t="s">
        <v>1075</v>
      </c>
      <c r="C5" s="4" t="s">
        <v>1075</v>
      </c>
      <c r="D5" s="4" t="s">
        <v>1076</v>
      </c>
      <c r="E5" s="4" t="s">
        <v>1077</v>
      </c>
      <c r="F5" s="4" t="s">
        <v>1078</v>
      </c>
    </row>
    <row r="6" customFormat="false" ht="23.25" hidden="false" customHeight="true" outlineLevel="0" collapsed="false">
      <c r="A6" s="4" t="s">
        <v>1079</v>
      </c>
      <c r="B6" s="4" t="s">
        <v>1075</v>
      </c>
      <c r="C6" s="4" t="s">
        <v>1080</v>
      </c>
      <c r="D6" s="4" t="s">
        <v>1081</v>
      </c>
      <c r="E6" s="4" t="s">
        <v>1082</v>
      </c>
      <c r="F6" s="4" t="s">
        <v>1083</v>
      </c>
    </row>
    <row r="7" customFormat="false" ht="23.25" hidden="false" customHeight="true" outlineLevel="0" collapsed="false">
      <c r="A7" s="4" t="s">
        <v>1084</v>
      </c>
      <c r="B7" s="4" t="s">
        <v>1075</v>
      </c>
      <c r="C7" s="4" t="s">
        <v>1085</v>
      </c>
      <c r="D7" s="4" t="s">
        <v>1086</v>
      </c>
      <c r="E7" s="4" t="s">
        <v>1087</v>
      </c>
      <c r="F7" s="4" t="s">
        <v>1088</v>
      </c>
    </row>
    <row r="8" customFormat="false" ht="23.25" hidden="false" customHeight="true" outlineLevel="0" collapsed="false">
      <c r="A8" s="4" t="s">
        <v>1089</v>
      </c>
      <c r="B8" s="4" t="s">
        <v>1090</v>
      </c>
      <c r="C8" s="4" t="s">
        <v>1091</v>
      </c>
      <c r="D8" s="4" t="s">
        <v>1092</v>
      </c>
      <c r="E8" s="4" t="s">
        <v>1093</v>
      </c>
      <c r="F8" s="4" t="s">
        <v>1094</v>
      </c>
    </row>
    <row r="9" customFormat="false" ht="23.25" hidden="false" customHeight="true" outlineLevel="0" collapsed="false">
      <c r="A9" s="4" t="s">
        <v>1095</v>
      </c>
      <c r="B9" s="4" t="s">
        <v>1075</v>
      </c>
      <c r="C9" s="4" t="s">
        <v>1096</v>
      </c>
      <c r="D9" s="4" t="s">
        <v>1097</v>
      </c>
      <c r="E9" s="4" t="s">
        <v>1098</v>
      </c>
      <c r="F9" s="4" t="s">
        <v>1099</v>
      </c>
    </row>
    <row r="10" customFormat="false" ht="15" hidden="false" customHeight="true" outlineLevel="0" collapsed="false">
      <c r="A10" s="4" t="s">
        <v>1100</v>
      </c>
      <c r="B10" s="4" t="s">
        <v>1101</v>
      </c>
      <c r="C10" s="4" t="s">
        <v>1102</v>
      </c>
      <c r="D10" s="4" t="s">
        <v>1103</v>
      </c>
      <c r="E10" s="4" t="s">
        <v>1104</v>
      </c>
      <c r="F10" s="4" t="s">
        <v>1105</v>
      </c>
    </row>
    <row r="11" customFormat="false" ht="15" hidden="false" customHeight="true" outlineLevel="0" collapsed="false">
      <c r="A11" s="4" t="s">
        <v>1106</v>
      </c>
      <c r="B11" s="4" t="s">
        <v>1090</v>
      </c>
      <c r="C11" s="4" t="s">
        <v>1107</v>
      </c>
      <c r="D11" s="4" t="s">
        <v>1108</v>
      </c>
      <c r="E11" s="4" t="s">
        <v>1109</v>
      </c>
      <c r="F11" s="4" t="s">
        <v>1110</v>
      </c>
    </row>
    <row r="12" customFormat="false" ht="15" hidden="false" customHeight="true" outlineLevel="0" collapsed="false">
      <c r="A12" s="4" t="s">
        <v>1111</v>
      </c>
      <c r="B12" s="4" t="s">
        <v>1090</v>
      </c>
      <c r="C12" s="4" t="s">
        <v>1112</v>
      </c>
      <c r="D12" s="4" t="s">
        <v>1113</v>
      </c>
      <c r="E12" s="4" t="s">
        <v>1114</v>
      </c>
      <c r="F12" s="4" t="s">
        <v>1115</v>
      </c>
    </row>
    <row r="13" customFormat="false" ht="15" hidden="false" customHeight="true" outlineLevel="0" collapsed="false">
      <c r="A13" s="4" t="s">
        <v>1116</v>
      </c>
      <c r="B13" s="4" t="s">
        <v>1075</v>
      </c>
      <c r="C13" s="4" t="s">
        <v>1117</v>
      </c>
      <c r="D13" s="4" t="s">
        <v>1118</v>
      </c>
      <c r="E13" s="4" t="s">
        <v>1119</v>
      </c>
      <c r="F13" s="4" t="s">
        <v>1120</v>
      </c>
    </row>
    <row r="14" customFormat="false" ht="23.25" hidden="false" customHeight="true" outlineLevel="0" collapsed="false">
      <c r="A14" s="4" t="s">
        <v>1121</v>
      </c>
      <c r="B14" s="4" t="s">
        <v>1075</v>
      </c>
      <c r="C14" s="4" t="s">
        <v>1122</v>
      </c>
      <c r="D14" s="4" t="s">
        <v>1123</v>
      </c>
      <c r="E14" s="4" t="s">
        <v>1124</v>
      </c>
      <c r="F14" s="4" t="s">
        <v>1125</v>
      </c>
    </row>
    <row r="15" customFormat="false" ht="23.25" hidden="false" customHeight="true" outlineLevel="0" collapsed="false">
      <c r="A15" s="4" t="s">
        <v>1126</v>
      </c>
      <c r="B15" s="4" t="s">
        <v>1127</v>
      </c>
      <c r="C15" s="4" t="s">
        <v>1128</v>
      </c>
      <c r="D15" s="4" t="s">
        <v>1129</v>
      </c>
      <c r="E15" s="4" t="s">
        <v>1130</v>
      </c>
      <c r="F15" s="4" t="s">
        <v>1131</v>
      </c>
    </row>
    <row r="16" customFormat="false" ht="34.5" hidden="false" customHeight="true" outlineLevel="0" collapsed="false">
      <c r="A16" s="4" t="s">
        <v>1132</v>
      </c>
      <c r="B16" s="4" t="s">
        <v>1133</v>
      </c>
      <c r="C16" s="4" t="s">
        <v>1134</v>
      </c>
      <c r="D16" s="4" t="s">
        <v>1135</v>
      </c>
      <c r="E16" s="4" t="s">
        <v>1136</v>
      </c>
      <c r="F16" s="4" t="s">
        <v>1137</v>
      </c>
    </row>
    <row r="17" customFormat="false" ht="34.5" hidden="false" customHeight="true" outlineLevel="0" collapsed="false">
      <c r="A17" s="4" t="s">
        <v>1138</v>
      </c>
      <c r="B17" s="4" t="s">
        <v>1133</v>
      </c>
      <c r="C17" s="4" t="s">
        <v>1139</v>
      </c>
      <c r="D17" s="4" t="s">
        <v>1140</v>
      </c>
      <c r="E17" s="4" t="s">
        <v>1141</v>
      </c>
      <c r="F17" s="4" t="s">
        <v>1142</v>
      </c>
    </row>
    <row r="18" customFormat="false" ht="23.25" hidden="false" customHeight="true" outlineLevel="0" collapsed="false">
      <c r="A18" s="4" t="s">
        <v>1143</v>
      </c>
      <c r="B18" s="4" t="s">
        <v>1144</v>
      </c>
      <c r="C18" s="4" t="s">
        <v>1145</v>
      </c>
      <c r="D18" s="4" t="s">
        <v>1146</v>
      </c>
      <c r="E18" s="4" t="s">
        <v>1147</v>
      </c>
      <c r="F18" s="4" t="s">
        <v>1148</v>
      </c>
    </row>
    <row r="19" customFormat="false" ht="15" hidden="false" customHeight="true" outlineLevel="0" collapsed="false">
      <c r="A19" s="4" t="s">
        <v>1149</v>
      </c>
      <c r="B19" s="4" t="s">
        <v>1150</v>
      </c>
      <c r="C19" s="4" t="s">
        <v>1151</v>
      </c>
      <c r="D19" s="4" t="s">
        <v>1152</v>
      </c>
      <c r="E19" s="4" t="s">
        <v>1153</v>
      </c>
      <c r="F19" s="4" t="s">
        <v>1154</v>
      </c>
    </row>
    <row r="20" customFormat="false" ht="15" hidden="false" customHeight="true" outlineLevel="0" collapsed="false">
      <c r="A20" s="4" t="s">
        <v>1155</v>
      </c>
      <c r="B20" s="4" t="s">
        <v>1156</v>
      </c>
      <c r="C20" s="4" t="s">
        <v>1157</v>
      </c>
      <c r="D20" s="4" t="s">
        <v>1158</v>
      </c>
      <c r="E20" s="4" t="s">
        <v>1159</v>
      </c>
      <c r="F20" s="4" t="s">
        <v>1160</v>
      </c>
    </row>
    <row r="21" customFormat="false" ht="23.25" hidden="false" customHeight="true" outlineLevel="0" collapsed="false">
      <c r="A21" s="4" t="s">
        <v>1161</v>
      </c>
      <c r="B21" s="4" t="s">
        <v>1162</v>
      </c>
      <c r="C21" s="4" t="s">
        <v>1163</v>
      </c>
      <c r="D21" s="4" t="s">
        <v>1164</v>
      </c>
      <c r="E21" s="4" t="s">
        <v>1165</v>
      </c>
      <c r="F21" s="4" t="s">
        <v>1166</v>
      </c>
    </row>
    <row r="22" customFormat="false" ht="23.25" hidden="false" customHeight="true" outlineLevel="0" collapsed="false">
      <c r="A22" s="4" t="s">
        <v>1167</v>
      </c>
      <c r="B22" s="4" t="s">
        <v>1168</v>
      </c>
      <c r="C22" s="4" t="s">
        <v>1169</v>
      </c>
      <c r="D22" s="4" t="s">
        <v>1170</v>
      </c>
      <c r="E22" s="4" t="s">
        <v>1171</v>
      </c>
      <c r="F22" s="4" t="s">
        <v>1172</v>
      </c>
    </row>
    <row r="23" customFormat="false" ht="15" hidden="false" customHeight="true" outlineLevel="0" collapsed="false">
      <c r="A23" s="4" t="s">
        <v>1173</v>
      </c>
      <c r="B23" s="4" t="s">
        <v>1150</v>
      </c>
      <c r="C23" s="4" t="s">
        <v>1174</v>
      </c>
      <c r="D23" s="4" t="s">
        <v>1175</v>
      </c>
      <c r="E23" s="4" t="s">
        <v>1176</v>
      </c>
      <c r="F23" s="4" t="s">
        <v>1177</v>
      </c>
    </row>
    <row r="24" customFormat="false" ht="15" hidden="false" customHeight="true" outlineLevel="0" collapsed="false">
      <c r="A24" s="4" t="s">
        <v>1178</v>
      </c>
      <c r="B24" s="4" t="s">
        <v>1179</v>
      </c>
      <c r="C24" s="4" t="s">
        <v>1180</v>
      </c>
      <c r="D24" s="4" t="s">
        <v>1181</v>
      </c>
      <c r="E24" s="4" t="s">
        <v>1182</v>
      </c>
      <c r="F24" s="4" t="s">
        <v>1183</v>
      </c>
    </row>
    <row r="25" customFormat="false" ht="15" hidden="false" customHeight="true" outlineLevel="0" collapsed="false">
      <c r="A25" s="4" t="s">
        <v>1184</v>
      </c>
      <c r="B25" s="4" t="s">
        <v>1185</v>
      </c>
      <c r="C25" s="4" t="s">
        <v>1186</v>
      </c>
      <c r="D25" s="4" t="s">
        <v>1187</v>
      </c>
      <c r="E25" s="4" t="s">
        <v>1188</v>
      </c>
      <c r="F25" s="4" t="s">
        <v>1189</v>
      </c>
    </row>
    <row r="26" customFormat="false" ht="15" hidden="false" customHeight="true" outlineLevel="0" collapsed="false">
      <c r="A26" s="4" t="s">
        <v>1190</v>
      </c>
      <c r="B26" s="4" t="s">
        <v>1090</v>
      </c>
      <c r="C26" s="4" t="s">
        <v>1112</v>
      </c>
      <c r="D26" s="4" t="s">
        <v>1191</v>
      </c>
      <c r="E26" s="4" t="s">
        <v>1192</v>
      </c>
      <c r="F26" s="4" t="s">
        <v>1193</v>
      </c>
    </row>
    <row r="27" customFormat="false" ht="15" hidden="false" customHeight="true" outlineLevel="0" collapsed="false">
      <c r="A27" s="4" t="s">
        <v>1194</v>
      </c>
      <c r="B27" s="4" t="s">
        <v>1174</v>
      </c>
      <c r="C27" s="4" t="s">
        <v>1128</v>
      </c>
      <c r="D27" s="4" t="s">
        <v>1195</v>
      </c>
      <c r="E27" s="4" t="s">
        <v>1196</v>
      </c>
      <c r="F27" s="4" t="s">
        <v>1197</v>
      </c>
    </row>
    <row r="28" customFormat="false" ht="15" hidden="false" customHeight="true" outlineLevel="0" collapsed="false">
      <c r="A28" s="4" t="s">
        <v>1198</v>
      </c>
      <c r="B28" s="4" t="s">
        <v>1156</v>
      </c>
      <c r="C28" s="4" t="s">
        <v>1199</v>
      </c>
      <c r="D28" s="4" t="s">
        <v>1200</v>
      </c>
      <c r="E28" s="4" t="s">
        <v>1201</v>
      </c>
      <c r="F28" s="4" t="s">
        <v>1202</v>
      </c>
    </row>
    <row r="29" customFormat="false" ht="23.25" hidden="false" customHeight="true" outlineLevel="0" collapsed="false">
      <c r="A29" s="4" t="s">
        <v>1203</v>
      </c>
      <c r="B29" s="4" t="s">
        <v>1204</v>
      </c>
      <c r="C29" s="4" t="s">
        <v>1205</v>
      </c>
      <c r="D29" s="4" t="s">
        <v>1206</v>
      </c>
      <c r="E29" s="4" t="s">
        <v>1207</v>
      </c>
      <c r="F29" s="4" t="s">
        <v>1208</v>
      </c>
    </row>
    <row r="30" customFormat="false" ht="15" hidden="false" customHeight="true" outlineLevel="0" collapsed="false">
      <c r="A30" s="4" t="s">
        <v>1209</v>
      </c>
      <c r="B30" s="4" t="s">
        <v>1156</v>
      </c>
      <c r="C30" s="4" t="s">
        <v>1210</v>
      </c>
      <c r="D30" s="4" t="s">
        <v>1211</v>
      </c>
      <c r="E30" s="4" t="s">
        <v>1212</v>
      </c>
      <c r="F30" s="4" t="s">
        <v>1213</v>
      </c>
    </row>
    <row r="32" customFormat="false" ht="15" hidden="false" customHeight="true" outlineLevel="0" collapsed="false">
      <c r="A32" s="3" t="s">
        <v>1214</v>
      </c>
    </row>
    <row r="33" customFormat="false" ht="15" hidden="false" customHeight="true" outlineLevel="0" collapsed="false">
      <c r="A33" s="44" t="s">
        <v>1215</v>
      </c>
      <c r="B33" s="44" t="s">
        <v>1216</v>
      </c>
      <c r="C33" s="44" t="s">
        <v>1217</v>
      </c>
      <c r="D33" s="44" t="s">
        <v>1218</v>
      </c>
    </row>
    <row r="34" customFormat="false" ht="15" hidden="false" customHeight="true" outlineLevel="0" collapsed="false">
      <c r="A34" s="4" t="s">
        <v>1219</v>
      </c>
      <c r="B34" s="4" t="s">
        <v>1220</v>
      </c>
      <c r="C34" s="4" t="s">
        <v>1221</v>
      </c>
      <c r="D34" s="4" t="s">
        <v>1128</v>
      </c>
    </row>
    <row r="35" customFormat="false" ht="23.25" hidden="false" customHeight="true" outlineLevel="0" collapsed="false">
      <c r="A35" s="4" t="s">
        <v>1222</v>
      </c>
      <c r="B35" s="4" t="s">
        <v>1223</v>
      </c>
      <c r="C35" s="4" t="s">
        <v>1224</v>
      </c>
      <c r="D35" s="4" t="s">
        <v>1225</v>
      </c>
    </row>
    <row r="36" customFormat="false" ht="23.25" hidden="false" customHeight="true" outlineLevel="0" collapsed="false">
      <c r="A36" s="4" t="s">
        <v>1226</v>
      </c>
      <c r="B36" s="4" t="s">
        <v>1227</v>
      </c>
      <c r="C36" s="4" t="s">
        <v>1228</v>
      </c>
      <c r="D36" s="4" t="s">
        <v>1112</v>
      </c>
    </row>
    <row r="37" customFormat="false" ht="23.25" hidden="false" customHeight="true" outlineLevel="0" collapsed="false">
      <c r="A37" s="4" t="s">
        <v>1229</v>
      </c>
      <c r="B37" s="4" t="s">
        <v>1230</v>
      </c>
      <c r="C37" s="4" t="s">
        <v>1231</v>
      </c>
      <c r="D37" s="4" t="s">
        <v>1112</v>
      </c>
    </row>
    <row r="38" customFormat="false" ht="23.25" hidden="false" customHeight="true" outlineLevel="0" collapsed="false">
      <c r="A38" s="4" t="s">
        <v>1232</v>
      </c>
      <c r="B38" s="4" t="s">
        <v>1233</v>
      </c>
      <c r="C38" s="4" t="s">
        <v>1234</v>
      </c>
      <c r="D38" s="4" t="s">
        <v>1235</v>
      </c>
    </row>
    <row r="39" customFormat="false" ht="23.25" hidden="false" customHeight="true" outlineLevel="0" collapsed="false">
      <c r="A39" s="4" t="s">
        <v>1236</v>
      </c>
      <c r="B39" s="4" t="s">
        <v>1237</v>
      </c>
      <c r="C39" s="4" t="s">
        <v>1238</v>
      </c>
      <c r="D39" s="4" t="s">
        <v>1239</v>
      </c>
    </row>
    <row r="40" customFormat="false" ht="34.5" hidden="false" customHeight="true" outlineLevel="0" collapsed="false">
      <c r="A40" s="4" t="s">
        <v>1240</v>
      </c>
      <c r="B40" s="4" t="s">
        <v>1241</v>
      </c>
      <c r="C40" s="4" t="s">
        <v>1242</v>
      </c>
      <c r="D40" s="4" t="s">
        <v>1128</v>
      </c>
    </row>
    <row r="41" customFormat="false" ht="45.75" hidden="false" customHeight="true" outlineLevel="0" collapsed="false">
      <c r="A41" s="4" t="s">
        <v>1243</v>
      </c>
      <c r="B41" s="4" t="s">
        <v>1244</v>
      </c>
      <c r="C41" s="4" t="s">
        <v>1245</v>
      </c>
      <c r="D41" s="4" t="s">
        <v>1174</v>
      </c>
    </row>
    <row r="42" customFormat="false" ht="23.25" hidden="false" customHeight="true" outlineLevel="0" collapsed="false">
      <c r="A42" s="4" t="s">
        <v>107</v>
      </c>
      <c r="B42" s="4" t="s">
        <v>1246</v>
      </c>
      <c r="C42" s="4" t="s">
        <v>1247</v>
      </c>
      <c r="D42" s="4" t="s">
        <v>1248</v>
      </c>
    </row>
    <row r="43" customFormat="false" ht="23.25" hidden="false" customHeight="true" outlineLevel="0" collapsed="false">
      <c r="A43" s="4" t="s">
        <v>1249</v>
      </c>
      <c r="B43" s="4" t="s">
        <v>1250</v>
      </c>
      <c r="C43" s="4" t="s">
        <v>1251</v>
      </c>
      <c r="D43" s="4" t="s">
        <v>1252</v>
      </c>
    </row>
    <row r="44" customFormat="false" ht="34.5" hidden="false" customHeight="true" outlineLevel="0" collapsed="false">
      <c r="A44" s="4" t="s">
        <v>1253</v>
      </c>
      <c r="B44" s="4" t="s">
        <v>1254</v>
      </c>
      <c r="C44" s="4" t="s">
        <v>1255</v>
      </c>
      <c r="D44" s="4" t="s">
        <v>1256</v>
      </c>
    </row>
    <row r="46" customFormat="false" ht="15" hidden="false" customHeight="true" outlineLevel="0" collapsed="false">
      <c r="A46" s="3" t="s">
        <v>1257</v>
      </c>
    </row>
    <row r="47" customFormat="false" ht="15" hidden="false" customHeight="true" outlineLevel="0" collapsed="false">
      <c r="A47" s="44" t="s">
        <v>1258</v>
      </c>
      <c r="B47" s="44" t="s">
        <v>953</v>
      </c>
      <c r="C47" s="44" t="s">
        <v>1259</v>
      </c>
    </row>
    <row r="48" customFormat="false" ht="34.5" hidden="false" customHeight="true" outlineLevel="0" collapsed="false">
      <c r="A48" s="4" t="s">
        <v>1260</v>
      </c>
      <c r="B48" s="4" t="s">
        <v>1261</v>
      </c>
      <c r="C48" s="4" t="s">
        <v>1262</v>
      </c>
    </row>
    <row r="49" customFormat="false" ht="34.5" hidden="false" customHeight="true" outlineLevel="0" collapsed="false">
      <c r="A49" s="4" t="s">
        <v>1263</v>
      </c>
      <c r="B49" s="4" t="s">
        <v>1264</v>
      </c>
      <c r="C49" s="4" t="s">
        <v>1265</v>
      </c>
    </row>
    <row r="50" customFormat="false" ht="34.5" hidden="false" customHeight="true" outlineLevel="0" collapsed="false">
      <c r="A50" s="4" t="s">
        <v>1266</v>
      </c>
      <c r="B50" s="4" t="s">
        <v>1267</v>
      </c>
      <c r="C50" s="4" t="s">
        <v>1128</v>
      </c>
    </row>
    <row r="51" customFormat="false" ht="23.25" hidden="false" customHeight="true" outlineLevel="0" collapsed="false">
      <c r="A51" s="4" t="s">
        <v>1268</v>
      </c>
      <c r="B51" s="4" t="s">
        <v>1269</v>
      </c>
      <c r="C51" s="4" t="s">
        <v>1270</v>
      </c>
    </row>
    <row r="52" customFormat="false" ht="34.5" hidden="false" customHeight="true" outlineLevel="0" collapsed="false">
      <c r="A52" s="4" t="s">
        <v>1271</v>
      </c>
      <c r="B52" s="4" t="s">
        <v>1272</v>
      </c>
      <c r="C52" s="4" t="s">
        <v>1273</v>
      </c>
    </row>
    <row r="53" customFormat="false" ht="34.5" hidden="false" customHeight="true" outlineLevel="0" collapsed="false">
      <c r="A53" s="4" t="s">
        <v>1274</v>
      </c>
      <c r="B53" s="4" t="s">
        <v>1275</v>
      </c>
      <c r="C53" s="4" t="s">
        <v>1248</v>
      </c>
    </row>
    <row r="54" customFormat="false" ht="34.5" hidden="false" customHeight="true" outlineLevel="0" collapsed="false">
      <c r="A54" s="4" t="s">
        <v>1276</v>
      </c>
      <c r="B54" s="4" t="s">
        <v>1277</v>
      </c>
      <c r="C54" s="4" t="s">
        <v>1186</v>
      </c>
    </row>
    <row r="55" customFormat="false" ht="15" hidden="false" customHeight="true" outlineLevel="0" collapsed="false">
      <c r="A55" s="4" t="s">
        <v>1278</v>
      </c>
      <c r="B55" s="4" t="s">
        <v>1279</v>
      </c>
      <c r="C55" s="4" t="s">
        <v>1112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0"/>
    <col collapsed="false" customWidth="true" hidden="false" outlineLevel="0" max="4" min="4" style="0" width="52"/>
    <col collapsed="false" customWidth="true" hidden="false" outlineLevel="0" max="5" min="5" style="0" width="18"/>
    <col collapsed="false" customWidth="true" hidden="false" outlineLevel="0" max="6" min="6" style="0" width="7"/>
    <col collapsed="false" customWidth="true" hidden="false" outlineLevel="0" max="7" min="7" style="0" width="13"/>
    <col collapsed="false" customWidth="true" hidden="false" outlineLevel="0" max="8" min="8" style="0" width="15"/>
    <col collapsed="false" customWidth="true" hidden="false" outlineLevel="0" max="10" min="9" style="0" width="17"/>
    <col collapsed="false" customWidth="true" hidden="false" outlineLevel="0" max="11" min="11" style="0" width="18"/>
    <col collapsed="false" customWidth="true" hidden="false" outlineLevel="0" max="13" min="12" style="0" width="17"/>
    <col collapsed="false" customWidth="true" hidden="false" outlineLevel="0" max="14" min="14" style="0" width="16"/>
  </cols>
  <sheetData>
    <row r="1" customFormat="false" ht="17.35" hidden="false" customHeight="false" outlineLevel="0" collapsed="false">
      <c r="A1" s="60" t="s">
        <v>1280</v>
      </c>
    </row>
    <row r="2" customFormat="false" ht="15" hidden="false" customHeight="false" outlineLevel="0" collapsed="false">
      <c r="A2" s="61" t="s">
        <v>57</v>
      </c>
      <c r="B2" s="61" t="str">
        <f aca="false">Scenario_Control!$E$3</f>
        <v>Base</v>
      </c>
    </row>
    <row r="3" customFormat="false" ht="39.75" hidden="false" customHeight="true" outlineLevel="0" collapsed="false">
      <c r="A3" s="43" t="s">
        <v>1281</v>
      </c>
      <c r="B3" s="43"/>
      <c r="C3" s="43"/>
      <c r="D3" s="43"/>
      <c r="E3" s="43"/>
      <c r="F3" s="43"/>
      <c r="G3" s="43"/>
      <c r="H3" s="43"/>
      <c r="I3" s="43"/>
      <c r="J3" s="43"/>
      <c r="K3" s="43"/>
      <c r="L3" s="43"/>
      <c r="M3" s="43"/>
      <c r="N3" s="43"/>
    </row>
    <row r="5" customFormat="false" ht="61.5" hidden="false" customHeight="true" outlineLevel="0" collapsed="false">
      <c r="A5" s="36" t="s">
        <v>953</v>
      </c>
      <c r="B5" s="36" t="s">
        <v>1282</v>
      </c>
      <c r="C5" s="36" t="s">
        <v>1258</v>
      </c>
      <c r="D5" s="36" t="s">
        <v>1283</v>
      </c>
      <c r="E5" s="36" t="s">
        <v>1259</v>
      </c>
      <c r="F5" s="36" t="s">
        <v>98</v>
      </c>
      <c r="G5" s="36" t="s">
        <v>1284</v>
      </c>
      <c r="H5" s="36" t="s">
        <v>1285</v>
      </c>
      <c r="I5" s="36" t="s">
        <v>1286</v>
      </c>
      <c r="J5" s="36" t="s">
        <v>1287</v>
      </c>
      <c r="K5" s="36" t="s">
        <v>1288</v>
      </c>
      <c r="L5" s="36" t="s">
        <v>1289</v>
      </c>
      <c r="M5" s="36" t="s">
        <v>1290</v>
      </c>
      <c r="N5" s="36" t="s">
        <v>1291</v>
      </c>
    </row>
    <row r="6" customFormat="false" ht="63.75" hidden="false" customHeight="true" outlineLevel="0" collapsed="false">
      <c r="A6" s="62" t="s">
        <v>971</v>
      </c>
      <c r="B6" s="4" t="s">
        <v>1292</v>
      </c>
      <c r="C6" s="4" t="s">
        <v>1293</v>
      </c>
      <c r="D6" s="4" t="s">
        <v>1294</v>
      </c>
      <c r="E6" s="4" t="s">
        <v>1262</v>
      </c>
      <c r="F6" s="63" t="n">
        <f aca="false">SUMIF(Headcount!$AV$9:$AV$52,$A6,Headcount!$AO$9:$AO$52)</f>
        <v>4</v>
      </c>
      <c r="G6" s="64" t="n">
        <f aca="false">_xlfn.MINIFS(Headcount!$AP$9:$AP$52,Headcount!$AV$9:$AV$52,$A6)</f>
        <v>9</v>
      </c>
      <c r="H6" s="64" t="n">
        <f aca="false">_xlfn.MINIFS(Headcount!$AW$9:$AW$52,Headcount!$AV$9:$AV$52,$A6)</f>
        <v>9</v>
      </c>
      <c r="I6" s="65" t="n">
        <f aca="false">SUMPRODUCT((Headcount!$AV$9:$AV$52=$A6)*Headcount!$AO$9:$AO$52*Headcount!$AS$9:$AS$52)*(1+Assumptions!$D$9)</f>
        <v>774000</v>
      </c>
      <c r="J6" s="65" t="n">
        <f aca="false">SUMIF(Headcount!$AV$9:$AV$52,$A6,Headcount!$C$9:$C$52)</f>
        <v>1777356.6</v>
      </c>
      <c r="K6" s="4" t="s">
        <v>1295</v>
      </c>
      <c r="L6" s="65" t="n">
        <v>1777356.6</v>
      </c>
      <c r="M6" s="65" t="n">
        <v>1184211.6</v>
      </c>
      <c r="N6" s="65" t="n">
        <f aca="false">L6-M6</f>
        <v>593145</v>
      </c>
    </row>
    <row r="7" customFormat="false" ht="63.75" hidden="false" customHeight="true" outlineLevel="0" collapsed="false">
      <c r="A7" s="62" t="s">
        <v>979</v>
      </c>
      <c r="B7" s="4" t="s">
        <v>1296</v>
      </c>
      <c r="C7" s="4" t="s">
        <v>1297</v>
      </c>
      <c r="D7" s="4" t="s">
        <v>1298</v>
      </c>
      <c r="E7" s="4" t="s">
        <v>1265</v>
      </c>
      <c r="F7" s="63" t="n">
        <f aca="false">SUMIF(Headcount!$AV$9:$AV$52,$A7,Headcount!$AO$9:$AO$52)</f>
        <v>3</v>
      </c>
      <c r="G7" s="64" t="n">
        <f aca="false">_xlfn.MINIFS(Headcount!$AP$9:$AP$52,Headcount!$AV$9:$AV$52,$A7)</f>
        <v>11</v>
      </c>
      <c r="H7" s="64" t="n">
        <f aca="false">_xlfn.MINIFS(Headcount!$AW$9:$AW$52,Headcount!$AV$9:$AV$52,$A7)</f>
        <v>11</v>
      </c>
      <c r="I7" s="65" t="n">
        <f aca="false">SUMPRODUCT((Headcount!$AV$9:$AV$52=$A7)*Headcount!$AO$9:$AO$52*Headcount!$AS$9:$AS$52)*(1+Assumptions!$D$9)</f>
        <v>576000</v>
      </c>
      <c r="J7" s="65" t="n">
        <f aca="false">SUMIF(Headcount!$AV$9:$AV$52,$A7,Headcount!$C$9:$C$52)</f>
        <v>1266358.4</v>
      </c>
      <c r="K7" s="4" t="s">
        <v>1299</v>
      </c>
      <c r="L7" s="65" t="n">
        <v>1266358.4</v>
      </c>
      <c r="M7" s="65" t="n">
        <v>823258.4</v>
      </c>
      <c r="N7" s="65" t="n">
        <f aca="false">L7-M7</f>
        <v>443100</v>
      </c>
    </row>
    <row r="8" customFormat="false" ht="63.75" hidden="false" customHeight="true" outlineLevel="0" collapsed="false">
      <c r="A8" s="62" t="s">
        <v>987</v>
      </c>
      <c r="B8" s="4" t="s">
        <v>1300</v>
      </c>
      <c r="C8" s="4" t="s">
        <v>1301</v>
      </c>
      <c r="D8" s="4" t="s">
        <v>1302</v>
      </c>
      <c r="E8" s="4" t="s">
        <v>1128</v>
      </c>
      <c r="F8" s="63" t="n">
        <f aca="false">SUMIF(Headcount!$AV$9:$AV$52,$A8,Headcount!$AO$9:$AO$52)</f>
        <v>2</v>
      </c>
      <c r="G8" s="64" t="n">
        <f aca="false">_xlfn.MINIFS(Headcount!$AP$9:$AP$52,Headcount!$AV$9:$AV$52,$A8)</f>
        <v>13</v>
      </c>
      <c r="H8" s="64" t="n">
        <f aca="false">_xlfn.MINIFS(Headcount!$AW$9:$AW$52,Headcount!$AV$9:$AV$52,$A8)</f>
        <v>13</v>
      </c>
      <c r="I8" s="65" t="n">
        <f aca="false">SUMPRODUCT((Headcount!$AV$9:$AV$52=$A8)*Headcount!$AO$9:$AO$52*Headcount!$AS$9:$AS$52)*(1+Assumptions!$D$9)</f>
        <v>372000</v>
      </c>
      <c r="J8" s="65" t="n">
        <f aca="false">SUMIF(Headcount!$AV$9:$AV$52,$A8,Headcount!$C$9:$C$52)</f>
        <v>687689.8</v>
      </c>
      <c r="K8" s="4" t="s">
        <v>1303</v>
      </c>
      <c r="L8" s="65" t="n">
        <v>687689.8</v>
      </c>
      <c r="M8" s="65" t="n">
        <v>399238.3</v>
      </c>
      <c r="N8" s="65" t="n">
        <f aca="false">L8-M8</f>
        <v>288451.5</v>
      </c>
    </row>
    <row r="9" customFormat="false" ht="63.75" hidden="false" customHeight="true" outlineLevel="0" collapsed="false">
      <c r="A9" s="62" t="s">
        <v>994</v>
      </c>
      <c r="B9" s="4" t="s">
        <v>1304</v>
      </c>
      <c r="C9" s="4" t="s">
        <v>1305</v>
      </c>
      <c r="D9" s="4" t="s">
        <v>1306</v>
      </c>
      <c r="E9" s="4" t="s">
        <v>1270</v>
      </c>
      <c r="F9" s="63" t="n">
        <f aca="false">SUMIF(Headcount!$AV$9:$AV$52,$A9,Headcount!$AO$9:$AO$52)</f>
        <v>5</v>
      </c>
      <c r="G9" s="64" t="n">
        <f aca="false">_xlfn.MINIFS(Headcount!$AP$9:$AP$52,Headcount!$AV$9:$AV$52,$A9)</f>
        <v>15</v>
      </c>
      <c r="H9" s="64" t="n">
        <f aca="false">_xlfn.MINIFS(Headcount!$AW$9:$AW$52,Headcount!$AV$9:$AV$52,$A9)</f>
        <v>15</v>
      </c>
      <c r="I9" s="65" t="n">
        <f aca="false">SUMPRODUCT((Headcount!$AV$9:$AV$52=$A9)*Headcount!$AO$9:$AO$52*Headcount!$AS$9:$AS$52)*(1+Assumptions!$D$9)</f>
        <v>990000</v>
      </c>
      <c r="J9" s="65" t="n">
        <f aca="false">SUMIF(Headcount!$AV$9:$AV$52,$A9,Headcount!$C$9:$C$52)</f>
        <v>1635846</v>
      </c>
      <c r="K9" s="4" t="s">
        <v>1307</v>
      </c>
      <c r="L9" s="65" t="n">
        <v>1635846</v>
      </c>
      <c r="M9" s="65" t="n">
        <v>864643.8</v>
      </c>
      <c r="N9" s="65" t="n">
        <f aca="false">L9-M9</f>
        <v>771202.2</v>
      </c>
    </row>
    <row r="10" customFormat="false" ht="63.75" hidden="false" customHeight="true" outlineLevel="0" collapsed="false">
      <c r="A10" s="62" t="s">
        <v>990</v>
      </c>
      <c r="B10" s="4" t="s">
        <v>1308</v>
      </c>
      <c r="C10" s="4" t="s">
        <v>1309</v>
      </c>
      <c r="D10" s="4" t="s">
        <v>1310</v>
      </c>
      <c r="E10" s="4" t="s">
        <v>1273</v>
      </c>
      <c r="F10" s="63" t="n">
        <f aca="false">SUMIF(Headcount!$AV$9:$AV$52,$A10,Headcount!$AO$9:$AO$52)</f>
        <v>4</v>
      </c>
      <c r="G10" s="64" t="n">
        <f aca="false">_xlfn.MINIFS(Headcount!$AP$9:$AP$52,Headcount!$AV$9:$AV$52,$A10)</f>
        <v>14</v>
      </c>
      <c r="H10" s="64" t="n">
        <f aca="false">_xlfn.MINIFS(Headcount!$AW$9:$AW$52,Headcount!$AV$9:$AV$52,$A10)</f>
        <v>14</v>
      </c>
      <c r="I10" s="65" t="n">
        <f aca="false">SUMPRODUCT((Headcount!$AV$9:$AV$52=$A10)*Headcount!$AO$9:$AO$52*Headcount!$AS$9:$AS$52)*(1+Assumptions!$D$9)</f>
        <v>516000</v>
      </c>
      <c r="J10" s="65" t="n">
        <f aca="false">SUMIF(Headcount!$AV$9:$AV$52,$A10,Headcount!$C$9:$C$52)</f>
        <v>828614.4</v>
      </c>
      <c r="K10" s="4" t="s">
        <v>760</v>
      </c>
      <c r="L10" s="65" t="n">
        <v>828614.4</v>
      </c>
      <c r="M10" s="65" t="n">
        <v>425709.3</v>
      </c>
      <c r="N10" s="65" t="n">
        <f aca="false">L10-M10</f>
        <v>402905.1</v>
      </c>
    </row>
    <row r="11" customFormat="false" ht="63.75" hidden="false" customHeight="true" outlineLevel="0" collapsed="false">
      <c r="A11" s="62" t="s">
        <v>1001</v>
      </c>
      <c r="B11" s="4" t="s">
        <v>1311</v>
      </c>
      <c r="C11" s="4" t="s">
        <v>1312</v>
      </c>
      <c r="D11" s="4" t="s">
        <v>1313</v>
      </c>
      <c r="E11" s="4" t="s">
        <v>1248</v>
      </c>
      <c r="F11" s="63" t="n">
        <f aca="false">SUMIF(Headcount!$AV$9:$AV$52,$A11,Headcount!$AO$9:$AO$52)</f>
        <v>2</v>
      </c>
      <c r="G11" s="64" t="n">
        <f aca="false">_xlfn.MINIFS(Headcount!$AP$9:$AP$52,Headcount!$AV$9:$AV$52,$A11)</f>
        <v>19</v>
      </c>
      <c r="H11" s="64" t="n">
        <f aca="false">_xlfn.MINIFS(Headcount!$AW$9:$AW$52,Headcount!$AV$9:$AV$52,$A11)</f>
        <v>19</v>
      </c>
      <c r="I11" s="65" t="n">
        <f aca="false">SUMPRODUCT((Headcount!$AV$9:$AV$52=$A11)*Headcount!$AO$9:$AO$52*Headcount!$AS$9:$AS$52)*(1+Assumptions!$D$9)</f>
        <v>276000</v>
      </c>
      <c r="J11" s="65" t="n">
        <f aca="false">SUMIF(Headcount!$AV$9:$AV$52,$A11,Headcount!$C$9:$C$52)</f>
        <v>339477.7</v>
      </c>
      <c r="K11" s="4" t="s">
        <v>1314</v>
      </c>
      <c r="L11" s="65" t="n">
        <v>339477.7</v>
      </c>
      <c r="M11" s="65" t="n">
        <v>122003.5</v>
      </c>
      <c r="N11" s="65" t="n">
        <f aca="false">L11-M11</f>
        <v>217474.2</v>
      </c>
    </row>
    <row r="12" customFormat="false" ht="63.75" hidden="false" customHeight="true" outlineLevel="0" collapsed="false">
      <c r="A12" s="62" t="s">
        <v>985</v>
      </c>
      <c r="B12" s="4" t="s">
        <v>1315</v>
      </c>
      <c r="C12" s="4" t="s">
        <v>1316</v>
      </c>
      <c r="D12" s="4" t="s">
        <v>1317</v>
      </c>
      <c r="E12" s="4" t="s">
        <v>1186</v>
      </c>
      <c r="F12" s="63" t="n">
        <f aca="false">SUMIF(Headcount!$AV$9:$AV$52,$A12,Headcount!$AO$9:$AO$52)</f>
        <v>5</v>
      </c>
      <c r="G12" s="64" t="n">
        <f aca="false">_xlfn.MINIFS(Headcount!$AP$9:$AP$52,Headcount!$AV$9:$AV$52,$A12)</f>
        <v>12</v>
      </c>
      <c r="H12" s="64" t="n">
        <f aca="false">_xlfn.MINIFS(Headcount!$AW$9:$AW$52,Headcount!$AV$9:$AV$52,$A12)</f>
        <v>12</v>
      </c>
      <c r="I12" s="65" t="n">
        <f aca="false">SUMPRODUCT((Headcount!$AV$9:$AV$52=$A12)*Headcount!$AO$9:$AO$52*Headcount!$AS$9:$AS$52)*(1+Assumptions!$D$9)</f>
        <v>618000</v>
      </c>
      <c r="J12" s="65" t="n">
        <f aca="false">SUMIF(Headcount!$AV$9:$AV$52,$A12,Headcount!$C$9:$C$52)</f>
        <v>1143041.2</v>
      </c>
      <c r="K12" s="4" t="s">
        <v>754</v>
      </c>
      <c r="L12" s="65" t="n">
        <v>1143041.2</v>
      </c>
      <c r="M12" s="65" t="n">
        <v>664236.7</v>
      </c>
      <c r="N12" s="65" t="n">
        <f aca="false">L12-M12</f>
        <v>478804.5</v>
      </c>
    </row>
    <row r="13" customFormat="false" ht="63.75" hidden="false" customHeight="true" outlineLevel="0" collapsed="false">
      <c r="A13" s="62" t="s">
        <v>1006</v>
      </c>
      <c r="B13" s="4" t="s">
        <v>1318</v>
      </c>
      <c r="C13" s="4" t="s">
        <v>1319</v>
      </c>
      <c r="D13" s="4" t="s">
        <v>1320</v>
      </c>
      <c r="E13" s="4" t="s">
        <v>1112</v>
      </c>
      <c r="F13" s="63" t="n">
        <f aca="false">SUMIF(Headcount!$AV$9:$AV$52,$A13,Headcount!$AO$9:$AO$52)</f>
        <v>5</v>
      </c>
      <c r="G13" s="64" t="n">
        <f aca="false">_xlfn.MINIFS(Headcount!$AP$9:$AP$52,Headcount!$AV$9:$AV$52,$A13)</f>
        <v>22</v>
      </c>
      <c r="H13" s="64" t="n">
        <f aca="false">_xlfn.MINIFS(Headcount!$AW$9:$AW$52,Headcount!$AV$9:$AV$52,$A13)</f>
        <v>22</v>
      </c>
      <c r="I13" s="65" t="n">
        <f aca="false">SUMPRODUCT((Headcount!$AV$9:$AV$52=$A13)*Headcount!$AO$9:$AO$52*Headcount!$AS$9:$AS$52)*(1+Assumptions!$D$9)</f>
        <v>978000</v>
      </c>
      <c r="J13" s="65" t="n">
        <f aca="false">SUMIF(Headcount!$AV$9:$AV$52,$A13,Headcount!$C$9:$C$52)</f>
        <v>1014282.2</v>
      </c>
      <c r="K13" s="4" t="s">
        <v>21</v>
      </c>
      <c r="L13" s="65" t="n">
        <v>1014282.2</v>
      </c>
      <c r="M13" s="65" t="n">
        <v>237641.6</v>
      </c>
      <c r="N13" s="65" t="n">
        <f aca="false">L13-M13</f>
        <v>776640.6</v>
      </c>
    </row>
    <row r="14" customFormat="false" ht="63.75" hidden="false" customHeight="true" outlineLevel="0" collapsed="false">
      <c r="A14" s="62" t="s">
        <v>966</v>
      </c>
      <c r="B14" s="4" t="s">
        <v>1321</v>
      </c>
      <c r="C14" s="4" t="s">
        <v>1322</v>
      </c>
      <c r="D14" s="4" t="s">
        <v>1323</v>
      </c>
      <c r="E14" s="4" t="s">
        <v>1128</v>
      </c>
      <c r="F14" s="63" t="n">
        <f aca="false">SUMIF(Headcount!$AV$9:$AV$52,$A14,Headcount!$AO$9:$AO$52)</f>
        <v>5</v>
      </c>
      <c r="G14" s="64" t="n">
        <f aca="false">_xlfn.MINIFS(Headcount!$AP$9:$AP$52,Headcount!$AV$9:$AV$52,$A14)</f>
        <v>8</v>
      </c>
      <c r="H14" s="64" t="n">
        <f aca="false">_xlfn.MINIFS(Headcount!$AW$9:$AW$52,Headcount!$AV$9:$AV$52,$A14)</f>
        <v>8</v>
      </c>
      <c r="I14" s="65" t="n">
        <f aca="false">SUMPRODUCT((Headcount!$AV$9:$AV$52=$A14)*Headcount!$AO$9:$AO$52*Headcount!$AS$9:$AS$52)*(1+Assumptions!$D$9)</f>
        <v>1008000</v>
      </c>
      <c r="J14" s="65" t="n">
        <f aca="false">SUMIF(Headcount!$AV$9:$AV$52,$A14,Headcount!$C$9:$C$52)</f>
        <v>2443627.2</v>
      </c>
      <c r="K14" s="4" t="s">
        <v>21</v>
      </c>
      <c r="L14" s="65" t="n">
        <v>2443627.2</v>
      </c>
      <c r="M14" s="65" t="n">
        <v>1675027.2</v>
      </c>
      <c r="N14" s="65" t="n">
        <f aca="false">L14-M14</f>
        <v>768600</v>
      </c>
    </row>
    <row r="15" customFormat="false" ht="63.75" hidden="false" customHeight="true" outlineLevel="0" collapsed="false">
      <c r="A15" s="62" t="s">
        <v>1014</v>
      </c>
      <c r="B15" s="4" t="s">
        <v>1324</v>
      </c>
      <c r="C15" s="4" t="s">
        <v>1325</v>
      </c>
      <c r="D15" s="4" t="s">
        <v>1326</v>
      </c>
      <c r="E15" s="4" t="s">
        <v>1327</v>
      </c>
      <c r="F15" s="63" t="n">
        <f aca="false">SUMIF(Headcount!$AV$9:$AV$52,$A15,Headcount!$AO$9:$AO$52)</f>
        <v>2</v>
      </c>
      <c r="G15" s="64" t="n">
        <f aca="false">_xlfn.MINIFS(Headcount!$AP$9:$AP$52,Headcount!$AV$9:$AV$52,$A15)</f>
        <v>28</v>
      </c>
      <c r="H15" s="64" t="n">
        <f aca="false">_xlfn.MINIFS(Headcount!$AW$9:$AW$52,Headcount!$AV$9:$AV$52,$A15)</f>
        <v>28</v>
      </c>
      <c r="I15" s="65" t="n">
        <f aca="false">SUMPRODUCT((Headcount!$AV$9:$AV$52=$A15)*Headcount!$AO$9:$AO$52*Headcount!$AS$9:$AS$52)*(1+Assumptions!$D$9)</f>
        <v>216000</v>
      </c>
      <c r="J15" s="65" t="n">
        <f aca="false">SUMIF(Headcount!$AV$9:$AV$52,$A15,Headcount!$C$9:$C$52)</f>
        <v>171865.8</v>
      </c>
      <c r="K15" s="4" t="s">
        <v>766</v>
      </c>
      <c r="L15" s="65" t="n">
        <v>171865.8</v>
      </c>
      <c r="M15" s="65" t="n">
        <v>0</v>
      </c>
      <c r="N15" s="65" t="n">
        <f aca="false">L15-M15</f>
        <v>171865.8</v>
      </c>
    </row>
    <row r="16" customFormat="false" ht="15" hidden="false" customHeight="false" outlineLevel="0" collapsed="false">
      <c r="A16" s="66" t="s">
        <v>1328</v>
      </c>
      <c r="B16" s="66"/>
      <c r="C16" s="66"/>
      <c r="D16" s="66"/>
      <c r="E16" s="66"/>
      <c r="F16" s="67" t="n">
        <f aca="false">SUM(F6:F15)</f>
        <v>37</v>
      </c>
      <c r="G16" s="66"/>
      <c r="H16" s="66"/>
      <c r="I16" s="68" t="n">
        <f aca="false">SUM(I6:I15)</f>
        <v>6324000</v>
      </c>
      <c r="J16" s="68" t="n">
        <f aca="false">SUM(J6:J15)</f>
        <v>11308159.3</v>
      </c>
      <c r="K16" s="66"/>
      <c r="L16" s="68" t="n">
        <f aca="false">SUM(L6:L15)</f>
        <v>11308159.3</v>
      </c>
      <c r="M16" s="68" t="n">
        <f aca="false">SUM(M6:M15)</f>
        <v>6395970.4</v>
      </c>
      <c r="N16" s="68" t="n">
        <f aca="false">SUM(N6:N15)</f>
        <v>4912188.9</v>
      </c>
    </row>
    <row r="17" customFormat="false" ht="15" hidden="false" customHeight="false" outlineLevel="0" collapsed="false">
      <c r="A17" s="66" t="s">
        <v>1329</v>
      </c>
      <c r="B17" s="66"/>
      <c r="C17" s="66"/>
      <c r="D17" s="66"/>
      <c r="E17" s="66"/>
      <c r="F17" s="67" t="n">
        <f aca="false">SUMIF(Headcount!$AV$9:$AV$52,"-",Headcount!$AO$9:$AO$52)</f>
        <v>13</v>
      </c>
      <c r="G17" s="66"/>
      <c r="H17" s="66"/>
      <c r="I17" s="66"/>
      <c r="J17" s="68" t="n">
        <f aca="false">SUMIF(Headcount!$AV$9:$AV$52,"-",Headcount!$C$9:$C$52)</f>
        <v>6016843.4</v>
      </c>
      <c r="K17" s="66"/>
      <c r="L17" s="66"/>
      <c r="M17" s="66"/>
      <c r="N17" s="66"/>
    </row>
    <row r="18" customFormat="false" ht="15" hidden="false" customHeight="false" outlineLevel="0" collapsed="false">
      <c r="A18" s="66" t="s">
        <v>1330</v>
      </c>
      <c r="B18" s="66"/>
      <c r="C18" s="66"/>
      <c r="D18" s="66"/>
      <c r="E18" s="66"/>
      <c r="F18" s="66"/>
      <c r="G18" s="66"/>
      <c r="H18" s="66"/>
      <c r="I18" s="66"/>
      <c r="J18" s="68" t="n">
        <f aca="false">Headcount!$C$59</f>
        <v>17325002.7</v>
      </c>
      <c r="K18" s="66"/>
      <c r="L18" s="66"/>
      <c r="M18" s="66"/>
      <c r="N18" s="66"/>
    </row>
    <row r="19" customFormat="false" ht="15" hidden="false" customHeight="false" outlineLevel="0" collapsed="false">
      <c r="A19" s="66" t="s">
        <v>1331</v>
      </c>
      <c r="B19" s="66"/>
      <c r="C19" s="66"/>
      <c r="D19" s="66"/>
      <c r="E19" s="66"/>
      <c r="F19" s="66"/>
      <c r="G19" s="66"/>
      <c r="H19" s="66"/>
      <c r="I19" s="66"/>
      <c r="J19" s="66" t="str">
        <f aca="false">IF(ABS(J16+J17-J18)&lt;1,"PASS","FAIL")</f>
        <v>PASS</v>
      </c>
      <c r="K19" s="66"/>
      <c r="L19" s="66"/>
      <c r="M19" s="66"/>
      <c r="N19" s="66"/>
    </row>
    <row r="21" customFormat="false" ht="15" hidden="false" customHeight="false" outlineLevel="0" collapsed="false">
      <c r="A21" s="69" t="s">
        <v>1332</v>
      </c>
    </row>
  </sheetData>
  <mergeCells count="1">
    <mergeCell ref="A3:N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8"/>
    <col collapsed="false" customWidth="true" hidden="false" outlineLevel="0" max="2" min="2" style="1" width="16"/>
    <col collapsed="false" customWidth="true" hidden="false" outlineLevel="0" max="3" min="3" style="1" width="12"/>
    <col collapsed="false" customWidth="true" hidden="false" outlineLevel="0" max="4" min="4" style="1" width="80"/>
  </cols>
  <sheetData>
    <row r="1" customFormat="false" ht="17.25" hidden="false" customHeight="true" outlineLevel="0" collapsed="false">
      <c r="A1" s="2" t="s">
        <v>1333</v>
      </c>
    </row>
    <row r="3" customFormat="false" ht="15" hidden="false" customHeight="true" outlineLevel="0" collapsed="false">
      <c r="A3" s="44" t="s">
        <v>1334</v>
      </c>
      <c r="B3" s="44" t="s">
        <v>1335</v>
      </c>
      <c r="C3" s="44" t="s">
        <v>1336</v>
      </c>
      <c r="D3" s="44" t="s">
        <v>1337</v>
      </c>
    </row>
    <row r="4" customFormat="false" ht="15" hidden="false" customHeight="true" outlineLevel="0" collapsed="false">
      <c r="A4" s="5" t="s">
        <v>1338</v>
      </c>
      <c r="B4" s="70" t="n">
        <f aca="false">Scenario_Control!$D$3</f>
        <v>2</v>
      </c>
      <c r="C4" s="23" t="str">
        <f aca="false">IF(AND(B4&gt;=1,B4&lt;=9,B4=INT(B4)),"PASS","FAIL")</f>
        <v>PASS</v>
      </c>
      <c r="D4" s="10" t="s">
        <v>1339</v>
      </c>
    </row>
    <row r="5" customFormat="false" ht="15" hidden="false" customHeight="true" outlineLevel="0" collapsed="false">
      <c r="A5" s="5" t="s">
        <v>1340</v>
      </c>
      <c r="B5" s="70" t="n">
        <f aca="false">MAX(Financials!$D$50:$AM$50)</f>
        <v>0</v>
      </c>
      <c r="C5" s="23" t="str">
        <f aca="false">IF(B5&lt;1,"PASS","FAIL")</f>
        <v>PASS</v>
      </c>
      <c r="D5" s="10" t="s">
        <v>1341</v>
      </c>
    </row>
    <row r="6" customFormat="false" ht="15" hidden="false" customHeight="true" outlineLevel="0" collapsed="false">
      <c r="A6" s="5" t="s">
        <v>1342</v>
      </c>
      <c r="B6" s="70" t="n">
        <f aca="false">MIN(Revenue!$D$33:$AM$33)</f>
        <v>735.2713671875</v>
      </c>
      <c r="C6" s="23" t="str">
        <f aca="false">IF(B6&gt;-0.01,"PASS","FAIL")</f>
        <v>PASS</v>
      </c>
      <c r="D6" s="10" t="s">
        <v>1343</v>
      </c>
    </row>
    <row r="7" customFormat="false" ht="15" hidden="false" customHeight="true" outlineLevel="0" collapsed="false">
      <c r="A7" s="5" t="s">
        <v>1344</v>
      </c>
      <c r="B7" s="70" t="n">
        <f aca="false">MIN(Revenue!$D$67:$AM$67)</f>
        <v>0</v>
      </c>
      <c r="C7" s="23" t="str">
        <f aca="false">IF(B7&gt;-0.01,"PASS","FAIL")</f>
        <v>PASS</v>
      </c>
      <c r="D7" s="10" t="s">
        <v>1345</v>
      </c>
    </row>
    <row r="8" customFormat="false" ht="15" hidden="false" customHeight="true" outlineLevel="0" collapsed="false">
      <c r="A8" s="5" t="s">
        <v>1346</v>
      </c>
      <c r="B8" s="70" t="n">
        <f aca="false">MIN(Revenue!$D$80:$AM$80)</f>
        <v>0</v>
      </c>
      <c r="C8" s="23" t="str">
        <f aca="false">IF(B8&gt;-0.01,"PASS","FAIL")</f>
        <v>PASS</v>
      </c>
      <c r="D8" s="10" t="s">
        <v>1347</v>
      </c>
    </row>
    <row r="9" customFormat="false" ht="15" hidden="false" customHeight="true" outlineLevel="0" collapsed="false">
      <c r="A9" s="5" t="s">
        <v>1348</v>
      </c>
      <c r="B9" s="70" t="n">
        <f aca="false">MIN(Revenue!$D$95:$AM$95)</f>
        <v>0</v>
      </c>
      <c r="C9" s="23" t="str">
        <f aca="false">IF(B9&gt;-0.01,"PASS","FAIL")</f>
        <v>PASS</v>
      </c>
      <c r="D9" s="10" t="s">
        <v>1347</v>
      </c>
    </row>
    <row r="10" customFormat="false" ht="15" hidden="false" customHeight="true" outlineLevel="0" collapsed="false">
      <c r="A10" s="5" t="s">
        <v>1349</v>
      </c>
      <c r="B10" s="70" t="n">
        <f aca="false">MIN(Revenue!$D$119:$AM$119)</f>
        <v>0</v>
      </c>
      <c r="C10" s="23" t="str">
        <f aca="false">IF(B10&gt;-0.01,"PASS","FAIL")</f>
        <v>PASS</v>
      </c>
      <c r="D10" s="10" t="s">
        <v>1350</v>
      </c>
    </row>
    <row r="11" customFormat="false" ht="15" hidden="false" customHeight="true" outlineLevel="0" collapsed="false">
      <c r="A11" s="5" t="s">
        <v>1351</v>
      </c>
      <c r="B11" s="70" t="n">
        <f aca="false">MIN(Revenue!$D$154:$AM$154)</f>
        <v>2351.25</v>
      </c>
      <c r="C11" s="23" t="str">
        <f aca="false">IF(B11&gt;-0.01,"PASS","FAIL")</f>
        <v>PASS</v>
      </c>
      <c r="D11" s="10" t="s">
        <v>1352</v>
      </c>
    </row>
    <row r="12" customFormat="false" ht="15" hidden="false" customHeight="true" outlineLevel="0" collapsed="false">
      <c r="A12" s="5" t="s">
        <v>1353</v>
      </c>
      <c r="B12" s="70" t="n">
        <f aca="false">MIN(Revenue!$D$77:$AM$77,Revenue!$D$92:$AM$92,Revenue!$D$116:$AM$116)</f>
        <v>0</v>
      </c>
      <c r="C12" s="23" t="str">
        <f aca="false">IF(B12&gt;-0.0001,"PASS","FAIL")</f>
        <v>PASS</v>
      </c>
      <c r="D12" s="10" t="s">
        <v>1354</v>
      </c>
    </row>
    <row r="13" customFormat="false" ht="15" hidden="false" customHeight="true" outlineLevel="0" collapsed="false">
      <c r="A13" s="5" t="s">
        <v>1355</v>
      </c>
      <c r="B13" s="70" t="n">
        <f aca="false">MIN(Revenue!$D$19:$AM$19,Revenue!$D$22:$AM$22,Revenue!$D$18:$AM$18)</f>
        <v>8.203125</v>
      </c>
      <c r="C13" s="23" t="str">
        <f aca="false">IF(B13&gt;-0.0001,"PASS","FAIL")</f>
        <v>PASS</v>
      </c>
      <c r="D13" s="10" t="s">
        <v>1356</v>
      </c>
    </row>
    <row r="14" customFormat="false" ht="15" hidden="false" customHeight="true" outlineLevel="0" collapsed="false">
      <c r="A14" s="5" t="s">
        <v>1357</v>
      </c>
      <c r="B14" s="70" t="n">
        <f aca="false">SUM(Summary!C16:E16)-SUM(Financials!$D$18:$AM$18)</f>
        <v>0</v>
      </c>
      <c r="C14" s="23" t="str">
        <f aca="false">IF(ABS(B14)&lt;1,"PASS","FAIL")</f>
        <v>PASS</v>
      </c>
      <c r="D14" s="10" t="s">
        <v>1358</v>
      </c>
    </row>
    <row r="15" customFormat="false" ht="15" hidden="false" customHeight="true" outlineLevel="0" collapsed="false">
      <c r="A15" s="5" t="s">
        <v>1359</v>
      </c>
      <c r="B15" s="70" t="n">
        <f aca="false">SUM(Revenue!$D$140:$AM$140)-SUM(Financials!$D$18:$AM$18)</f>
        <v>0</v>
      </c>
      <c r="C15" s="23" t="str">
        <f aca="false">IF(ABS(B15)&lt;1,"PASS","FAIL")</f>
        <v>PASS</v>
      </c>
      <c r="D15" s="10" t="s">
        <v>1360</v>
      </c>
    </row>
    <row r="16" customFormat="false" ht="15" hidden="false" customHeight="true" outlineLevel="0" collapsed="false">
      <c r="A16" s="5" t="s">
        <v>1361</v>
      </c>
      <c r="B16" s="70" t="n">
        <f aca="false">SUM(Assumptions!$D$62:$D$66)</f>
        <v>1</v>
      </c>
      <c r="C16" s="23" t="str">
        <f aca="false">IF(ABS(B16-1)&lt;0.0001,"PASS","FAIL")</f>
        <v>PASS</v>
      </c>
      <c r="D16" s="10" t="s">
        <v>1362</v>
      </c>
    </row>
    <row r="17" customFormat="false" ht="15" hidden="false" customHeight="true" outlineLevel="0" collapsed="false">
      <c r="A17" s="5" t="s">
        <v>1363</v>
      </c>
      <c r="B17" s="70" t="n">
        <f aca="false">Assumptions!$D$192</f>
        <v>12</v>
      </c>
      <c r="C17" s="23" t="str">
        <f aca="false">IF(ABS(B17-12)&lt;0.0001,"PASS","FAIL")</f>
        <v>PASS</v>
      </c>
      <c r="D17" s="10" t="s">
        <v>1364</v>
      </c>
    </row>
    <row r="18" customFormat="false" ht="15" hidden="false" customHeight="true" outlineLevel="0" collapsed="false">
      <c r="A18" s="5" t="s">
        <v>1365</v>
      </c>
      <c r="B18" s="70" t="n">
        <f aca="false">Assumptions!$E$192</f>
        <v>12</v>
      </c>
      <c r="C18" s="23" t="str">
        <f aca="false">IF(ABS(B18-12)&lt;0.0001,"PASS","FAIL")</f>
        <v>PASS</v>
      </c>
      <c r="D18" s="10" t="s">
        <v>1364</v>
      </c>
    </row>
    <row r="19" customFormat="false" ht="15" hidden="false" customHeight="true" outlineLevel="0" collapsed="false">
      <c r="A19" s="5" t="s">
        <v>1366</v>
      </c>
      <c r="B19" s="70" t="n">
        <f aca="false">Assumptions!$D$94+Assumptions!$D$95+Assumptions!$D$96</f>
        <v>1</v>
      </c>
      <c r="C19" s="23" t="str">
        <f aca="false">IF(ABS(B19-1)&lt;0.0001,"PASS","FAIL")</f>
        <v>PASS</v>
      </c>
      <c r="D19" s="10" t="s">
        <v>1367</v>
      </c>
    </row>
    <row r="20" customFormat="false" ht="15" hidden="false" customHeight="true" outlineLevel="0" collapsed="false">
      <c r="A20" s="5" t="s">
        <v>1368</v>
      </c>
      <c r="B20" s="70" t="n">
        <f aca="false">MAX(Assumptions!$D$41,Assumptions!$D$17,Assumptions!$D$26)</f>
        <v>0.65</v>
      </c>
      <c r="C20" s="23" t="str">
        <f aca="false">IF(AND(B20&lt;=1,MIN(Assumptions!$D$41,Assumptions!$D$17,Assumptions!$D$26)&gt;=0),"PASS","FAIL")</f>
        <v>PASS</v>
      </c>
      <c r="D20" s="10" t="s">
        <v>1369</v>
      </c>
    </row>
    <row r="21" customFormat="false" ht="15" hidden="false" customHeight="true" outlineLevel="0" collapsed="false">
      <c r="A21" s="5" t="s">
        <v>1370</v>
      </c>
      <c r="B21" s="70" t="n">
        <f aca="false">MAX(Headcount!$AP$9:$AP$52)</f>
        <v>28</v>
      </c>
      <c r="C21" s="23" t="str">
        <f aca="false">IF(AND(B21&lt;=36,MIN(Headcount!$AP$9:$AP$52)&gt;=1),"PASS","FAIL")</f>
        <v>PASS</v>
      </c>
      <c r="D21" s="10" t="s">
        <v>1371</v>
      </c>
    </row>
    <row r="22" customFormat="false" ht="15" hidden="false" customHeight="true" outlineLevel="0" collapsed="false">
      <c r="A22" s="5" t="s">
        <v>1372</v>
      </c>
      <c r="B22" s="70" t="n">
        <f aca="false">Scenario_Results!$C$25</f>
        <v>0</v>
      </c>
      <c r="C22" s="23" t="str">
        <f aca="false">IF(ABS(B22)&lt;1,"PASS","FAIL")</f>
        <v>PASS</v>
      </c>
      <c r="D22" s="10" t="s">
        <v>1373</v>
      </c>
    </row>
    <row r="23" customFormat="false" ht="15" hidden="false" customHeight="true" outlineLevel="0" collapsed="false">
      <c r="A23" s="5" t="s">
        <v>1374</v>
      </c>
      <c r="B23" s="70" t="n">
        <f aca="false">MIN(Financials!$D$41:$AM$41)</f>
        <v>1195839.86771309</v>
      </c>
      <c r="C23" s="23" t="str">
        <f aca="false">IF(B23&gt;=0,"PASS","FAIL")</f>
        <v>PASS</v>
      </c>
      <c r="D23" s="10" t="s">
        <v>1375</v>
      </c>
    </row>
    <row r="24" customFormat="false" ht="15" hidden="false" customHeight="true" outlineLevel="0" collapsed="false">
      <c r="A24" s="5" t="s">
        <v>1376</v>
      </c>
      <c r="B24" s="70" t="n">
        <f aca="false">SUM(Financials!$D$46:$AM$46)</f>
        <v>3</v>
      </c>
      <c r="C24" s="23" t="str">
        <f aca="false">IF(B24=0,"PASS","FAIL")</f>
        <v>FAIL</v>
      </c>
      <c r="D24" s="10" t="s">
        <v>1377</v>
      </c>
    </row>
    <row r="26" customFormat="false" ht="15" hidden="false" customHeight="true" outlineLevel="0" collapsed="false">
      <c r="A26" s="3" t="s">
        <v>1378</v>
      </c>
      <c r="C26" s="23" t="str">
        <f aca="false">IF(COUNTIF(C4:C22,"FAIL")+COUNTIF(C29:C30,"FAIL")=0,"ALL PASS",COUNTIF(C4:C22,"FAIL")+COUNTIF(C29:C30,"FAIL")&amp;" FAIL")</f>
        <v>ALL PASS</v>
      </c>
    </row>
    <row r="27" customFormat="false" ht="15" hidden="false" customHeight="true" outlineLevel="0" collapsed="false">
      <c r="A27" s="3" t="s">
        <v>1379</v>
      </c>
      <c r="C27" s="23" t="str">
        <f aca="false">IF(COUNTIF(C23:C24,"FAIL")=0,"FUNDED",COUNTIF(C23:C24,"FAIL")&amp;" WARNING")</f>
        <v>1 WARNING</v>
      </c>
    </row>
    <row r="29" customFormat="false" ht="15" hidden="false" customHeight="true" outlineLevel="0" collapsed="false">
      <c r="A29" s="5" t="s">
        <v>1380</v>
      </c>
      <c r="B29" s="70" t="n">
        <f aca="false">IF(Scenario_Control!$M$25=1,SUMPRODUCT((Revenue!$D$3:$AM$3&lt;Assumptions!$D$229+Scenario_Control!$M$26)*Revenue!$D$15:$AM$15),0)</f>
        <v>0</v>
      </c>
      <c r="C29" s="3" t="str">
        <f aca="false">IF(ABS(B29)&lt;0.000001,"PASS","FAIL")</f>
        <v>PASS</v>
      </c>
      <c r="D29" s="10" t="s">
        <v>1381</v>
      </c>
    </row>
    <row r="30" customFormat="false" ht="15" hidden="false" customHeight="true" outlineLevel="0" collapsed="false">
      <c r="A30" s="5" t="s">
        <v>1382</v>
      </c>
      <c r="B30" s="70" t="n">
        <f aca="false">IF(Scenario_Control!$M$25=1,SUMPRODUCT((Revenue!$D$3:$AM$3&lt;Assumptions!$D$231+Scenario_Control!$M$26)*Revenue!$D$41:$AM$41)+SUMPRODUCT((Revenue!$D$3:$AM$3&lt;Assumptions!$D$232+Scenario_Control!$M$26)*Revenue!$D$47:$AM$47)+SUMPRODUCT((Revenue!$D$3:$AM$3&lt;Assumptions!$D$233+Scenario_Control!$M$26)*Revenue!$D$53:$AM$53),0)</f>
        <v>0</v>
      </c>
      <c r="C30" s="3" t="str">
        <f aca="false">IF(ABS(B30)&lt;0.000001,"PASS","FAIL")</f>
        <v>PASS</v>
      </c>
      <c r="D30" s="10" t="s">
        <v>1383</v>
      </c>
    </row>
  </sheetData>
  <conditionalFormatting sqref="C4:C27">
    <cfRule type="cellIs" priority="2" operator="equal" aboveAverage="0" equalAverage="0" bottom="0" percent="0" rank="0" text="" dxfId="0">
      <formula>"FAIL"</formula>
    </cfRule>
    <cfRule type="cellIs" priority="3" operator="equal" aboveAverage="0" equalAverage="0" bottom="0" percent="0" rank="0" text="" dxfId="1">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2026-10-04T11:48:36Z</dcterms:created>
  <dc:creator>openpyxl</dc:creator>
  <dc:description/>
  <dc:language>en-US</dc:language>
  <cp:lastModifiedBy/>
  <dcterms:modified xsi:type="dcterms:W3CDTF">2026-10-04T16:26:14Z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